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onmasters/Library/CloudStorage/Box-Box/MLEM Internal Business Files/TAX/202410-202506/Base Data/2025-04/"/>
    </mc:Choice>
  </mc:AlternateContent>
  <xr:revisionPtr revIDLastSave="0" documentId="13_ncr:1_{80675E61-A8FE-2148-AD21-D4E66967F14B}" xr6:coauthVersionLast="47" xr6:coauthVersionMax="47" xr10:uidLastSave="{00000000-0000-0000-0000-000000000000}"/>
  <bookViews>
    <workbookView xWindow="1220" yWindow="2220" windowWidth="39580" windowHeight="24880" xr2:uid="{00000000-000D-0000-FFFF-FFFF00000000}"/>
  </bookViews>
  <sheets>
    <sheet name="SUMMARY" sheetId="4" r:id="rId1"/>
    <sheet name="BUSINESS EXPENSES BY CATEGORY" sheetId="5" r:id="rId2"/>
    <sheet name="EXPENSES MASTER SCDEDULE" sheetId="1" r:id="rId3"/>
    <sheet name="INCOME MASTER SCHEDUL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4" l="1"/>
  <c r="E5" i="4"/>
  <c r="I93" i="1"/>
  <c r="H93" i="1"/>
  <c r="I28" i="1"/>
  <c r="I43" i="1"/>
  <c r="I44" i="1"/>
  <c r="I45" i="1"/>
  <c r="I46" i="1"/>
  <c r="I47" i="1"/>
  <c r="I48" i="1"/>
  <c r="I49" i="1"/>
  <c r="I50" i="1"/>
  <c r="I51" i="1"/>
  <c r="I52" i="1"/>
  <c r="I53" i="1"/>
  <c r="I54" i="1"/>
  <c r="I63" i="1"/>
  <c r="I64" i="1"/>
  <c r="I65" i="1"/>
  <c r="I66" i="1"/>
  <c r="I67" i="1"/>
  <c r="H104" i="5" l="1"/>
  <c r="H101" i="5"/>
  <c r="H96" i="5"/>
  <c r="H89" i="5"/>
  <c r="H86" i="5"/>
  <c r="H81" i="5"/>
  <c r="H79" i="5"/>
  <c r="H76" i="5"/>
  <c r="H74" i="5"/>
  <c r="H72" i="5"/>
  <c r="H70" i="5"/>
  <c r="I60" i="5"/>
  <c r="H60" i="5"/>
  <c r="H58" i="5"/>
  <c r="H55" i="5"/>
  <c r="H53" i="5"/>
  <c r="H51" i="5"/>
  <c r="H44" i="5"/>
  <c r="H41" i="5"/>
  <c r="H39" i="5"/>
  <c r="I35" i="5"/>
  <c r="H35" i="5"/>
  <c r="I33" i="5"/>
  <c r="H33" i="5"/>
  <c r="H30" i="5"/>
  <c r="I11" i="5"/>
  <c r="H11" i="5"/>
  <c r="I8" i="5"/>
  <c r="H8" i="5"/>
  <c r="I4" i="5"/>
  <c r="H4" i="5"/>
  <c r="I59" i="5"/>
  <c r="I85" i="5"/>
  <c r="I84" i="5"/>
  <c r="I75" i="5"/>
  <c r="I76" i="5" s="1"/>
  <c r="I73" i="5"/>
  <c r="I74" i="5" s="1"/>
  <c r="I71" i="5"/>
  <c r="I72" i="5" s="1"/>
  <c r="I50" i="5"/>
  <c r="I48" i="5"/>
  <c r="I24" i="5"/>
  <c r="I23" i="5"/>
  <c r="I69" i="5"/>
  <c r="I21" i="5"/>
  <c r="I20" i="5"/>
  <c r="I38" i="5"/>
  <c r="I68" i="5"/>
  <c r="I80" i="5"/>
  <c r="I81" i="5" s="1"/>
  <c r="I15" i="5"/>
  <c r="I67" i="5"/>
  <c r="I66" i="5"/>
  <c r="I95" i="5"/>
  <c r="I43" i="5"/>
  <c r="I57" i="5"/>
  <c r="I88" i="5"/>
  <c r="I94" i="5"/>
  <c r="I100" i="5"/>
  <c r="I99" i="5"/>
  <c r="I98" i="5"/>
  <c r="I37" i="5"/>
  <c r="I39" i="5" s="1"/>
  <c r="I97" i="5"/>
  <c r="I65" i="5"/>
  <c r="I83" i="5"/>
  <c r="I40" i="5"/>
  <c r="I41" i="5" s="1"/>
  <c r="I82" i="5"/>
  <c r="I64" i="5"/>
  <c r="I63" i="5"/>
  <c r="I62" i="5"/>
  <c r="I93" i="5"/>
  <c r="I12" i="5"/>
  <c r="I46" i="5"/>
  <c r="I42" i="5"/>
  <c r="I44" i="5" s="1"/>
  <c r="I54" i="5"/>
  <c r="I55" i="5" s="1"/>
  <c r="I36" i="5"/>
  <c r="I61" i="5"/>
  <c r="I87" i="5"/>
  <c r="I92" i="5"/>
  <c r="I91" i="5"/>
  <c r="I90" i="5"/>
  <c r="I45" i="5"/>
  <c r="I51" i="5" s="1"/>
  <c r="I78" i="5"/>
  <c r="I103" i="5"/>
  <c r="I52" i="5"/>
  <c r="I53" i="5" s="1"/>
  <c r="I77" i="5"/>
  <c r="I79" i="5" s="1"/>
  <c r="I102" i="5"/>
  <c r="I56" i="5"/>
  <c r="I58" i="5" s="1"/>
  <c r="I96" i="5" l="1"/>
  <c r="I89" i="5"/>
  <c r="I70" i="5"/>
  <c r="I86" i="5"/>
  <c r="H107" i="5"/>
  <c r="I30" i="5"/>
  <c r="I107" i="5" s="1"/>
  <c r="I104" i="5"/>
  <c r="I101" i="5"/>
  <c r="E9" i="4"/>
  <c r="E8" i="4"/>
  <c r="I5" i="3"/>
  <c r="H5" i="3"/>
  <c r="I2" i="3"/>
  <c r="K7" i="4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55" i="1"/>
  <c r="I57" i="1"/>
  <c r="I58" i="1"/>
  <c r="I60" i="1"/>
  <c r="I61" i="1"/>
  <c r="I62" i="1"/>
  <c r="I2" i="1"/>
  <c r="I275" i="1"/>
  <c r="H275" i="1"/>
  <c r="K8" i="4" l="1"/>
  <c r="E11" i="4"/>
</calcChain>
</file>

<file path=xl/sharedStrings.xml><?xml version="1.0" encoding="utf-8"?>
<sst xmlns="http://schemas.openxmlformats.org/spreadsheetml/2006/main" count="4463" uniqueCount="728">
  <si>
    <t>Date</t>
  </si>
  <si>
    <t>Date Processed</t>
  </si>
  <si>
    <t>Description</t>
  </si>
  <si>
    <t>Card Member</t>
  </si>
  <si>
    <t>Account #</t>
  </si>
  <si>
    <t>Amount</t>
  </si>
  <si>
    <t>Foreign Spend Amount</t>
  </si>
  <si>
    <t>Commission</t>
  </si>
  <si>
    <t>Exchange Rate</t>
  </si>
  <si>
    <t>Additional Information</t>
  </si>
  <si>
    <t>Appears On Your Statement As</t>
  </si>
  <si>
    <t>Address</t>
  </si>
  <si>
    <t>Town/City</t>
  </si>
  <si>
    <t>Postcode</t>
  </si>
  <si>
    <t>Country</t>
  </si>
  <si>
    <t>Reference</t>
  </si>
  <si>
    <t>GST CODE</t>
  </si>
  <si>
    <t>DESCRIPTION</t>
  </si>
  <si>
    <t>GST AMOUNT</t>
  </si>
  <si>
    <t>SUMMARY SCHEDULE</t>
  </si>
  <si>
    <t>LOAN SCHEDULE</t>
  </si>
  <si>
    <t>BUSINESS EXPENSES (B+E)</t>
  </si>
  <si>
    <t>OPENING BALANCE</t>
  </si>
  <si>
    <t>GST PAID</t>
  </si>
  <si>
    <t>DRAW DOWNS</t>
  </si>
  <si>
    <t>EXPENSES PAID</t>
  </si>
  <si>
    <t>BUSINESS INCOME</t>
  </si>
  <si>
    <t>GST COLLECTED</t>
  </si>
  <si>
    <t>GST TO BE CLAIMED</t>
  </si>
  <si>
    <t>LGRNSW AP | 2025-0013</t>
  </si>
  <si>
    <t>SGT BANK</t>
  </si>
  <si>
    <t>B</t>
  </si>
  <si>
    <t>INVOICE</t>
  </si>
  <si>
    <t>CR</t>
  </si>
  <si>
    <t>CREDIT INTEREST</t>
  </si>
  <si>
    <t>E</t>
  </si>
  <si>
    <t>INTEREST</t>
  </si>
  <si>
    <t>INTERNET WITHDRAWAL           14APR06:16 | CP Lease 5 105</t>
  </si>
  <si>
    <t>CAR_PARK</t>
  </si>
  <si>
    <t>DR</t>
  </si>
  <si>
    <t>Telex Australia | 668380307</t>
  </si>
  <si>
    <t>COMPUTER_SUBSCRIPTION</t>
  </si>
  <si>
    <t>INTERNET WITHDRAWAL           28APR06:17 | CP Lease 5 105</t>
  </si>
  <si>
    <t>INTERNET WITHDRAWAL           28APR15:20 | SubCont IreneL March25</t>
  </si>
  <si>
    <t>SUBC_ILOMIS</t>
  </si>
  <si>
    <t>INTERNET WITHDRAWAL           28APR15:20 | SubCont MichaelaB March</t>
  </si>
  <si>
    <t>SUBC_MBURKITT</t>
  </si>
  <si>
    <t>INTERNET WITHDRAWAL           28APR15:20 | SubCont PaulM March25</t>
  </si>
  <si>
    <t>SUBC_PMARSH</t>
  </si>
  <si>
    <t>30/04/2025</t>
  </si>
  <si>
    <t>01/05/2025</t>
  </si>
  <si>
    <t>APPLE.COM/BILL          SYDNEY</t>
  </si>
  <si>
    <t>JASON P MASTERS</t>
  </si>
  <si>
    <t>-76009</t>
  </si>
  <si>
    <t xml:space="preserve"> </t>
  </si>
  <si>
    <t/>
  </si>
  <si>
    <t>255 PITT STREET
CAPITAL CENTRE LEVEL 13</t>
  </si>
  <si>
    <t>SYDNEY
NSW</t>
  </si>
  <si>
    <t>2000</t>
  </si>
  <si>
    <t>AUSTRALIA</t>
  </si>
  <si>
    <t>AT251210004000010277205</t>
  </si>
  <si>
    <t>AUSTRALIAN INSTITUTE O  SYDNEY</t>
  </si>
  <si>
    <t>JASON P MASTERS A/C</t>
  </si>
  <si>
    <t>-74020</t>
  </si>
  <si>
    <t>18 JAMISON STREET</t>
  </si>
  <si>
    <t>AT251210004000010291292</t>
  </si>
  <si>
    <t>HUNTER PREMIUM          SYDNEY</t>
  </si>
  <si>
    <t>MICHAELA WAKE</t>
  </si>
  <si>
    <t>-71034</t>
  </si>
  <si>
    <t>LEVEL 8 601 BOURKE ST</t>
  </si>
  <si>
    <t>MELBOURNE
VIC</t>
  </si>
  <si>
    <t>3000</t>
  </si>
  <si>
    <t>AT251200007000010023722</t>
  </si>
  <si>
    <t>AT251200007000010023770</t>
  </si>
  <si>
    <t>LS THE FACTORY THEATRE  MARRICKVILLE</t>
  </si>
  <si>
    <t>105 VICTORIA ROAD</t>
  </si>
  <si>
    <t>MARRICKVILLE
NSW</t>
  </si>
  <si>
    <t>2204</t>
  </si>
  <si>
    <t>AT251210004000010243862</t>
  </si>
  <si>
    <t>OPENAI *CHATGPT SUBSCR  SAN FRANCISCO</t>
  </si>
  <si>
    <t>22.00 USD</t>
  </si>
  <si>
    <t>3180 18TH ST
STE 100</t>
  </si>
  <si>
    <t>SAN FRANCISCO
CA</t>
  </si>
  <si>
    <t>94110</t>
  </si>
  <si>
    <t>UNITED STATES</t>
  </si>
  <si>
    <t>AT251210004000010239394</t>
  </si>
  <si>
    <t>THE COFFEE EMPORIUM WES WEST RYDE</t>
  </si>
  <si>
    <t>SHOP 9A 14 ANTHONY ROAD</t>
  </si>
  <si>
    <t>WEST RYDE
NSW</t>
  </si>
  <si>
    <t>2114</t>
  </si>
  <si>
    <t>AT251210004000010287317</t>
  </si>
  <si>
    <t>29/04/2025</t>
  </si>
  <si>
    <t>2CO.COM*BITDEFENDER     AMSTERDAM</t>
  </si>
  <si>
    <t>"SINGEL 250,  4TH FLOOR, 1016 AB"
"1ST FLOOR , 101 OFFICE"
AMSTERDAM</t>
  </si>
  <si>
    <t>1081 CN</t>
  </si>
  <si>
    <t>NETHERLANDS</t>
  </si>
  <si>
    <t>AT251200003000010201779</t>
  </si>
  <si>
    <t>LINKT SYDNEY            SYDNEY</t>
  </si>
  <si>
    <t>LVL 31 TOWER 5 COLLINS SQUARE
727 COLLINS STREET</t>
  </si>
  <si>
    <t>DOCKLANDS
VIC</t>
  </si>
  <si>
    <t>3008</t>
  </si>
  <si>
    <t>AT251200003000010203288</t>
  </si>
  <si>
    <t>PAYPAL *PYPL PAYIN4     1800073263</t>
  </si>
  <si>
    <t xml:space="preserve">GENERAL
Reference:
</t>
  </si>
  <si>
    <t>1 YORK STREET</t>
  </si>
  <si>
    <t>AT251200003000010196108</t>
  </si>
  <si>
    <t>REDLANDS FIREWOOD       Mt Hunter</t>
  </si>
  <si>
    <t>95 CALF FARM ROAD</t>
  </si>
  <si>
    <t>MT HUNTER
NSW</t>
  </si>
  <si>
    <t>2557</t>
  </si>
  <si>
    <t>ZLR*GALERIE CAFE GALERI ST LEONARDS</t>
  </si>
  <si>
    <t>66 PACIFIC HIGHWAY</t>
  </si>
  <si>
    <t>ST LEONARDS
NSW</t>
  </si>
  <si>
    <t>2065</t>
  </si>
  <si>
    <t>AT251200003000010242730</t>
  </si>
  <si>
    <t>28/04/2025</t>
  </si>
  <si>
    <t>HARVEST                 NEW YORK</t>
  </si>
  <si>
    <t>55.00 USD</t>
  </si>
  <si>
    <t>16 WEST 22ND ST FL 8</t>
  </si>
  <si>
    <t>NEW YORK
NY</t>
  </si>
  <si>
    <t>10010</t>
  </si>
  <si>
    <t>AT251190003000010222292</t>
  </si>
  <si>
    <t>AT251180009000010045261</t>
  </si>
  <si>
    <t>MODPOD PODIATRY RYDE P  NORTH RYDE</t>
  </si>
  <si>
    <t>136 COXS ROAD</t>
  </si>
  <si>
    <t>NORTH RYDE
NSW</t>
  </si>
  <si>
    <t>2113</t>
  </si>
  <si>
    <t>AT251190003000010196528</t>
  </si>
  <si>
    <t>27/04/2025</t>
  </si>
  <si>
    <t>KINDLE UNLTD            503-7150002</t>
  </si>
  <si>
    <t>410 TERRY AVE NORTH</t>
  </si>
  <si>
    <t>SEATTLE
WA</t>
  </si>
  <si>
    <t>98109</t>
  </si>
  <si>
    <t>AT251180004000010178803</t>
  </si>
  <si>
    <t>NAKEDPASTOR             QUISPAMSIS</t>
  </si>
  <si>
    <t>15.00 USD</t>
  </si>
  <si>
    <t>564 GONDOLA POINT RD</t>
  </si>
  <si>
    <t>QUISPAMSIS
NB</t>
  </si>
  <si>
    <t>E2E 1H6</t>
  </si>
  <si>
    <t>CANADA</t>
  </si>
  <si>
    <t>AT251180004000010194300</t>
  </si>
  <si>
    <t>AT251180004000010192209</t>
  </si>
  <si>
    <t>AT251180004000010193561</t>
  </si>
  <si>
    <t>26/04/2025</t>
  </si>
  <si>
    <t>25/04/2025</t>
  </si>
  <si>
    <t>AMAZON AU               SYDNEY SOUTH</t>
  </si>
  <si>
    <t>2 PARK STREET
LEVEL 37</t>
  </si>
  <si>
    <t>AT251170003000010155913</t>
  </si>
  <si>
    <t>AT251160003000010136750</t>
  </si>
  <si>
    <t>AMAZON MARKETPLACE AU   SYDNEY SOUTH</t>
  </si>
  <si>
    <t>AT251180004000010176430</t>
  </si>
  <si>
    <t>MASTERLOCKSMITHS ASSOC  MELBOURNE</t>
  </si>
  <si>
    <t>470 STREET
KILDA ROAD GROUND FLOOR</t>
  </si>
  <si>
    <t>3004</t>
  </si>
  <si>
    <t>AT251150003000010256720</t>
  </si>
  <si>
    <t>24/04/2025</t>
  </si>
  <si>
    <t>AT251150003000010200224</t>
  </si>
  <si>
    <t>AT251150003000010229162</t>
  </si>
  <si>
    <t>B2BPAY 8030455901       BALMAIN</t>
  </si>
  <si>
    <t>SOMERSET MEWS
55 ROSEBERRY PLACE</t>
  </si>
  <si>
    <t>BALMAIN
NSW</t>
  </si>
  <si>
    <t>2041</t>
  </si>
  <si>
    <t>AT251150003000010193437</t>
  </si>
  <si>
    <t>AT251150003000010193438</t>
  </si>
  <si>
    <t>DBS*FITNESS FIRST CHAT  CHATSWOOD</t>
  </si>
  <si>
    <t>24 ENDEAVOUR ST</t>
  </si>
  <si>
    <t>CHATSWOOD
NSW</t>
  </si>
  <si>
    <t>2067</t>
  </si>
  <si>
    <t>AT251150003000010255609</t>
  </si>
  <si>
    <t>AT251150003000010209180</t>
  </si>
  <si>
    <t>TEMU.COM                PARRAMATTA</t>
  </si>
  <si>
    <t>60 2 2 OCONNELL STREET
NSW</t>
  </si>
  <si>
    <t>PARRAMATTA
NSW</t>
  </si>
  <si>
    <t>2150</t>
  </si>
  <si>
    <t>AT251140004000010283457</t>
  </si>
  <si>
    <t>AT251140004000010283463</t>
  </si>
  <si>
    <t>AT251140004000010283479</t>
  </si>
  <si>
    <t>AT251140004000010276866</t>
  </si>
  <si>
    <t>23/04/2025</t>
  </si>
  <si>
    <t>HAIGH'S CHATSWOOD       Chatswood</t>
  </si>
  <si>
    <t>320 VICTORIA AVENUE</t>
  </si>
  <si>
    <t>AT251140004000010264150</t>
  </si>
  <si>
    <t>AT251140004000010288070</t>
  </si>
  <si>
    <t>TICKETS*THE MISDEE      BELROSE</t>
  </si>
  <si>
    <t>LEVEL 1 1-5 HICKSON ROAD</t>
  </si>
  <si>
    <t>THE ROCKS
NSW</t>
  </si>
  <si>
    <t>AT251140004000010286978</t>
  </si>
  <si>
    <t>TRANSPORT FOR NSW-OPAL  CHIPPENDALE</t>
  </si>
  <si>
    <t>LEVEL 3 4 PARRAMATTA SQUARE 4PSQ
12 DARCY STREET</t>
  </si>
  <si>
    <t>AT251140004000010268281</t>
  </si>
  <si>
    <t>22/04/2025</t>
  </si>
  <si>
    <t>CKO*RESOLUTTY.COM 52924 TALLINN</t>
  </si>
  <si>
    <t>39.99 USD</t>
  </si>
  <si>
    <t>HARJU MAAKOND  NOMME LINNAOSA
TALLINN</t>
  </si>
  <si>
    <t>11612</t>
  </si>
  <si>
    <t>ESTONIA</t>
  </si>
  <si>
    <t>AT251130003000010221340</t>
  </si>
  <si>
    <t>PAYPAL *TEMU COM        3024806118</t>
  </si>
  <si>
    <t xml:space="preserve">DEPARTMENT STORE
Reference:
</t>
  </si>
  <si>
    <t>60 2 OCONNELL STREET</t>
  </si>
  <si>
    <t>AT251150003000010210682</t>
  </si>
  <si>
    <t>SP DINEAMIC             TEMPLESTOWE</t>
  </si>
  <si>
    <t>5 WEBSTER ROAD</t>
  </si>
  <si>
    <t>TEMPLESTOWE
VIC</t>
  </si>
  <si>
    <t>3106</t>
  </si>
  <si>
    <t>AT251120003000010158307</t>
  </si>
  <si>
    <t>WOOLWORTHS ONLINE 8843  BELLA VISTA</t>
  </si>
  <si>
    <t>1 WOOLWORTHS WAY</t>
  </si>
  <si>
    <t>BELLA VISTA
NSW</t>
  </si>
  <si>
    <t>2153</t>
  </si>
  <si>
    <t>AT251130003000010197349</t>
  </si>
  <si>
    <t>21/04/2025</t>
  </si>
  <si>
    <t>AMAZON.CA PRIME MEMBER  AMAZON.CA/PRI</t>
  </si>
  <si>
    <t>11.49 CAD</t>
  </si>
  <si>
    <t>SUITE 2700
1133 MELVILLE STREET</t>
  </si>
  <si>
    <t>VANCOUVER
BC</t>
  </si>
  <si>
    <t>V6E 4E5</t>
  </si>
  <si>
    <t>AT251120003000010138712</t>
  </si>
  <si>
    <t>CLAUDE.AI SUBSCRIPTION  SAN FRANCISCO</t>
  </si>
  <si>
    <t>731 SANSOME ST</t>
  </si>
  <si>
    <t>94111</t>
  </si>
  <si>
    <t>AT251120009000010044524</t>
  </si>
  <si>
    <t>PAYPAL *GODADDY.COM     4805058855</t>
  </si>
  <si>
    <t xml:space="preserve">WEB HOSTING AND DES
Reference:
</t>
  </si>
  <si>
    <t>GLOBAL</t>
  </si>
  <si>
    <t>4805058855</t>
  </si>
  <si>
    <t>85260</t>
  </si>
  <si>
    <t>UNITED STATES OF AMERICA (THE)</t>
  </si>
  <si>
    <t>AT251140004000010288492</t>
  </si>
  <si>
    <t>UBER ONE                HELP.UBER.COM</t>
  </si>
  <si>
    <t>LEVEL 2
625 HARRIS ST</t>
  </si>
  <si>
    <t>ULTIMO
NSW</t>
  </si>
  <si>
    <t>2007</t>
  </si>
  <si>
    <t>AT251120003000010189829</t>
  </si>
  <si>
    <t>20/04/2025</t>
  </si>
  <si>
    <t>AT251110003000010135973</t>
  </si>
  <si>
    <t>AT251110010000010035317</t>
  </si>
  <si>
    <t>MCLUU                   DARLINGHURST</t>
  </si>
  <si>
    <t>10 TAYLOR ST</t>
  </si>
  <si>
    <t>DARLINGHURST
NSW</t>
  </si>
  <si>
    <t>2010</t>
  </si>
  <si>
    <t>AT251120003000010167221</t>
  </si>
  <si>
    <t>MCLUU PTY LTD 173119    SURRY HILLS</t>
  </si>
  <si>
    <t>10 TAYLOR STREET</t>
  </si>
  <si>
    <t>SURRY HILLS
NSW</t>
  </si>
  <si>
    <t>AT251110010000010028613</t>
  </si>
  <si>
    <t>PLAYBILL @ SCG          Surry Hills</t>
  </si>
  <si>
    <t>DRIVER AVENUE</t>
  </si>
  <si>
    <t>MOORE PARK
NSW</t>
  </si>
  <si>
    <t>2021</t>
  </si>
  <si>
    <t>AT251110003000010142604</t>
  </si>
  <si>
    <t>STONEWALL HOTEL PTY LIM DARLINGHURST</t>
  </si>
  <si>
    <t>175 OXFORD ST</t>
  </si>
  <si>
    <t>AT251120003000010142808</t>
  </si>
  <si>
    <t>SYDNEY CRICKET GROUND   MOORE PARK</t>
  </si>
  <si>
    <t>AT251120003000010173175</t>
  </si>
  <si>
    <t>AT251120003000010173131</t>
  </si>
  <si>
    <t>AT251120003000010173259</t>
  </si>
  <si>
    <t>AT251120003000010173319</t>
  </si>
  <si>
    <t>AT251120003000010173308</t>
  </si>
  <si>
    <t>18/04/2025</t>
  </si>
  <si>
    <t>19/04/2025</t>
  </si>
  <si>
    <t>BOX_UK                  LONDON</t>
  </si>
  <si>
    <t>105.00 USD</t>
  </si>
  <si>
    <t>1 14TH NORTH 15TH FLOOR OLD STREET YARD OL</t>
  </si>
  <si>
    <t>LONDON
ENG</t>
  </si>
  <si>
    <t>EC1Y 8AF</t>
  </si>
  <si>
    <t>UNITED KINGDOM OF GB AND NI</t>
  </si>
  <si>
    <t>AT251090003000010168730</t>
  </si>
  <si>
    <t>AT251090003000010172989</t>
  </si>
  <si>
    <t>AT251090003000010173096</t>
  </si>
  <si>
    <t>17/04/2025</t>
  </si>
  <si>
    <t>AT251070010000010031416</t>
  </si>
  <si>
    <t>AT251080003000010228772</t>
  </si>
  <si>
    <t>HLTH ADVC PHRMCY NR     NORTH RYDE</t>
  </si>
  <si>
    <t>AT251090003000010158278</t>
  </si>
  <si>
    <t>16/04/2025</t>
  </si>
  <si>
    <t>FONEBOX                 SYDNEY</t>
  </si>
  <si>
    <t>LEVEL 4
580 GEORGE STREET</t>
  </si>
  <si>
    <t>AT251070003000010237648</t>
  </si>
  <si>
    <t>AT251070003000010230936</t>
  </si>
  <si>
    <t>AT251060003000010198900</t>
  </si>
  <si>
    <t>AT251060003000010198906</t>
  </si>
  <si>
    <t>AT251060003000010198907</t>
  </si>
  <si>
    <t>AT251060003000010198910</t>
  </si>
  <si>
    <t>YES IVORY THAI PTY LTD  NORTH RYDE</t>
  </si>
  <si>
    <t>UNIT 4 144-148 COXS ROAD</t>
  </si>
  <si>
    <t>AT251070003000010210167</t>
  </si>
  <si>
    <t>15/04/2025</t>
  </si>
  <si>
    <t>FRAUDSEC T/A WHISPLI    NORTH SYDNEY</t>
  </si>
  <si>
    <t>24 32 LEXINGTON DRIVE
SUITE A10</t>
  </si>
  <si>
    <t>AT251050003000010204544</t>
  </si>
  <si>
    <t>AT251060003000010198185</t>
  </si>
  <si>
    <t>AT251080003000010283321</t>
  </si>
  <si>
    <t>AT251070003000010217520</t>
  </si>
  <si>
    <t>AT251080003000010283322</t>
  </si>
  <si>
    <t>AT251060003000010195870</t>
  </si>
  <si>
    <t>RYDE MART PTY LTD       NORTH RYDE</t>
  </si>
  <si>
    <t>UNIT 1 1 NETWORK PLACE</t>
  </si>
  <si>
    <t>AT251070003000010207705</t>
  </si>
  <si>
    <t>13/04/2025</t>
  </si>
  <si>
    <t>HILTON ADELAIDE         ADELAIDE</t>
  </si>
  <si>
    <t>233 VICTORIA SQUARE</t>
  </si>
  <si>
    <t>ADELAIDE
SA</t>
  </si>
  <si>
    <t>5000</t>
  </si>
  <si>
    <t>AT251030010000010024528</t>
  </si>
  <si>
    <t>14/04/2025</t>
  </si>
  <si>
    <t>INDEPENDENT 132211      TORRENSVILLE</t>
  </si>
  <si>
    <t>0000000000000000000000000</t>
  </si>
  <si>
    <t>TORRENSVILLE</t>
  </si>
  <si>
    <t>AT251040003000010198050</t>
  </si>
  <si>
    <t>AT251040003000010184904</t>
  </si>
  <si>
    <t>AT251040003000010185418</t>
  </si>
  <si>
    <t>AT251060003000010207969</t>
  </si>
  <si>
    <t>AT251060003000010207457</t>
  </si>
  <si>
    <t>12/04/2025</t>
  </si>
  <si>
    <t>CUMBIA BAR AND KITCHEN  COROMANDEL VALL</t>
  </si>
  <si>
    <t>9 CRANE AVENUE</t>
  </si>
  <si>
    <t>COROMANDEL VALLEY
003</t>
  </si>
  <si>
    <t>5051</t>
  </si>
  <si>
    <t>AT251040003000010174534</t>
  </si>
  <si>
    <t>FLEURIEU MILK - CENTRAL Adelaide</t>
  </si>
  <si>
    <t>"STALL 9, ADELAIDE CENTRAL MARKETS 44-60"</t>
  </si>
  <si>
    <t>AT251020003000010259316</t>
  </si>
  <si>
    <t>GRIND ROAST MASTERS CEN Adelaide</t>
  </si>
  <si>
    <t>14 STALL
ADELAIDE CENTRAL MARKET</t>
  </si>
  <si>
    <t>AT251020003000010202374</t>
  </si>
  <si>
    <t>OMG DONUTS ADELAIDE CEN Adelaide</t>
  </si>
  <si>
    <t>44 60 GOUGER STREET</t>
  </si>
  <si>
    <t>AT251020003000010259591</t>
  </si>
  <si>
    <t>AT251020010000010023515</t>
  </si>
  <si>
    <t>SPOTIFY                 SYDNEY</t>
  </si>
  <si>
    <t>4TH 25 ARGYLL ST</t>
  </si>
  <si>
    <t>LONDON
LND</t>
  </si>
  <si>
    <t>W1F 7TU</t>
  </si>
  <si>
    <t>AT251030004000010162283</t>
  </si>
  <si>
    <t>THE METTWURST           ADELAIDE</t>
  </si>
  <si>
    <t>2244-60 GOUGER ST</t>
  </si>
  <si>
    <t>AT251040003000010174057</t>
  </si>
  <si>
    <t>11/04/2025</t>
  </si>
  <si>
    <t>ADELAIDE OVAL           NORTH ADELAIDE</t>
  </si>
  <si>
    <t>WAR MEMORIAL DRIVE</t>
  </si>
  <si>
    <t>NORTH ADELAIDE
SA</t>
  </si>
  <si>
    <t>5006</t>
  </si>
  <si>
    <t>AT251020003000010212425</t>
  </si>
  <si>
    <t>ADELAIDE OVAL SMA LTD   NORTH ADELAIDE</t>
  </si>
  <si>
    <t>ADELAIDE
OVAL WAR MEMORIAL DRIVE</t>
  </si>
  <si>
    <t>AT251030004000010170452</t>
  </si>
  <si>
    <t>AT251030004000010170438</t>
  </si>
  <si>
    <t>BOOST JUICE PTY LTD     CLAYTON</t>
  </si>
  <si>
    <t>LEVEL 8
M CITY BUILDING AND BUSINESS DI</t>
  </si>
  <si>
    <t>CLAYTON
VIC</t>
  </si>
  <si>
    <t>3168</t>
  </si>
  <si>
    <t>AT251020003000010242630</t>
  </si>
  <si>
    <t>AT251030010000010024530</t>
  </si>
  <si>
    <t>AT251020003000010270313</t>
  </si>
  <si>
    <t>SUBWAYCITYCROSS SUBWAYC ADELAIDE</t>
  </si>
  <si>
    <t>CITY CROSS ARCADE
CITY CROSS SHOPPING CENTRE
FC 09B GRENFELL ST</t>
  </si>
  <si>
    <t>AT251010010000010039407</t>
  </si>
  <si>
    <t>UNION UNIVERSITY &amp; SCH  SYDNEY</t>
  </si>
  <si>
    <t>25 BENT ST</t>
  </si>
  <si>
    <t>AT251010010000010033767</t>
  </si>
  <si>
    <t>10/04/2025</t>
  </si>
  <si>
    <t>AT251010004000010273582</t>
  </si>
  <si>
    <t>AT251000003000010154176</t>
  </si>
  <si>
    <t>DNH*GODADDY#3700548203  Sydney</t>
  </si>
  <si>
    <t>WEWORK ATTN GODADDY
LEVEL 4100 HARRIS STREET</t>
  </si>
  <si>
    <t>PYRMONT
NSW</t>
  </si>
  <si>
    <t>2009</t>
  </si>
  <si>
    <t>AT251020003000010260783</t>
  </si>
  <si>
    <t>TICKETEK PTY LTD        SYDNEY</t>
  </si>
  <si>
    <t>LEVEL 3 175 LIVERPOOL STREET</t>
  </si>
  <si>
    <t>AT251010004000010214874</t>
  </si>
  <si>
    <t>AT251010004000010214875</t>
  </si>
  <si>
    <t>VIRGIN AUSTRALIA 994030 BIRDSVILLE</t>
  </si>
  <si>
    <t xml:space="preserve">Ticket:         79544198146571          Passenger:         MASTERS/JASON MR
Reference:
</t>
  </si>
  <si>
    <t>56 EDMONDSTONE ROAD</t>
  </si>
  <si>
    <t>BOWEN HILLS
QLD</t>
  </si>
  <si>
    <t>4006</t>
  </si>
  <si>
    <t>AT251010004000010268038</t>
  </si>
  <si>
    <t xml:space="preserve">Ticket:         79544198146582          Passenger:         MASTERS/JASON MR
Reference:
</t>
  </si>
  <si>
    <t>AT251010004000010268039</t>
  </si>
  <si>
    <t xml:space="preserve">Routing:    From:     SYDNEY KINGSFORD S
To:       ADELAIDE          Carrier:  VA       Class: W
To:       SYDNEY KINGSFORD SCarrier:  VA       Class: C
Ticket:         79521091936974          Passenger:         MASTERS/JASON MR
Reference:
</t>
  </si>
  <si>
    <t>AT251010004000010267819</t>
  </si>
  <si>
    <t>09/04/2025</t>
  </si>
  <si>
    <t>AT251000003000010134984</t>
  </si>
  <si>
    <t>AT251000003000010160439</t>
  </si>
  <si>
    <t>AT251020003000010272940</t>
  </si>
  <si>
    <t>AT251020003000010272772</t>
  </si>
  <si>
    <t>YES IVORY THAI  PTY LT  NORTHRYDE</t>
  </si>
  <si>
    <t>4 144 148 COX ROAD</t>
  </si>
  <si>
    <t>AT251000003000010153526</t>
  </si>
  <si>
    <t>08/04/2025</t>
  </si>
  <si>
    <t>BUN ME                  SYDNEY</t>
  </si>
  <si>
    <t>SHOP 6.25 MLC CENTRE
19-29 MARTIN PLACE</t>
  </si>
  <si>
    <t>AT250980013000010120560</t>
  </si>
  <si>
    <t>CAMPERDOWN PHYSIOTHERAP NEWTOWN</t>
  </si>
  <si>
    <t>SUITE 104 100 CARILLON AVENUE</t>
  </si>
  <si>
    <t>NEWTOWN
NSW</t>
  </si>
  <si>
    <t>2042</t>
  </si>
  <si>
    <t>AT250980013000010100940</t>
  </si>
  <si>
    <t>CARILLON COMPOUNDING PH NEWTOWN</t>
  </si>
  <si>
    <t>100 CARILLON AVENUE</t>
  </si>
  <si>
    <t>AT250980013000010094136</t>
  </si>
  <si>
    <t>AT250990003000010154851</t>
  </si>
  <si>
    <t>LS CANVA SPACE          SURRY HILLS</t>
  </si>
  <si>
    <t>110 KIPPAX STREET</t>
  </si>
  <si>
    <t>AT250980003000010131220</t>
  </si>
  <si>
    <t>NEJM GRP MASS MED SOC A WALTHAM</t>
  </si>
  <si>
    <t>229.00 USD</t>
  </si>
  <si>
    <t>860 WINTER ST</t>
  </si>
  <si>
    <t>WALTHAM
MA</t>
  </si>
  <si>
    <t>02451-1411</t>
  </si>
  <si>
    <t>AT250990003000010156843</t>
  </si>
  <si>
    <t>NORTH RYDE RSL CLUB LTD NORTH RYDE</t>
  </si>
  <si>
    <t>CNR MAGDALA PITTWATER
RDS</t>
  </si>
  <si>
    <t>AT250990013000010123013</t>
  </si>
  <si>
    <t>AT251010004000010233823</t>
  </si>
  <si>
    <t>AT251010004000010233888</t>
  </si>
  <si>
    <t>07/04/2025</t>
  </si>
  <si>
    <t>FAIRFAX  - SUBSCRIPTION PYRMONT</t>
  </si>
  <si>
    <t>LEVEL 5 1 DARLING ISLAND ROAD</t>
  </si>
  <si>
    <t>AT250970009000010111267</t>
  </si>
  <si>
    <t>THE EXECUTIVE CENTRE (A Sydney</t>
  </si>
  <si>
    <t>17 ANGEL PLACE
LEVEL</t>
  </si>
  <si>
    <t>AT250980003000010117185</t>
  </si>
  <si>
    <t>AT250970009000010128407</t>
  </si>
  <si>
    <t>06/04/2025</t>
  </si>
  <si>
    <t>AT250970003000010202250</t>
  </si>
  <si>
    <t>BUNKER SYDNEY           Darlinghurst</t>
  </si>
  <si>
    <t>161 OXFORD ST</t>
  </si>
  <si>
    <t>AT250970003000010155433</t>
  </si>
  <si>
    <t>MAADHYA PTY LTD         KOGARAH</t>
  </si>
  <si>
    <t>12 REGENT STREET</t>
  </si>
  <si>
    <t>KOGARAH
NSW</t>
  </si>
  <si>
    <t>2217</t>
  </si>
  <si>
    <t>AT250970009000010118012</t>
  </si>
  <si>
    <t>AT250970009000010118186</t>
  </si>
  <si>
    <t>04/04/2025</t>
  </si>
  <si>
    <t>05/04/2025</t>
  </si>
  <si>
    <t>AD FREE FOR PRIMEVIDEO  SYDNEY</t>
  </si>
  <si>
    <t>2 PARK STREET L37</t>
  </si>
  <si>
    <t>AT250950004000010201750</t>
  </si>
  <si>
    <t>AT250960003000010172492</t>
  </si>
  <si>
    <t>03/04/2025</t>
  </si>
  <si>
    <t>AT250930010000010053672</t>
  </si>
  <si>
    <t>NEWS PTY LIMITED SURRY  SURRY HILLS</t>
  </si>
  <si>
    <t>2 HOLT ST
LEVEL 1</t>
  </si>
  <si>
    <t>AT250930010000010060286</t>
  </si>
  <si>
    <t>NOVOTELPERMURRAYST OPI  PERTH</t>
  </si>
  <si>
    <t>388 MURRAY ST NOVOTEL PERTH
MURRAY STREET</t>
  </si>
  <si>
    <t>PERTH
WA</t>
  </si>
  <si>
    <t>6000</t>
  </si>
  <si>
    <t>AT250950004000010203614</t>
  </si>
  <si>
    <t>AT250960003000010159991</t>
  </si>
  <si>
    <t>AT250940004000010218356</t>
  </si>
  <si>
    <t>THE RITZ-CARLTON PERTH</t>
  </si>
  <si>
    <t xml:space="preserve">Dining Benefit
</t>
  </si>
  <si>
    <t>1 BARRACK ST ELIZABETH QU</t>
  </si>
  <si>
    <t>AT250930003000010226832</t>
  </si>
  <si>
    <t>WHSPERTH T1 DOM CTN     PERTH</t>
  </si>
  <si>
    <t>1C206 - 1C
207 TERMINAL 1</t>
  </si>
  <si>
    <t>PERTH AIRPORT
WA</t>
  </si>
  <si>
    <t>6105</t>
  </si>
  <si>
    <t>AT250940004000010205684</t>
  </si>
  <si>
    <t>02/04/2025</t>
  </si>
  <si>
    <t>AURORE PATISSERIE 65013 PERTH</t>
  </si>
  <si>
    <t>THE TOWERS ELIZABETH
QUAY SHOP T1</t>
  </si>
  <si>
    <t>AT250920010000010068869</t>
  </si>
  <si>
    <t>GUSTO GELATO            PERTH</t>
  </si>
  <si>
    <t>GEOFFREY BOLTON AV</t>
  </si>
  <si>
    <t>PERTH</t>
  </si>
  <si>
    <t>6101</t>
  </si>
  <si>
    <t>AT250930003000010211987</t>
  </si>
  <si>
    <t>AT250930003000010207753</t>
  </si>
  <si>
    <t>AT250930003000010209525</t>
  </si>
  <si>
    <t>AT250950004000010239901</t>
  </si>
  <si>
    <t>AT250930003000010214397</t>
  </si>
  <si>
    <t>01/04/2025</t>
  </si>
  <si>
    <t>THE RITZ CARLTON PERTH  PERTH</t>
  </si>
  <si>
    <t>AT250930003000010227574</t>
  </si>
  <si>
    <t>WORKSPACE365.COM.AU     SYDNEY</t>
  </si>
  <si>
    <t xml:space="preserve">Arrive Date: 20250401                   Depart Date: 20250401
Reference: 00
</t>
  </si>
  <si>
    <t>62 66 GROSVENOR STREET</t>
  </si>
  <si>
    <t>AT250910003000010156190</t>
  </si>
  <si>
    <t>-25008</t>
  </si>
  <si>
    <t>AT251170006000010014454</t>
  </si>
  <si>
    <t>SP BAMBOO VILLAGE       GYMPIE DC</t>
  </si>
  <si>
    <t>66 SHADBOLT ROAD</t>
  </si>
  <si>
    <t>MOTHAR MOUNTAIN
QLD</t>
  </si>
  <si>
    <t>4570</t>
  </si>
  <si>
    <t>AT251180003000010130725</t>
  </si>
  <si>
    <t>D J*WSJ                 800-568-7625</t>
  </si>
  <si>
    <t>25.29 USD</t>
  </si>
  <si>
    <t>4300 RTE 1 NORTH</t>
  </si>
  <si>
    <t>SOUTH BRUNSWICK
NJ</t>
  </si>
  <si>
    <t>08852</t>
  </si>
  <si>
    <t>AT251170006000010014471</t>
  </si>
  <si>
    <t>GRAMMARLY CO*WK7E3X6    SAN FANCISCO</t>
  </si>
  <si>
    <t>JOSHUA MASTERS</t>
  </si>
  <si>
    <t>-22021</t>
  </si>
  <si>
    <t>139.95 USD</t>
  </si>
  <si>
    <t>548 MARKET ST
UNIT 35410</t>
  </si>
  <si>
    <t>94104</t>
  </si>
  <si>
    <t>AT251170004000010143801</t>
  </si>
  <si>
    <t>MWA*CHOICE Subscription Marrickville</t>
  </si>
  <si>
    <t>57 CARRINGTON ROAD</t>
  </si>
  <si>
    <t>AT251170004000010143384</t>
  </si>
  <si>
    <t>RESMED                  BELLA VISTA</t>
  </si>
  <si>
    <t>1 ELIZABETH MACARTHUR DRIVE</t>
  </si>
  <si>
    <t>AT251160004000010109270</t>
  </si>
  <si>
    <t>AT251140003000010148717</t>
  </si>
  <si>
    <t>COCACOLAEPP CocaColaEPP SYDNEY</t>
  </si>
  <si>
    <t>GROUND FLOOR 2 LUTON LANE</t>
  </si>
  <si>
    <t>HAWTHORN
VIC</t>
  </si>
  <si>
    <t>3122</t>
  </si>
  <si>
    <t>AT251150004000010142206</t>
  </si>
  <si>
    <t>SQUIRREL STREET         FRENCHS FOREST</t>
  </si>
  <si>
    <t>PO BOX
6488</t>
  </si>
  <si>
    <t>FRENCHS FOREST
NSW</t>
  </si>
  <si>
    <t>2086</t>
  </si>
  <si>
    <t>AT251130004000010132779</t>
  </si>
  <si>
    <t>AT251090004000010104621</t>
  </si>
  <si>
    <t>MENULOG PTY LTD         SYDNEY</t>
  </si>
  <si>
    <t>LEVEL 34
300 BARANGAROO AVENUE</t>
  </si>
  <si>
    <t>BARANGAROO
NSW</t>
  </si>
  <si>
    <t>AT251080004000010163958</t>
  </si>
  <si>
    <t>LINKEDIN PRE 1029672130 SINGAPORE</t>
  </si>
  <si>
    <t>21.95 USD</t>
  </si>
  <si>
    <t>SUBMISSION USD
SINGAPORE</t>
  </si>
  <si>
    <t>0000</t>
  </si>
  <si>
    <t>SINGAPORE</t>
  </si>
  <si>
    <t>AT251060004000010138139</t>
  </si>
  <si>
    <t>AMAYSIM MOBILE PTY LTD  SYDNEY</t>
  </si>
  <si>
    <t>17 BRIDGE ST</t>
  </si>
  <si>
    <t>AT251040004000010139677</t>
  </si>
  <si>
    <t>ADOBE SYSTEMS Adobe Sys SAGGART</t>
  </si>
  <si>
    <t>4-6 RIVERWALK
CITY WEST BUSINESS CAMPUS
SAGGART
DUBLIN</t>
  </si>
  <si>
    <t>24</t>
  </si>
  <si>
    <t>IRELAND</t>
  </si>
  <si>
    <t>AT251040004000010139770</t>
  </si>
  <si>
    <t>OTT* DEKKOO             DELANCEY</t>
  </si>
  <si>
    <t>2949 FALL CLOVE RD</t>
  </si>
  <si>
    <t>DE LANCEY
NY</t>
  </si>
  <si>
    <t>13752</t>
  </si>
  <si>
    <t>AT251030009000010013559</t>
  </si>
  <si>
    <t>AT251030003000010147976</t>
  </si>
  <si>
    <t>AUDIBLE PAYMENT AU      SYDNEY</t>
  </si>
  <si>
    <t>SYDNEY SOUTH
NSW</t>
  </si>
  <si>
    <t>AT251020004000010155037</t>
  </si>
  <si>
    <t>CKO*PATREON* MEMBERSHIP DUBLIN</t>
  </si>
  <si>
    <t>SUITE 3  ONE EARLSFORT CENTRE
DUBLIN</t>
  </si>
  <si>
    <t>DUBLIN 2</t>
  </si>
  <si>
    <t>AT251020004000010155549</t>
  </si>
  <si>
    <t>AT251020004000010155069</t>
  </si>
  <si>
    <t>AMEX TRAVEL ONLINE MERC SYDNEY</t>
  </si>
  <si>
    <t>12 SHELLEY ST</t>
  </si>
  <si>
    <t>AT251050004000010123676</t>
  </si>
  <si>
    <t>6 17 19 BRIDGE STREET
LEVEL</t>
  </si>
  <si>
    <t>AT250980004000010063561</t>
  </si>
  <si>
    <t>LINKEDINPRE *31908704   SYDNEY NSW</t>
  </si>
  <si>
    <t>CROFTS CHARTERED ACCOUNTS
LEVEL 10 50 BERRY STREET</t>
  </si>
  <si>
    <t>NORTH SYDNEY
NSW</t>
  </si>
  <si>
    <t>2060</t>
  </si>
  <si>
    <t>AT250980004000010063470</t>
  </si>
  <si>
    <t>AMPOL AUSTRALIA APP SYD SYDNEY</t>
  </si>
  <si>
    <t>LEVEL 24 2
MARKET STREET</t>
  </si>
  <si>
    <t>AT250970010000010072477</t>
  </si>
  <si>
    <t>DOMINO'S ESTORE NORTH R NORTH RYDE</t>
  </si>
  <si>
    <t>SHOP 1 203 COXS ROAD</t>
  </si>
  <si>
    <t>AT250960004000010142760</t>
  </si>
  <si>
    <t>AT250950003000010133653</t>
  </si>
  <si>
    <t>RED ENERGY              CREMORNE</t>
  </si>
  <si>
    <t>570 CHURCH ST</t>
  </si>
  <si>
    <t>CREMORNE
VIC</t>
  </si>
  <si>
    <t>3121</t>
  </si>
  <si>
    <t>AT250940003000010130034</t>
  </si>
  <si>
    <t>UBER TRIP               HELP.UBER.COM</t>
  </si>
  <si>
    <t>AT250920009000010024432</t>
  </si>
  <si>
    <t>AT250920004000010092405</t>
  </si>
  <si>
    <t>THE ASSOCIATION OF PROF WEST MELBOURNE</t>
  </si>
  <si>
    <t>148 152 MILLER STREET</t>
  </si>
  <si>
    <t>WEST MELBOURNE
VIC</t>
  </si>
  <si>
    <t>3003</t>
  </si>
  <si>
    <t>AT250910010000010061536</t>
  </si>
  <si>
    <t>AT250910010000010061276</t>
  </si>
  <si>
    <t>TEMU.COM                  PARRAMATTA</t>
  </si>
  <si>
    <t>JASON P. MASTERS</t>
  </si>
  <si>
    <t>ANZ CC</t>
  </si>
  <si>
    <t>TAYLOR SQUARE FUND PTY    DARLINGHURST</t>
  </si>
  <si>
    <t>PRESSNET                  TRINITY.OPOKA  41.91  USD 1.97 AUD</t>
  </si>
  <si>
    <t>Rivareno Gelato Darlin    Darlinghurst</t>
  </si>
  <si>
    <t>5 BUCK PTY LTD            MILSONS POINT</t>
  </si>
  <si>
    <t>OF                        London  8.79  USD 0.41 AUD</t>
  </si>
  <si>
    <t>B2BS CAFE  RESTAURANT     CHATSWOOD</t>
  </si>
  <si>
    <t>LAMB AND CUMIN            CHATSWOOD</t>
  </si>
  <si>
    <t>SYDNEYSWANS MEMBERSHIP    MELBOURNE</t>
  </si>
  <si>
    <t>OF                        London  16.49  USD 0.78 AUD</t>
  </si>
  <si>
    <t>AFTERPAY                  AFTERPAY.COM/</t>
  </si>
  <si>
    <t>Afterpay                  afterpay.com</t>
  </si>
  <si>
    <t>AFL RECORD                SOUTHBANK</t>
  </si>
  <si>
    <t>OF                        London  13.19  USD 0.64 AUD</t>
  </si>
  <si>
    <t>ALDI STORES - NORTH RY    NORTH RYDE</t>
  </si>
  <si>
    <t>OF                        London  11.00  USD 0.55 AUD</t>
  </si>
  <si>
    <t>OF                        London  6.99  USD 0.35 AUD</t>
  </si>
  <si>
    <t>CMEDIA                    612-234-5288  34.99  USD 1.76 AUD</t>
  </si>
  <si>
    <t>OF                        LONDON  16.49  USD 0.83 AUD</t>
  </si>
  <si>
    <t>OF                        LONDON  5.00  USD 0.25 AUD</t>
  </si>
  <si>
    <t>OF                        LONDON  6.59  USD 0.33 AUD</t>
  </si>
  <si>
    <t>WELL BEAN CAFE            NEWTOWN</t>
  </si>
  <si>
    <t>ZLR*Cupino Central        Surry Hills</t>
  </si>
  <si>
    <t>CCBill.com  *Himeros.tv / 888-5969279  74.85  USD 3.69 AUD</t>
  </si>
  <si>
    <t>HUBBL - KAYO SPORTS       NORTH RYDE</t>
  </si>
  <si>
    <t>INTEREST CHARGED ON PURCHASES</t>
  </si>
  <si>
    <t>OF                        LONDON  26.40  USD 1.30 AUD</t>
  </si>
  <si>
    <t>OF                        LONDON  5.50  USD 0.27 AUD</t>
  </si>
  <si>
    <t>QUIZLET.COM               510-495-6550  19.99  USD 0.96 AUD</t>
  </si>
  <si>
    <t>OF                        LONDON  11.00  USD 0.53 AUD</t>
  </si>
  <si>
    <t>NovotelPerMurrayst SPI    Perth</t>
  </si>
  <si>
    <t>PUBLIC TRANSPORT AUTHO    PERTH</t>
  </si>
  <si>
    <t>RELAY B1 AIRPORT PP       PHNOM PENH  3.75  USD 0.18 AUD</t>
  </si>
  <si>
    <t>PNH AS DAIRY QUEEN        PHNOM PENH  1.50  USD 0.07 AUD</t>
  </si>
  <si>
    <t>BROWN RIVERSIDE           PHNOM PENH CI  10.00  USD 0.48 AUD</t>
  </si>
  <si>
    <t>APPLE.COM/BILL SYDNEY</t>
  </si>
  <si>
    <t>Card ending 2145</t>
  </si>
  <si>
    <t>NAB CC</t>
  </si>
  <si>
    <t>CREDIT CARD PURCHASE</t>
  </si>
  <si>
    <t>Subscriptions</t>
  </si>
  <si>
    <t>Apple (App Store)</t>
  </si>
  <si>
    <t>TEMU.COM PARRAMATTA</t>
  </si>
  <si>
    <t>Other shopping</t>
  </si>
  <si>
    <t>Temu Australia</t>
  </si>
  <si>
    <t>Patreon* Membership Internet</t>
  </si>
  <si>
    <t>Services</t>
  </si>
  <si>
    <t>Patreon Australia</t>
  </si>
  <si>
    <t>NAB INTNL TRAN FEE - (MC)</t>
  </si>
  <si>
    <t>FEES</t>
  </si>
  <si>
    <t>Fees</t>
  </si>
  <si>
    <t>ASIC SYDNEY</t>
  </si>
  <si>
    <t>Government</t>
  </si>
  <si>
    <t>Australian Securities &amp; Investments Commission</t>
  </si>
  <si>
    <t>TFNSW RAIL OPAL MASCOT</t>
  </si>
  <si>
    <t>Public transport</t>
  </si>
  <si>
    <t>Transport NSW</t>
  </si>
  <si>
    <t>ADELAIDE METRO TAP ADELAIDE</t>
  </si>
  <si>
    <t>Adelaide Metro</t>
  </si>
  <si>
    <t>NURTURE NOURISH THRIVE MACQUARIE PAR</t>
  </si>
  <si>
    <t>Uncategorised</t>
  </si>
  <si>
    <t>NORTH RYDE R S L COMMU NORTH RYDE</t>
  </si>
  <si>
    <t>Restaurants &amp; takeaway</t>
  </si>
  <si>
    <t>North Ryde RSL</t>
  </si>
  <si>
    <t>Inner West Pain Centr Newtown</t>
  </si>
  <si>
    <t>Medical</t>
  </si>
  <si>
    <t>Inner West Pain Centre</t>
  </si>
  <si>
    <t>TFNSW TRANSPORT SHOP HAYMARKET</t>
  </si>
  <si>
    <t>RESOLUTION LIFE QB SYDNEY</t>
  </si>
  <si>
    <t>Insurance</t>
  </si>
  <si>
    <t>Resolution Life Australasia</t>
  </si>
  <si>
    <t>PUBLIC TRANSPORT AUTHO PERTH</t>
  </si>
  <si>
    <t>Travel expenses</t>
  </si>
  <si>
    <t>Public Transport Authority of Western Australia</t>
  </si>
  <si>
    <t>ASTERON LIFE SYDNEY</t>
  </si>
  <si>
    <t>Asteron</t>
  </si>
  <si>
    <t>WESTERN DISTRICT HEALT LITHGOW</t>
  </si>
  <si>
    <t>Westfund</t>
  </si>
  <si>
    <t>NovotelPerMurrayst SPI Perth</t>
  </si>
  <si>
    <t>Accommodation</t>
  </si>
  <si>
    <t>Novotel (Murray St Perth)</t>
  </si>
  <si>
    <t>PETCOVER AUST PTY LT TULLAMARINE</t>
  </si>
  <si>
    <t>Petcover</t>
  </si>
  <si>
    <t>Z</t>
  </si>
  <si>
    <t>PUBLIC_TRANSPORT</t>
  </si>
  <si>
    <t>MOBILE</t>
  </si>
  <si>
    <t>TRAVEL_DOM_AIR</t>
  </si>
  <si>
    <t>PETROL</t>
  </si>
  <si>
    <t>BUSINESS_REGISTRATION</t>
  </si>
  <si>
    <t>P</t>
  </si>
  <si>
    <t>PERSONAL_INSURANCE</t>
  </si>
  <si>
    <t>TRAVEL_DOM_MEALS</t>
  </si>
  <si>
    <t>PROFESSIONAL_DEVELOPMENT</t>
  </si>
  <si>
    <t>MEDICAL_PHYSIO</t>
  </si>
  <si>
    <t>MEDICAL_PHARMA</t>
  </si>
  <si>
    <t>NEWSPAPERS_MAGAZINES</t>
  </si>
  <si>
    <t>INTERNET</t>
  </si>
  <si>
    <t>TELEPHONE</t>
  </si>
  <si>
    <t>TRAVEL_DOM_ACCOM</t>
  </si>
  <si>
    <t>INSURANCE_PREMIUM__FUNDING</t>
  </si>
  <si>
    <t>MEDICAL_DOCTOR</t>
  </si>
  <si>
    <t>TOLS_PARKING</t>
  </si>
  <si>
    <t>MEDICAL_POD</t>
  </si>
  <si>
    <t>BANK_FEES</t>
  </si>
  <si>
    <t>MEDICAL_THERAPY</t>
  </si>
  <si>
    <t>GAS/ELECTRICITY</t>
  </si>
  <si>
    <t>MEDICAL_OTHER</t>
  </si>
  <si>
    <t>TRAVE_DOM_MEALS</t>
  </si>
  <si>
    <t>PROFESSIONAL_ASSOCIATION</t>
  </si>
  <si>
    <t>TAXI</t>
  </si>
  <si>
    <t>HEALTH_INSURANCE</t>
  </si>
  <si>
    <t>OFFICE_RENTAL</t>
  </si>
  <si>
    <t>BANK_FEES Total</t>
  </si>
  <si>
    <t>BUSINESS_REGISTRATION Total</t>
  </si>
  <si>
    <t>CAR_PARK Total</t>
  </si>
  <si>
    <t>COMPUTER_SUBSCRIPTION Total</t>
  </si>
  <si>
    <t>INSURANCE_PREMIUM__FUNDING Total</t>
  </si>
  <si>
    <t>INTEREST Total</t>
  </si>
  <si>
    <t>INTERNET Total</t>
  </si>
  <si>
    <t>MEDICAL_DOCTOR Total</t>
  </si>
  <si>
    <t>MOBILE Total</t>
  </si>
  <si>
    <t>NEWSPAPERS_MAGAZINES Total</t>
  </si>
  <si>
    <t>OFFICE_RENTAL Total</t>
  </si>
  <si>
    <t>PETROL Total</t>
  </si>
  <si>
    <t>PROFESSIONAL_ASSOCIATION Total</t>
  </si>
  <si>
    <t>PROFESSIONAL_DEVELOPMENT Total</t>
  </si>
  <si>
    <t>PUBLIC_TRANSPORT Total</t>
  </si>
  <si>
    <t>SUBC_ILOMIS Total</t>
  </si>
  <si>
    <t>SUBC_MBURKITT Total</t>
  </si>
  <si>
    <t>SUBC_PMARSH Total</t>
  </si>
  <si>
    <t>TAXI Total</t>
  </si>
  <si>
    <t>TELEPHONE Total</t>
  </si>
  <si>
    <t>TOLS_PARKING Total</t>
  </si>
  <si>
    <t>TRAVE_DOM_MEALS Total</t>
  </si>
  <si>
    <t>TRAVEL_DOM_ACCOM Total</t>
  </si>
  <si>
    <t>TRAVEL_DOM_AIR Total</t>
  </si>
  <si>
    <t>TRAVEL_DOM_MEALS Total</t>
  </si>
  <si>
    <t>Grand Total</t>
  </si>
  <si>
    <t>COMPUTER_HARDWARE</t>
  </si>
  <si>
    <t>MOTOR_VEHICHLE</t>
  </si>
  <si>
    <t>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</si>
</sst>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d/mm/yyyy;@"/>
  </numFmts>
  <fonts count="7" x14ac:knownFonts="1">
    <font>
      <sz val="11"/>
      <color indexed="8"/>
      <name val="Aptos Narrow"/>
      <family val="2"/>
      <scheme val="minor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18"/>
      <name val="Calibri"/>
      <family val="2"/>
    </font>
    <font>
      <sz val="11"/>
      <color indexed="8"/>
      <name val="Calibri"/>
      <family val="2"/>
    </font>
    <font>
      <b/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rgb="FFF2F2F2"/>
      </left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0" fillId="0" borderId="0" xfId="0" applyNumberFormat="1"/>
    <xf numFmtId="164" fontId="0" fillId="0" borderId="0" xfId="0" applyNumberFormat="1"/>
    <xf numFmtId="164" fontId="3" fillId="2" borderId="2" xfId="0" applyNumberFormat="1" applyFont="1" applyFill="1" applyBorder="1" applyAlignment="1">
      <alignment horizontal="center" wrapText="1"/>
    </xf>
    <xf numFmtId="164" fontId="1" fillId="2" borderId="2" xfId="0" applyNumberFormat="1" applyFont="1" applyFill="1" applyBorder="1" applyAlignment="1">
      <alignment horizontal="center" wrapText="1"/>
    </xf>
    <xf numFmtId="165" fontId="0" fillId="0" borderId="3" xfId="0" applyNumberFormat="1" applyBorder="1" applyAlignment="1">
      <alignment horizontal="center"/>
    </xf>
    <xf numFmtId="14" fontId="0" fillId="0" borderId="3" xfId="0" applyNumberFormat="1" applyBorder="1"/>
    <xf numFmtId="0" fontId="0" fillId="0" borderId="3" xfId="0" applyBorder="1"/>
    <xf numFmtId="0" fontId="0" fillId="0" borderId="3" xfId="0" applyBorder="1" applyAlignment="1">
      <alignment horizontal="left"/>
    </xf>
    <xf numFmtId="164" fontId="0" fillId="0" borderId="3" xfId="0" applyNumberFormat="1" applyBorder="1"/>
    <xf numFmtId="15" fontId="0" fillId="0" borderId="3" xfId="0" applyNumberFormat="1" applyBorder="1"/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165" fontId="3" fillId="3" borderId="2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wrapText="1"/>
    </xf>
    <xf numFmtId="0" fontId="0" fillId="3" borderId="0" xfId="0" applyFill="1"/>
    <xf numFmtId="164" fontId="3" fillId="3" borderId="2" xfId="0" applyNumberFormat="1" applyFont="1" applyFill="1" applyBorder="1" applyAlignment="1">
      <alignment horizontal="center" wrapText="1"/>
    </xf>
    <xf numFmtId="164" fontId="1" fillId="3" borderId="2" xfId="0" applyNumberFormat="1" applyFont="1" applyFill="1" applyBorder="1" applyAlignment="1">
      <alignment horizontal="center" wrapText="1"/>
    </xf>
    <xf numFmtId="164" fontId="4" fillId="0" borderId="3" xfId="0" applyNumberFormat="1" applyFont="1" applyBorder="1" applyAlignment="1">
      <alignment horizontal="right" wrapText="1"/>
    </xf>
    <xf numFmtId="0" fontId="2" fillId="0" borderId="3" xfId="0" applyFont="1" applyFill="1" applyBorder="1" applyAlignment="1">
      <alignment horizontal="left" wrapText="1"/>
    </xf>
    <xf numFmtId="2" fontId="2" fillId="0" borderId="3" xfId="0" applyNumberFormat="1" applyFont="1" applyFill="1" applyBorder="1" applyAlignment="1">
      <alignment horizontal="right" wrapText="1"/>
    </xf>
    <xf numFmtId="0" fontId="0" fillId="0" borderId="0" xfId="0" applyFill="1"/>
    <xf numFmtId="164" fontId="2" fillId="0" borderId="3" xfId="0" applyNumberFormat="1" applyFont="1" applyFill="1" applyBorder="1" applyAlignment="1">
      <alignment horizontal="right" wrapText="1"/>
    </xf>
    <xf numFmtId="165" fontId="2" fillId="0" borderId="3" xfId="0" applyNumberFormat="1" applyFont="1" applyFill="1" applyBorder="1" applyAlignment="1">
      <alignment horizontal="center" wrapText="1"/>
    </xf>
    <xf numFmtId="165" fontId="2" fillId="0" borderId="0" xfId="0" applyNumberFormat="1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wrapText="1"/>
    </xf>
    <xf numFmtId="164" fontId="2" fillId="0" borderId="0" xfId="0" applyNumberFormat="1" applyFont="1" applyFill="1" applyBorder="1" applyAlignment="1">
      <alignment horizontal="right" wrapText="1"/>
    </xf>
    <xf numFmtId="2" fontId="2" fillId="0" borderId="0" xfId="0" applyNumberFormat="1" applyFont="1" applyFill="1" applyBorder="1" applyAlignment="1">
      <alignment horizontal="right" wrapText="1"/>
    </xf>
    <xf numFmtId="0" fontId="0" fillId="0" borderId="3" xfId="0" applyFill="1" applyBorder="1"/>
    <xf numFmtId="0" fontId="2" fillId="0" borderId="1" xfId="0" applyFont="1" applyFill="1" applyBorder="1" applyAlignment="1">
      <alignment horizontal="left" wrapText="1"/>
    </xf>
    <xf numFmtId="165" fontId="0" fillId="0" borderId="0" xfId="0" applyNumberForma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left"/>
    </xf>
    <xf numFmtId="0" fontId="0" fillId="0" borderId="1" xfId="0" applyBorder="1"/>
    <xf numFmtId="0" fontId="2" fillId="0" borderId="3" xfId="0" quotePrefix="1" applyFont="1" applyFill="1" applyBorder="1" applyAlignment="1">
      <alignment horizontal="left" wrapText="1"/>
    </xf>
    <xf numFmtId="164" fontId="0" fillId="0" borderId="0" xfId="0" applyNumberFormat="1" applyBorder="1"/>
    <xf numFmtId="14" fontId="0" fillId="0" borderId="0" xfId="0" applyNumberFormat="1" applyBorder="1"/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165" fontId="5" fillId="0" borderId="1" xfId="0" applyNumberFormat="1" applyFont="1" applyBorder="1"/>
    <xf numFmtId="0" fontId="5" fillId="0" borderId="1" xfId="0" applyFont="1" applyBorder="1"/>
    <xf numFmtId="0" fontId="5" fillId="0" borderId="3" xfId="0" applyFont="1" applyBorder="1"/>
    <xf numFmtId="0" fontId="6" fillId="0" borderId="3" xfId="0" applyFont="1" applyFill="1" applyBorder="1" applyAlignment="1">
      <alignment horizontal="left" wrapText="1"/>
    </xf>
    <xf numFmtId="164" fontId="2" fillId="0" borderId="1" xfId="0" applyNumberFormat="1" applyFont="1" applyFill="1" applyBorder="1" applyAlignment="1">
      <alignment horizontal="right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7BF72-5622-AF4F-801D-C13672A5A2C0}">
  <dimension ref="B1:K13"/>
  <sheetViews>
    <sheetView tabSelected="1" workbookViewId="0">
      <selection activeCell="E7" sqref="E7"/>
    </sheetView>
  </sheetViews>
  <sheetFormatPr baseColWidth="10" defaultRowHeight="15" x14ac:dyDescent="0.2"/>
  <sheetData>
    <row r="1" spans="2:11" x14ac:dyDescent="0.2">
      <c r="E1" s="4"/>
    </row>
    <row r="2" spans="2:11" x14ac:dyDescent="0.2">
      <c r="E2" s="4"/>
    </row>
    <row r="3" spans="2:11" x14ac:dyDescent="0.2">
      <c r="B3" t="s">
        <v>19</v>
      </c>
      <c r="E3" s="4"/>
      <c r="I3" t="s">
        <v>20</v>
      </c>
    </row>
    <row r="4" spans="2:11" x14ac:dyDescent="0.2">
      <c r="E4" s="4"/>
    </row>
    <row r="5" spans="2:11" x14ac:dyDescent="0.2">
      <c r="C5" t="s">
        <v>21</v>
      </c>
      <c r="E5" s="4">
        <f>'EXPENSES MASTER SCDEDULE'!H93</f>
        <v>16856.089999999993</v>
      </c>
      <c r="I5" t="s">
        <v>22</v>
      </c>
      <c r="K5" s="4">
        <v>427407.49</v>
      </c>
    </row>
    <row r="6" spans="2:11" x14ac:dyDescent="0.2">
      <c r="C6" t="s">
        <v>23</v>
      </c>
      <c r="E6" s="4">
        <f>'EXPENSES MASTER SCDEDULE'!I93</f>
        <v>689.91909090909087</v>
      </c>
      <c r="I6" t="s">
        <v>24</v>
      </c>
      <c r="K6" s="4">
        <v>0</v>
      </c>
    </row>
    <row r="7" spans="2:11" x14ac:dyDescent="0.2">
      <c r="E7" s="4"/>
      <c r="I7" t="s">
        <v>25</v>
      </c>
      <c r="K7" s="4">
        <f>E5</f>
        <v>16856.089999999993</v>
      </c>
    </row>
    <row r="8" spans="2:11" x14ac:dyDescent="0.2">
      <c r="C8" t="s">
        <v>26</v>
      </c>
      <c r="E8" s="4">
        <f>'INCOME MASTER SCHEDULE'!H5</f>
        <v>6287.84</v>
      </c>
      <c r="K8" s="4">
        <f>K5-K6+K7</f>
        <v>444263.57999999996</v>
      </c>
    </row>
    <row r="9" spans="2:11" x14ac:dyDescent="0.2">
      <c r="C9" t="s">
        <v>27</v>
      </c>
      <c r="E9" s="4">
        <f>'INCOME MASTER SCHEDULE'!I5</f>
        <v>570</v>
      </c>
    </row>
    <row r="10" spans="2:11" x14ac:dyDescent="0.2">
      <c r="E10" s="4"/>
    </row>
    <row r="11" spans="2:11" x14ac:dyDescent="0.2">
      <c r="C11" t="s">
        <v>28</v>
      </c>
      <c r="E11" s="4">
        <f>E6-E9</f>
        <v>119.91909090909087</v>
      </c>
    </row>
    <row r="12" spans="2:11" x14ac:dyDescent="0.2">
      <c r="E12" s="4"/>
    </row>
    <row r="13" spans="2:11" x14ac:dyDescent="0.2">
      <c r="E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6F0E0-E9EC-B343-996B-ADA0C8C9E469}">
  <dimension ref="A1:S107"/>
  <sheetViews>
    <sheetView workbookViewId="0">
      <selection activeCell="H1" sqref="H1:I1048576"/>
    </sheetView>
  </sheetViews>
  <sheetFormatPr baseColWidth="10" defaultRowHeight="15" outlineLevelRow="2" x14ac:dyDescent="0.2"/>
  <cols>
    <col min="1" max="1" width="10.5" bestFit="1" customWidth="1"/>
    <col min="2" max="2" width="13" bestFit="1" customWidth="1"/>
    <col min="3" max="3" width="60.1640625" bestFit="1" customWidth="1"/>
    <col min="4" max="4" width="15.33203125" bestFit="1" customWidth="1"/>
    <col min="5" max="5" width="8.83203125" bestFit="1" customWidth="1"/>
    <col min="6" max="6" width="8.5" bestFit="1" customWidth="1"/>
    <col min="7" max="7" width="24.33203125" bestFit="1" customWidth="1"/>
    <col min="8" max="8" width="10.1640625" style="4" bestFit="1" customWidth="1"/>
    <col min="9" max="9" width="11.6640625" style="4" bestFit="1" customWidth="1"/>
    <col min="10" max="10" width="19" bestFit="1" customWidth="1"/>
    <col min="11" max="11" width="10.5" bestFit="1" customWidth="1"/>
    <col min="12" max="12" width="20.5" bestFit="1" customWidth="1"/>
    <col min="13" max="13" width="19" bestFit="1" customWidth="1"/>
    <col min="14" max="14" width="25" bestFit="1" customWidth="1"/>
    <col min="15" max="15" width="53.83203125" customWidth="1"/>
    <col min="16" max="16" width="48.1640625" customWidth="1"/>
    <col min="17" max="17" width="10.6640625" bestFit="1" customWidth="1"/>
    <col min="18" max="18" width="45" customWidth="1"/>
    <col min="19" max="19" width="49.1640625" customWidth="1"/>
  </cols>
  <sheetData>
    <row r="1" spans="1:19" s="19" customFormat="1" ht="16" x14ac:dyDescent="0.2">
      <c r="A1" s="15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8" t="s">
        <v>16</v>
      </c>
      <c r="G1" s="18" t="s">
        <v>17</v>
      </c>
      <c r="H1" s="20" t="s">
        <v>5</v>
      </c>
      <c r="I1" s="21" t="s">
        <v>18</v>
      </c>
      <c r="J1" s="16" t="s">
        <v>6</v>
      </c>
      <c r="K1" s="16" t="s">
        <v>7</v>
      </c>
      <c r="L1" s="16" t="s">
        <v>8</v>
      </c>
      <c r="M1" s="16" t="s">
        <v>9</v>
      </c>
      <c r="N1" s="16" t="s">
        <v>10</v>
      </c>
      <c r="O1" s="16" t="s">
        <v>11</v>
      </c>
      <c r="P1" s="16" t="s">
        <v>12</v>
      </c>
      <c r="Q1" s="16" t="s">
        <v>13</v>
      </c>
      <c r="R1" s="16" t="s">
        <v>14</v>
      </c>
      <c r="S1" s="16" t="s">
        <v>15</v>
      </c>
    </row>
    <row r="2" spans="1:19" outlineLevel="2" x14ac:dyDescent="0.2">
      <c r="A2" s="34">
        <v>45749</v>
      </c>
      <c r="B2" s="35"/>
      <c r="C2" s="35" t="s">
        <v>635</v>
      </c>
      <c r="D2" s="36" t="s">
        <v>624</v>
      </c>
      <c r="E2" s="35" t="s">
        <v>625</v>
      </c>
      <c r="F2" s="35" t="s">
        <v>35</v>
      </c>
      <c r="G2" s="35" t="s">
        <v>690</v>
      </c>
      <c r="H2" s="39">
        <v>1.1299999999999999</v>
      </c>
      <c r="I2" s="39">
        <v>0</v>
      </c>
      <c r="J2" s="35" t="s">
        <v>636</v>
      </c>
      <c r="K2" s="35"/>
      <c r="L2" s="35">
        <v>-625.5</v>
      </c>
      <c r="M2" s="35" t="s">
        <v>637</v>
      </c>
      <c r="N2" s="35"/>
      <c r="O2" s="35"/>
      <c r="P2" s="35"/>
      <c r="Q2" s="35"/>
      <c r="R2" s="35"/>
      <c r="S2" s="35"/>
    </row>
    <row r="3" spans="1:19" outlineLevel="2" x14ac:dyDescent="0.2">
      <c r="A3" s="34">
        <v>45775</v>
      </c>
      <c r="B3" s="35"/>
      <c r="C3" s="35" t="s">
        <v>635</v>
      </c>
      <c r="D3" s="36" t="s">
        <v>624</v>
      </c>
      <c r="E3" s="35" t="s">
        <v>625</v>
      </c>
      <c r="F3" s="35" t="s">
        <v>35</v>
      </c>
      <c r="G3" s="35" t="s">
        <v>690</v>
      </c>
      <c r="H3" s="39">
        <v>0.63</v>
      </c>
      <c r="I3" s="39">
        <v>0</v>
      </c>
      <c r="J3" s="35" t="s">
        <v>636</v>
      </c>
      <c r="K3" s="35"/>
      <c r="L3" s="35">
        <v>-4713.21</v>
      </c>
      <c r="M3" s="35" t="s">
        <v>637</v>
      </c>
      <c r="N3" s="35"/>
      <c r="O3" s="35"/>
      <c r="P3" s="35"/>
      <c r="Q3" s="35"/>
      <c r="R3" s="35"/>
      <c r="S3" s="35"/>
    </row>
    <row r="4" spans="1:19" outlineLevel="1" x14ac:dyDescent="0.2">
      <c r="A4" s="41"/>
      <c r="B4" s="37"/>
      <c r="C4" s="37"/>
      <c r="D4" s="42"/>
      <c r="E4" s="37"/>
      <c r="F4" s="37"/>
      <c r="G4" s="44" t="s">
        <v>699</v>
      </c>
      <c r="H4" s="43">
        <f>SUBTOTAL(9,H2:H3)</f>
        <v>1.7599999999999998</v>
      </c>
      <c r="I4" s="43">
        <f>SUBTOTAL(9,I2:I3)</f>
        <v>0</v>
      </c>
      <c r="J4" s="37"/>
      <c r="K4" s="37"/>
      <c r="L4" s="37"/>
      <c r="M4" s="37"/>
      <c r="N4" s="37"/>
      <c r="O4" s="37"/>
      <c r="P4" s="37"/>
      <c r="Q4" s="37"/>
      <c r="R4" s="37"/>
      <c r="S4" s="37"/>
    </row>
    <row r="5" spans="1:19" outlineLevel="2" x14ac:dyDescent="0.2">
      <c r="A5" s="34">
        <v>45770</v>
      </c>
      <c r="B5" s="35"/>
      <c r="C5" s="35" t="s">
        <v>638</v>
      </c>
      <c r="D5" s="36" t="s">
        <v>624</v>
      </c>
      <c r="E5" s="35" t="s">
        <v>625</v>
      </c>
      <c r="F5" s="35" t="s">
        <v>35</v>
      </c>
      <c r="G5" s="35" t="s">
        <v>675</v>
      </c>
      <c r="H5" s="39">
        <v>102</v>
      </c>
      <c r="I5" s="39">
        <v>0</v>
      </c>
      <c r="J5" s="35" t="s">
        <v>626</v>
      </c>
      <c r="K5" s="35"/>
      <c r="L5" s="35">
        <v>-4689.09</v>
      </c>
      <c r="M5" s="35" t="s">
        <v>639</v>
      </c>
      <c r="N5" s="35" t="s">
        <v>640</v>
      </c>
      <c r="O5" s="35"/>
      <c r="P5" s="35"/>
      <c r="Q5" s="35"/>
      <c r="R5" s="35"/>
      <c r="S5" s="35"/>
    </row>
    <row r="6" spans="1:19" outlineLevel="2" x14ac:dyDescent="0.2">
      <c r="A6" s="34">
        <v>45770</v>
      </c>
      <c r="B6" s="35"/>
      <c r="C6" s="35" t="s">
        <v>638</v>
      </c>
      <c r="D6" s="36" t="s">
        <v>624</v>
      </c>
      <c r="E6" s="35" t="s">
        <v>625</v>
      </c>
      <c r="F6" s="35" t="s">
        <v>35</v>
      </c>
      <c r="G6" s="35" t="s">
        <v>675</v>
      </c>
      <c r="H6" s="39">
        <v>102</v>
      </c>
      <c r="I6" s="39">
        <v>0</v>
      </c>
      <c r="J6" s="35" t="s">
        <v>626</v>
      </c>
      <c r="K6" s="35"/>
      <c r="L6" s="35">
        <v>-4587.09</v>
      </c>
      <c r="M6" s="35" t="s">
        <v>639</v>
      </c>
      <c r="N6" s="35" t="s">
        <v>640</v>
      </c>
      <c r="O6" s="35"/>
      <c r="P6" s="35"/>
      <c r="Q6" s="35"/>
      <c r="R6" s="35"/>
      <c r="S6" s="35"/>
    </row>
    <row r="7" spans="1:19" outlineLevel="2" x14ac:dyDescent="0.2">
      <c r="A7" s="34">
        <v>45770</v>
      </c>
      <c r="B7" s="35"/>
      <c r="C7" s="35" t="s">
        <v>638</v>
      </c>
      <c r="D7" s="36" t="s">
        <v>624</v>
      </c>
      <c r="E7" s="35" t="s">
        <v>625</v>
      </c>
      <c r="F7" s="35" t="s">
        <v>35</v>
      </c>
      <c r="G7" s="35" t="s">
        <v>675</v>
      </c>
      <c r="H7" s="39">
        <v>102</v>
      </c>
      <c r="I7" s="39">
        <v>0</v>
      </c>
      <c r="J7" s="35" t="s">
        <v>626</v>
      </c>
      <c r="K7" s="35"/>
      <c r="L7" s="35">
        <v>-4485.09</v>
      </c>
      <c r="M7" s="35" t="s">
        <v>639</v>
      </c>
      <c r="N7" s="35" t="s">
        <v>640</v>
      </c>
      <c r="O7" s="35"/>
      <c r="P7" s="35"/>
      <c r="Q7" s="35"/>
      <c r="R7" s="35"/>
      <c r="S7" s="35"/>
    </row>
    <row r="8" spans="1:19" outlineLevel="1" x14ac:dyDescent="0.2">
      <c r="A8" s="41"/>
      <c r="B8" s="37"/>
      <c r="C8" s="37"/>
      <c r="D8" s="42"/>
      <c r="E8" s="37"/>
      <c r="F8" s="37"/>
      <c r="G8" s="45" t="s">
        <v>700</v>
      </c>
      <c r="H8" s="43">
        <f>SUBTOTAL(9,H5:H7)</f>
        <v>306</v>
      </c>
      <c r="I8" s="43">
        <f>SUBTOTAL(9,I5:I7)</f>
        <v>0</v>
      </c>
      <c r="J8" s="37"/>
      <c r="K8" s="37"/>
      <c r="L8" s="37"/>
      <c r="M8" s="37"/>
      <c r="N8" s="37"/>
      <c r="O8" s="37"/>
      <c r="P8" s="37"/>
      <c r="Q8" s="37"/>
      <c r="R8" s="37"/>
      <c r="S8" s="37"/>
    </row>
    <row r="9" spans="1:19" outlineLevel="2" x14ac:dyDescent="0.2">
      <c r="A9" s="34">
        <v>45761</v>
      </c>
      <c r="B9" s="40"/>
      <c r="C9" s="35" t="s">
        <v>37</v>
      </c>
      <c r="D9" s="36">
        <v>465083897</v>
      </c>
      <c r="E9" s="35" t="s">
        <v>30</v>
      </c>
      <c r="F9" s="35" t="s">
        <v>35</v>
      </c>
      <c r="G9" s="35" t="s">
        <v>38</v>
      </c>
      <c r="H9" s="39">
        <v>140</v>
      </c>
      <c r="I9" s="39">
        <v>0</v>
      </c>
      <c r="J9" s="35" t="s">
        <v>39</v>
      </c>
      <c r="K9" s="35">
        <v>19647.55</v>
      </c>
      <c r="L9" s="35" t="s">
        <v>33</v>
      </c>
      <c r="M9" s="35">
        <v>112879</v>
      </c>
      <c r="N9" s="35">
        <v>946</v>
      </c>
      <c r="O9" s="35"/>
      <c r="P9" s="35"/>
      <c r="Q9" s="35"/>
      <c r="R9" s="35"/>
      <c r="S9" s="35"/>
    </row>
    <row r="10" spans="1:19" s="25" customFormat="1" outlineLevel="2" x14ac:dyDescent="0.2">
      <c r="A10" s="7">
        <v>45775</v>
      </c>
      <c r="B10" s="8"/>
      <c r="C10" s="9" t="s">
        <v>42</v>
      </c>
      <c r="D10" s="10">
        <v>465083897</v>
      </c>
      <c r="E10" s="9" t="s">
        <v>30</v>
      </c>
      <c r="F10" s="9" t="s">
        <v>35</v>
      </c>
      <c r="G10" s="9" t="s">
        <v>38</v>
      </c>
      <c r="H10" s="11">
        <v>140</v>
      </c>
      <c r="I10" s="39">
        <v>0</v>
      </c>
      <c r="J10" s="9" t="s">
        <v>39</v>
      </c>
      <c r="K10" s="9">
        <v>25512.67</v>
      </c>
      <c r="L10" s="9" t="s">
        <v>33</v>
      </c>
      <c r="M10" s="9">
        <v>112879</v>
      </c>
      <c r="N10" s="9">
        <v>946</v>
      </c>
      <c r="O10" s="9"/>
      <c r="P10" s="9"/>
      <c r="Q10" s="9"/>
      <c r="R10" s="9"/>
      <c r="S10" s="9"/>
    </row>
    <row r="11" spans="1:19" s="25" customFormat="1" outlineLevel="1" x14ac:dyDescent="0.2">
      <c r="A11" s="7"/>
      <c r="B11" s="8"/>
      <c r="C11" s="9"/>
      <c r="D11" s="10"/>
      <c r="E11" s="9"/>
      <c r="F11" s="9"/>
      <c r="G11" s="46" t="s">
        <v>701</v>
      </c>
      <c r="H11" s="11">
        <f>SUBTOTAL(9,H9:H10)</f>
        <v>280</v>
      </c>
      <c r="I11" s="43">
        <f>SUBTOTAL(9,I9:I10)</f>
        <v>0</v>
      </c>
      <c r="J11" s="9"/>
      <c r="K11" s="9"/>
      <c r="L11" s="9"/>
      <c r="M11" s="9"/>
      <c r="N11" s="9"/>
      <c r="O11" s="9"/>
      <c r="P11" s="9"/>
      <c r="Q11" s="9"/>
      <c r="R11" s="9"/>
      <c r="S11" s="9"/>
    </row>
    <row r="12" spans="1:19" s="25" customFormat="1" ht="32" outlineLevel="2" x14ac:dyDescent="0.2">
      <c r="A12" s="27" t="s">
        <v>419</v>
      </c>
      <c r="B12" s="23" t="s">
        <v>392</v>
      </c>
      <c r="C12" s="23" t="s">
        <v>560</v>
      </c>
      <c r="D12" s="23" t="s">
        <v>499</v>
      </c>
      <c r="E12" s="23" t="s">
        <v>500</v>
      </c>
      <c r="F12" s="23" t="s">
        <v>31</v>
      </c>
      <c r="G12" s="23" t="s">
        <v>41</v>
      </c>
      <c r="H12" s="26">
        <v>39.99</v>
      </c>
      <c r="I12" s="30">
        <f>H12/11</f>
        <v>3.6354545454545457</v>
      </c>
      <c r="J12" s="23" t="s">
        <v>54</v>
      </c>
      <c r="K12" s="24" t="s">
        <v>55</v>
      </c>
      <c r="L12" s="23" t="s">
        <v>55</v>
      </c>
      <c r="M12" s="23" t="s">
        <v>55</v>
      </c>
      <c r="N12" s="23" t="s">
        <v>560</v>
      </c>
      <c r="O12" s="23" t="s">
        <v>561</v>
      </c>
      <c r="P12" s="23" t="s">
        <v>562</v>
      </c>
      <c r="Q12" s="23" t="s">
        <v>563</v>
      </c>
      <c r="R12" s="23" t="s">
        <v>59</v>
      </c>
      <c r="S12" s="23" t="s">
        <v>564</v>
      </c>
    </row>
    <row r="13" spans="1:19" s="25" customFormat="1" outlineLevel="2" x14ac:dyDescent="0.2">
      <c r="A13" s="7">
        <v>45754</v>
      </c>
      <c r="B13" s="9"/>
      <c r="C13" s="9" t="s">
        <v>616</v>
      </c>
      <c r="D13" s="10" t="s">
        <v>587</v>
      </c>
      <c r="E13" s="9" t="s">
        <v>588</v>
      </c>
      <c r="F13" s="32" t="s">
        <v>35</v>
      </c>
      <c r="G13" s="32" t="s">
        <v>41</v>
      </c>
      <c r="H13" s="11">
        <v>33.049999999999997</v>
      </c>
      <c r="I13" s="39">
        <v>0</v>
      </c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s="25" customFormat="1" ht="64" outlineLevel="2" x14ac:dyDescent="0.2">
      <c r="A14" s="27" t="s">
        <v>315</v>
      </c>
      <c r="B14" s="23" t="s">
        <v>306</v>
      </c>
      <c r="C14" s="23" t="s">
        <v>536</v>
      </c>
      <c r="D14" s="23" t="s">
        <v>52</v>
      </c>
      <c r="E14" s="23" t="s">
        <v>485</v>
      </c>
      <c r="F14" s="23" t="s">
        <v>35</v>
      </c>
      <c r="G14" s="23" t="s">
        <v>41</v>
      </c>
      <c r="H14" s="26">
        <v>96.99</v>
      </c>
      <c r="I14" s="39">
        <v>0</v>
      </c>
      <c r="J14" s="23" t="s">
        <v>54</v>
      </c>
      <c r="K14" s="24" t="s">
        <v>55</v>
      </c>
      <c r="L14" s="23" t="s">
        <v>55</v>
      </c>
      <c r="M14" s="23" t="s">
        <v>55</v>
      </c>
      <c r="N14" s="23" t="s">
        <v>536</v>
      </c>
      <c r="O14" s="23" t="s">
        <v>537</v>
      </c>
      <c r="P14" s="23" t="s">
        <v>55</v>
      </c>
      <c r="Q14" s="23" t="s">
        <v>538</v>
      </c>
      <c r="R14" s="23" t="s">
        <v>539</v>
      </c>
      <c r="S14" s="23" t="s">
        <v>540</v>
      </c>
    </row>
    <row r="15" spans="1:19" s="25" customFormat="1" ht="32" outlineLevel="2" x14ac:dyDescent="0.2">
      <c r="A15" s="27" t="s">
        <v>288</v>
      </c>
      <c r="B15" s="23" t="s">
        <v>288</v>
      </c>
      <c r="C15" s="23" t="s">
        <v>289</v>
      </c>
      <c r="D15" s="23" t="s">
        <v>62</v>
      </c>
      <c r="E15" s="23" t="s">
        <v>63</v>
      </c>
      <c r="F15" s="23" t="s">
        <v>31</v>
      </c>
      <c r="G15" s="23" t="s">
        <v>41</v>
      </c>
      <c r="H15" s="26">
        <v>108.9</v>
      </c>
      <c r="I15" s="30">
        <f>H15/11</f>
        <v>9.9</v>
      </c>
      <c r="J15" s="23" t="s">
        <v>54</v>
      </c>
      <c r="K15" s="24" t="s">
        <v>55</v>
      </c>
      <c r="L15" s="23" t="s">
        <v>55</v>
      </c>
      <c r="M15" s="23" t="s">
        <v>55</v>
      </c>
      <c r="N15" s="23" t="s">
        <v>289</v>
      </c>
      <c r="O15" s="23" t="s">
        <v>290</v>
      </c>
      <c r="P15" s="23" t="s">
        <v>208</v>
      </c>
      <c r="Q15" s="23" t="s">
        <v>209</v>
      </c>
      <c r="R15" s="23" t="s">
        <v>59</v>
      </c>
      <c r="S15" s="23" t="s">
        <v>291</v>
      </c>
    </row>
    <row r="16" spans="1:19" s="25" customFormat="1" ht="32" outlineLevel="2" x14ac:dyDescent="0.2">
      <c r="A16" s="27" t="s">
        <v>276</v>
      </c>
      <c r="B16" s="23" t="s">
        <v>276</v>
      </c>
      <c r="C16" s="23" t="s">
        <v>527</v>
      </c>
      <c r="D16" s="23" t="s">
        <v>52</v>
      </c>
      <c r="E16" s="23" t="s">
        <v>485</v>
      </c>
      <c r="F16" s="23" t="s">
        <v>35</v>
      </c>
      <c r="G16" s="23" t="s">
        <v>41</v>
      </c>
      <c r="H16" s="26">
        <v>36.03</v>
      </c>
      <c r="I16" s="39">
        <v>0</v>
      </c>
      <c r="J16" s="23" t="s">
        <v>528</v>
      </c>
      <c r="K16" s="24">
        <v>1.05</v>
      </c>
      <c r="L16" s="23" t="s">
        <v>55</v>
      </c>
      <c r="M16" s="23" t="s">
        <v>55</v>
      </c>
      <c r="N16" s="23" t="s">
        <v>527</v>
      </c>
      <c r="O16" s="23" t="s">
        <v>529</v>
      </c>
      <c r="P16" s="23" t="s">
        <v>55</v>
      </c>
      <c r="Q16" s="23" t="s">
        <v>530</v>
      </c>
      <c r="R16" s="23" t="s">
        <v>531</v>
      </c>
      <c r="S16" s="23" t="s">
        <v>532</v>
      </c>
    </row>
    <row r="17" spans="1:19" s="25" customFormat="1" ht="32" outlineLevel="2" x14ac:dyDescent="0.2">
      <c r="A17" s="27" t="s">
        <v>260</v>
      </c>
      <c r="B17" s="23" t="s">
        <v>261</v>
      </c>
      <c r="C17" s="23" t="s">
        <v>262</v>
      </c>
      <c r="D17" s="23" t="s">
        <v>62</v>
      </c>
      <c r="E17" s="23" t="s">
        <v>63</v>
      </c>
      <c r="F17" s="23" t="s">
        <v>35</v>
      </c>
      <c r="G17" s="23" t="s">
        <v>41</v>
      </c>
      <c r="H17" s="26">
        <v>170.74</v>
      </c>
      <c r="I17" s="39">
        <v>0</v>
      </c>
      <c r="J17" s="23" t="s">
        <v>263</v>
      </c>
      <c r="K17" s="24">
        <v>4.97</v>
      </c>
      <c r="L17" s="23" t="s">
        <v>55</v>
      </c>
      <c r="M17" s="23" t="s">
        <v>55</v>
      </c>
      <c r="N17" s="23" t="s">
        <v>262</v>
      </c>
      <c r="O17" s="23" t="s">
        <v>264</v>
      </c>
      <c r="P17" s="23" t="s">
        <v>265</v>
      </c>
      <c r="Q17" s="23" t="s">
        <v>266</v>
      </c>
      <c r="R17" s="23" t="s">
        <v>267</v>
      </c>
      <c r="S17" s="23" t="s">
        <v>268</v>
      </c>
    </row>
    <row r="18" spans="1:19" s="25" customFormat="1" ht="32" outlineLevel="2" x14ac:dyDescent="0.2">
      <c r="A18" s="27" t="s">
        <v>234</v>
      </c>
      <c r="B18" s="23" t="s">
        <v>211</v>
      </c>
      <c r="C18" s="23" t="s">
        <v>218</v>
      </c>
      <c r="D18" s="23" t="s">
        <v>67</v>
      </c>
      <c r="E18" s="23" t="s">
        <v>68</v>
      </c>
      <c r="F18" s="23" t="s">
        <v>35</v>
      </c>
      <c r="G18" s="23" t="s">
        <v>41</v>
      </c>
      <c r="H18" s="26">
        <v>35.590000000000003</v>
      </c>
      <c r="I18" s="39">
        <v>0</v>
      </c>
      <c r="J18" s="23" t="s">
        <v>80</v>
      </c>
      <c r="K18" s="24">
        <v>1.04</v>
      </c>
      <c r="L18" s="23" t="s">
        <v>55</v>
      </c>
      <c r="M18" s="23" t="s">
        <v>55</v>
      </c>
      <c r="N18" s="23" t="s">
        <v>218</v>
      </c>
      <c r="O18" s="23" t="s">
        <v>219</v>
      </c>
      <c r="P18" s="23" t="s">
        <v>82</v>
      </c>
      <c r="Q18" s="23" t="s">
        <v>220</v>
      </c>
      <c r="R18" s="23" t="s">
        <v>84</v>
      </c>
      <c r="S18" s="23" t="s">
        <v>236</v>
      </c>
    </row>
    <row r="19" spans="1:19" s="25" customFormat="1" ht="32" outlineLevel="2" x14ac:dyDescent="0.2">
      <c r="A19" s="27" t="s">
        <v>211</v>
      </c>
      <c r="B19" s="23" t="s">
        <v>190</v>
      </c>
      <c r="C19" s="23" t="s">
        <v>218</v>
      </c>
      <c r="D19" s="23" t="s">
        <v>62</v>
      </c>
      <c r="E19" s="23" t="s">
        <v>63</v>
      </c>
      <c r="F19" s="23" t="s">
        <v>35</v>
      </c>
      <c r="G19" s="23" t="s">
        <v>41</v>
      </c>
      <c r="H19" s="26">
        <v>35.33</v>
      </c>
      <c r="I19" s="39">
        <v>0</v>
      </c>
      <c r="J19" s="23" t="s">
        <v>80</v>
      </c>
      <c r="K19" s="24">
        <v>1.03</v>
      </c>
      <c r="L19" s="23" t="s">
        <v>55</v>
      </c>
      <c r="M19" s="23" t="s">
        <v>55</v>
      </c>
      <c r="N19" s="23" t="s">
        <v>218</v>
      </c>
      <c r="O19" s="23" t="s">
        <v>219</v>
      </c>
      <c r="P19" s="23" t="s">
        <v>82</v>
      </c>
      <c r="Q19" s="23" t="s">
        <v>220</v>
      </c>
      <c r="R19" s="23" t="s">
        <v>84</v>
      </c>
      <c r="S19" s="23" t="s">
        <v>221</v>
      </c>
    </row>
    <row r="20" spans="1:19" s="25" customFormat="1" ht="32" outlineLevel="2" x14ac:dyDescent="0.2">
      <c r="A20" s="27" t="s">
        <v>190</v>
      </c>
      <c r="B20" s="23" t="s">
        <v>178</v>
      </c>
      <c r="C20" s="23" t="s">
        <v>517</v>
      </c>
      <c r="D20" s="23" t="s">
        <v>52</v>
      </c>
      <c r="E20" s="23" t="s">
        <v>485</v>
      </c>
      <c r="F20" s="23" t="s">
        <v>31</v>
      </c>
      <c r="G20" s="23" t="s">
        <v>41</v>
      </c>
      <c r="H20" s="26">
        <v>89.95</v>
      </c>
      <c r="I20" s="30">
        <f>H20/11</f>
        <v>8.1772727272727277</v>
      </c>
      <c r="J20" s="23" t="s">
        <v>54</v>
      </c>
      <c r="K20" s="24" t="s">
        <v>55</v>
      </c>
      <c r="L20" s="23" t="s">
        <v>55</v>
      </c>
      <c r="M20" s="23" t="s">
        <v>55</v>
      </c>
      <c r="N20" s="23" t="s">
        <v>517</v>
      </c>
      <c r="O20" s="23" t="s">
        <v>518</v>
      </c>
      <c r="P20" s="23" t="s">
        <v>519</v>
      </c>
      <c r="Q20" s="23" t="s">
        <v>520</v>
      </c>
      <c r="R20" s="23" t="s">
        <v>59</v>
      </c>
      <c r="S20" s="23" t="s">
        <v>521</v>
      </c>
    </row>
    <row r="21" spans="1:19" s="25" customFormat="1" outlineLevel="2" x14ac:dyDescent="0.2">
      <c r="A21" s="7">
        <v>45769</v>
      </c>
      <c r="B21" s="8"/>
      <c r="C21" s="9" t="s">
        <v>40</v>
      </c>
      <c r="D21" s="10">
        <v>465083897</v>
      </c>
      <c r="E21" s="9" t="s">
        <v>30</v>
      </c>
      <c r="F21" s="9" t="s">
        <v>31</v>
      </c>
      <c r="G21" s="9" t="s">
        <v>41</v>
      </c>
      <c r="H21" s="11">
        <v>264.88</v>
      </c>
      <c r="I21" s="30">
        <f>H21/11</f>
        <v>24.08</v>
      </c>
      <c r="J21" s="9" t="s">
        <v>39</v>
      </c>
      <c r="K21" s="9">
        <v>25652.67</v>
      </c>
      <c r="L21" s="9" t="s">
        <v>33</v>
      </c>
      <c r="M21" s="9">
        <v>112879</v>
      </c>
      <c r="N21" s="9">
        <v>908</v>
      </c>
      <c r="O21" s="9"/>
      <c r="P21" s="9"/>
      <c r="Q21" s="9"/>
      <c r="R21" s="9"/>
      <c r="S21" s="9"/>
    </row>
    <row r="22" spans="1:19" s="25" customFormat="1" ht="32" outlineLevel="2" x14ac:dyDescent="0.2">
      <c r="A22" s="27" t="s">
        <v>190</v>
      </c>
      <c r="B22" s="23" t="s">
        <v>178</v>
      </c>
      <c r="C22" s="23" t="s">
        <v>191</v>
      </c>
      <c r="D22" s="23" t="s">
        <v>52</v>
      </c>
      <c r="E22" s="23" t="s">
        <v>53</v>
      </c>
      <c r="F22" s="23" t="s">
        <v>35</v>
      </c>
      <c r="G22" s="23" t="s">
        <v>41</v>
      </c>
      <c r="H22" s="26">
        <v>64.239999999999995</v>
      </c>
      <c r="I22" s="39">
        <v>0</v>
      </c>
      <c r="J22" s="23" t="s">
        <v>192</v>
      </c>
      <c r="K22" s="24">
        <v>1.87</v>
      </c>
      <c r="L22" s="23" t="s">
        <v>55</v>
      </c>
      <c r="M22" s="23" t="s">
        <v>55</v>
      </c>
      <c r="N22" s="23" t="s">
        <v>191</v>
      </c>
      <c r="O22" s="23" t="s">
        <v>193</v>
      </c>
      <c r="P22" s="23" t="s">
        <v>55</v>
      </c>
      <c r="Q22" s="23" t="s">
        <v>194</v>
      </c>
      <c r="R22" s="23" t="s">
        <v>195</v>
      </c>
      <c r="S22" s="23" t="s">
        <v>196</v>
      </c>
    </row>
    <row r="23" spans="1:19" s="25" customFormat="1" ht="32" outlineLevel="2" x14ac:dyDescent="0.2">
      <c r="A23" s="27" t="s">
        <v>155</v>
      </c>
      <c r="B23" s="23" t="s">
        <v>144</v>
      </c>
      <c r="C23" s="23" t="s">
        <v>158</v>
      </c>
      <c r="D23" s="23" t="s">
        <v>62</v>
      </c>
      <c r="E23" s="23" t="s">
        <v>63</v>
      </c>
      <c r="F23" s="23" t="s">
        <v>31</v>
      </c>
      <c r="G23" s="23" t="s">
        <v>41</v>
      </c>
      <c r="H23" s="26">
        <v>159.29</v>
      </c>
      <c r="I23" s="30">
        <f>H23/11</f>
        <v>14.480909090909091</v>
      </c>
      <c r="J23" s="23" t="s">
        <v>54</v>
      </c>
      <c r="K23" s="24" t="s">
        <v>55</v>
      </c>
      <c r="L23" s="23" t="s">
        <v>55</v>
      </c>
      <c r="M23" s="23" t="s">
        <v>55</v>
      </c>
      <c r="N23" s="23" t="s">
        <v>158</v>
      </c>
      <c r="O23" s="23" t="s">
        <v>159</v>
      </c>
      <c r="P23" s="23" t="s">
        <v>160</v>
      </c>
      <c r="Q23" s="23" t="s">
        <v>161</v>
      </c>
      <c r="R23" s="23" t="s">
        <v>59</v>
      </c>
      <c r="S23" s="23" t="s">
        <v>162</v>
      </c>
    </row>
    <row r="24" spans="1:19" s="25" customFormat="1" ht="32" outlineLevel="2" x14ac:dyDescent="0.2">
      <c r="A24" s="27" t="s">
        <v>155</v>
      </c>
      <c r="B24" s="23" t="s">
        <v>144</v>
      </c>
      <c r="C24" s="23" t="s">
        <v>158</v>
      </c>
      <c r="D24" s="23" t="s">
        <v>62</v>
      </c>
      <c r="E24" s="23" t="s">
        <v>63</v>
      </c>
      <c r="F24" s="23" t="s">
        <v>31</v>
      </c>
      <c r="G24" s="23" t="s">
        <v>41</v>
      </c>
      <c r="H24" s="26">
        <v>159.29</v>
      </c>
      <c r="I24" s="30">
        <f>H24/11</f>
        <v>14.480909090909091</v>
      </c>
      <c r="J24" s="23" t="s">
        <v>54</v>
      </c>
      <c r="K24" s="24" t="s">
        <v>55</v>
      </c>
      <c r="L24" s="23" t="s">
        <v>55</v>
      </c>
      <c r="M24" s="23" t="s">
        <v>55</v>
      </c>
      <c r="N24" s="23" t="s">
        <v>158</v>
      </c>
      <c r="O24" s="23" t="s">
        <v>159</v>
      </c>
      <c r="P24" s="23" t="s">
        <v>160</v>
      </c>
      <c r="Q24" s="23" t="s">
        <v>161</v>
      </c>
      <c r="R24" s="23" t="s">
        <v>59</v>
      </c>
      <c r="S24" s="23" t="s">
        <v>163</v>
      </c>
    </row>
    <row r="25" spans="1:19" s="25" customFormat="1" ht="32" outlineLevel="2" x14ac:dyDescent="0.2">
      <c r="A25" s="27" t="s">
        <v>143</v>
      </c>
      <c r="B25" s="23" t="s">
        <v>128</v>
      </c>
      <c r="C25" s="23" t="s">
        <v>498</v>
      </c>
      <c r="D25" s="23" t="s">
        <v>499</v>
      </c>
      <c r="E25" s="23" t="s">
        <v>500</v>
      </c>
      <c r="F25" s="23" t="s">
        <v>35</v>
      </c>
      <c r="G25" s="23" t="s">
        <v>41</v>
      </c>
      <c r="H25" s="26">
        <v>226.26</v>
      </c>
      <c r="I25" s="39">
        <v>0</v>
      </c>
      <c r="J25" s="23" t="s">
        <v>501</v>
      </c>
      <c r="K25" s="24">
        <v>6.59</v>
      </c>
      <c r="L25" s="23" t="s">
        <v>55</v>
      </c>
      <c r="M25" s="23" t="s">
        <v>55</v>
      </c>
      <c r="N25" s="23" t="s">
        <v>498</v>
      </c>
      <c r="O25" s="23" t="s">
        <v>502</v>
      </c>
      <c r="P25" s="23" t="s">
        <v>82</v>
      </c>
      <c r="Q25" s="23" t="s">
        <v>503</v>
      </c>
      <c r="R25" s="23" t="s">
        <v>84</v>
      </c>
      <c r="S25" s="23" t="s">
        <v>504</v>
      </c>
    </row>
    <row r="26" spans="1:19" s="25" customFormat="1" ht="32" outlineLevel="2" x14ac:dyDescent="0.2">
      <c r="A26" s="27" t="s">
        <v>128</v>
      </c>
      <c r="B26" s="23" t="s">
        <v>115</v>
      </c>
      <c r="C26" s="23" t="s">
        <v>134</v>
      </c>
      <c r="D26" s="23" t="s">
        <v>62</v>
      </c>
      <c r="E26" s="23" t="s">
        <v>63</v>
      </c>
      <c r="F26" s="23" t="s">
        <v>35</v>
      </c>
      <c r="G26" s="23" t="s">
        <v>41</v>
      </c>
      <c r="H26" s="26">
        <v>24.24</v>
      </c>
      <c r="I26" s="39">
        <v>0</v>
      </c>
      <c r="J26" s="23" t="s">
        <v>135</v>
      </c>
      <c r="K26" s="24">
        <v>0.71</v>
      </c>
      <c r="L26" s="23" t="s">
        <v>55</v>
      </c>
      <c r="M26" s="23" t="s">
        <v>55</v>
      </c>
      <c r="N26" s="23" t="s">
        <v>134</v>
      </c>
      <c r="O26" s="23" t="s">
        <v>136</v>
      </c>
      <c r="P26" s="23" t="s">
        <v>137</v>
      </c>
      <c r="Q26" s="23" t="s">
        <v>138</v>
      </c>
      <c r="R26" s="23" t="s">
        <v>139</v>
      </c>
      <c r="S26" s="23" t="s">
        <v>140</v>
      </c>
    </row>
    <row r="27" spans="1:19" s="25" customFormat="1" ht="32" outlineLevel="2" x14ac:dyDescent="0.2">
      <c r="A27" s="27" t="s">
        <v>115</v>
      </c>
      <c r="B27" s="23" t="s">
        <v>91</v>
      </c>
      <c r="C27" s="23" t="s">
        <v>116</v>
      </c>
      <c r="D27" s="23" t="s">
        <v>62</v>
      </c>
      <c r="E27" s="23" t="s">
        <v>63</v>
      </c>
      <c r="F27" s="23" t="s">
        <v>35</v>
      </c>
      <c r="G27" s="23" t="s">
        <v>41</v>
      </c>
      <c r="H27" s="26">
        <v>88.91</v>
      </c>
      <c r="I27" s="39">
        <v>0</v>
      </c>
      <c r="J27" s="23" t="s">
        <v>117</v>
      </c>
      <c r="K27" s="24">
        <v>2.59</v>
      </c>
      <c r="L27" s="23" t="s">
        <v>55</v>
      </c>
      <c r="M27" s="23" t="s">
        <v>55</v>
      </c>
      <c r="N27" s="23" t="s">
        <v>116</v>
      </c>
      <c r="O27" s="23" t="s">
        <v>118</v>
      </c>
      <c r="P27" s="23" t="s">
        <v>119</v>
      </c>
      <c r="Q27" s="23" t="s">
        <v>120</v>
      </c>
      <c r="R27" s="23" t="s">
        <v>84</v>
      </c>
      <c r="S27" s="23" t="s">
        <v>121</v>
      </c>
    </row>
    <row r="28" spans="1:19" s="25" customFormat="1" ht="48" outlineLevel="2" x14ac:dyDescent="0.2">
      <c r="A28" s="27" t="s">
        <v>91</v>
      </c>
      <c r="B28" s="23" t="s">
        <v>49</v>
      </c>
      <c r="C28" s="23" t="s">
        <v>92</v>
      </c>
      <c r="D28" s="23" t="s">
        <v>62</v>
      </c>
      <c r="E28" s="23" t="s">
        <v>63</v>
      </c>
      <c r="F28" s="23" t="s">
        <v>35</v>
      </c>
      <c r="G28" s="23" t="s">
        <v>41</v>
      </c>
      <c r="H28" s="26">
        <v>126.83</v>
      </c>
      <c r="I28" s="39">
        <v>0</v>
      </c>
      <c r="J28" s="23" t="s">
        <v>54</v>
      </c>
      <c r="K28" s="24" t="s">
        <v>55</v>
      </c>
      <c r="L28" s="23" t="s">
        <v>55</v>
      </c>
      <c r="M28" s="23" t="s">
        <v>55</v>
      </c>
      <c r="N28" s="23" t="s">
        <v>92</v>
      </c>
      <c r="O28" s="23" t="s">
        <v>93</v>
      </c>
      <c r="P28" s="23" t="s">
        <v>55</v>
      </c>
      <c r="Q28" s="23" t="s">
        <v>94</v>
      </c>
      <c r="R28" s="23" t="s">
        <v>95</v>
      </c>
      <c r="S28" s="23" t="s">
        <v>96</v>
      </c>
    </row>
    <row r="29" spans="1:19" s="25" customFormat="1" ht="32" outlineLevel="2" x14ac:dyDescent="0.2">
      <c r="A29" s="27" t="s">
        <v>49</v>
      </c>
      <c r="B29" s="23" t="s">
        <v>50</v>
      </c>
      <c r="C29" s="23" t="s">
        <v>79</v>
      </c>
      <c r="D29" s="23" t="s">
        <v>62</v>
      </c>
      <c r="E29" s="23" t="s">
        <v>63</v>
      </c>
      <c r="F29" s="23" t="s">
        <v>35</v>
      </c>
      <c r="G29" s="23" t="s">
        <v>41</v>
      </c>
      <c r="H29" s="26">
        <v>35.549999999999997</v>
      </c>
      <c r="I29" s="39">
        <v>0</v>
      </c>
      <c r="J29" s="23" t="s">
        <v>80</v>
      </c>
      <c r="K29" s="24">
        <v>1.04</v>
      </c>
      <c r="L29" s="23" t="s">
        <v>55</v>
      </c>
      <c r="M29" s="23" t="s">
        <v>55</v>
      </c>
      <c r="N29" s="23" t="s">
        <v>79</v>
      </c>
      <c r="O29" s="23" t="s">
        <v>81</v>
      </c>
      <c r="P29" s="23" t="s">
        <v>82</v>
      </c>
      <c r="Q29" s="23" t="s">
        <v>83</v>
      </c>
      <c r="R29" s="23" t="s">
        <v>84</v>
      </c>
      <c r="S29" s="23" t="s">
        <v>85</v>
      </c>
    </row>
    <row r="30" spans="1:19" s="25" customFormat="1" ht="32" outlineLevel="1" x14ac:dyDescent="0.2">
      <c r="A30" s="27"/>
      <c r="B30" s="23"/>
      <c r="C30" s="23"/>
      <c r="D30" s="23"/>
      <c r="E30" s="23"/>
      <c r="F30" s="23"/>
      <c r="G30" s="47" t="s">
        <v>702</v>
      </c>
      <c r="H30" s="26">
        <f>SUBTOTAL(9,H12:H29)</f>
        <v>1796.06</v>
      </c>
      <c r="I30" s="43">
        <f>SUBTOTAL(9,I12:I29)</f>
        <v>74.75454545454545</v>
      </c>
      <c r="J30" s="23"/>
      <c r="K30" s="24"/>
      <c r="L30" s="23"/>
      <c r="M30" s="23"/>
      <c r="N30" s="23"/>
      <c r="O30" s="23"/>
      <c r="P30" s="23"/>
      <c r="Q30" s="23"/>
      <c r="R30" s="23"/>
      <c r="S30" s="23"/>
    </row>
    <row r="31" spans="1:19" s="25" customFormat="1" ht="32" outlineLevel="2" x14ac:dyDescent="0.2">
      <c r="A31" s="27" t="s">
        <v>49</v>
      </c>
      <c r="B31" s="23" t="s">
        <v>49</v>
      </c>
      <c r="C31" s="23" t="s">
        <v>66</v>
      </c>
      <c r="D31" s="23" t="s">
        <v>67</v>
      </c>
      <c r="E31" s="23" t="s">
        <v>68</v>
      </c>
      <c r="F31" s="23" t="s">
        <v>35</v>
      </c>
      <c r="G31" s="23" t="s">
        <v>686</v>
      </c>
      <c r="H31" s="26">
        <v>188.63</v>
      </c>
      <c r="I31" s="39">
        <v>0</v>
      </c>
      <c r="J31" s="23" t="s">
        <v>54</v>
      </c>
      <c r="K31" s="24" t="s">
        <v>55</v>
      </c>
      <c r="L31" s="23" t="s">
        <v>55</v>
      </c>
      <c r="M31" s="23" t="s">
        <v>55</v>
      </c>
      <c r="N31" s="23" t="s">
        <v>66</v>
      </c>
      <c r="O31" s="23" t="s">
        <v>69</v>
      </c>
      <c r="P31" s="23" t="s">
        <v>70</v>
      </c>
      <c r="Q31" s="23" t="s">
        <v>71</v>
      </c>
      <c r="R31" s="23" t="s">
        <v>59</v>
      </c>
      <c r="S31" s="23" t="s">
        <v>72</v>
      </c>
    </row>
    <row r="32" spans="1:19" s="25" customFormat="1" ht="32" outlineLevel="2" x14ac:dyDescent="0.2">
      <c r="A32" s="27" t="s">
        <v>49</v>
      </c>
      <c r="B32" s="23" t="s">
        <v>49</v>
      </c>
      <c r="C32" s="23" t="s">
        <v>66</v>
      </c>
      <c r="D32" s="23" t="s">
        <v>67</v>
      </c>
      <c r="E32" s="23" t="s">
        <v>68</v>
      </c>
      <c r="F32" s="23" t="s">
        <v>35</v>
      </c>
      <c r="G32" s="23" t="s">
        <v>686</v>
      </c>
      <c r="H32" s="26">
        <v>620.05999999999995</v>
      </c>
      <c r="I32" s="39">
        <v>0</v>
      </c>
      <c r="J32" s="23" t="s">
        <v>54</v>
      </c>
      <c r="K32" s="24" t="s">
        <v>55</v>
      </c>
      <c r="L32" s="23" t="s">
        <v>55</v>
      </c>
      <c r="M32" s="23" t="s">
        <v>55</v>
      </c>
      <c r="N32" s="23" t="s">
        <v>66</v>
      </c>
      <c r="O32" s="23" t="s">
        <v>69</v>
      </c>
      <c r="P32" s="23" t="s">
        <v>70</v>
      </c>
      <c r="Q32" s="23" t="s">
        <v>71</v>
      </c>
      <c r="R32" s="23" t="s">
        <v>59</v>
      </c>
      <c r="S32" s="23" t="s">
        <v>73</v>
      </c>
    </row>
    <row r="33" spans="1:19" s="25" customFormat="1" ht="32" outlineLevel="1" x14ac:dyDescent="0.2">
      <c r="A33" s="27"/>
      <c r="B33" s="23"/>
      <c r="C33" s="23"/>
      <c r="D33" s="23"/>
      <c r="E33" s="23"/>
      <c r="F33" s="23"/>
      <c r="G33" s="47" t="s">
        <v>703</v>
      </c>
      <c r="H33" s="26">
        <f>SUBTOTAL(9,H31:H32)</f>
        <v>808.68999999999994</v>
      </c>
      <c r="I33" s="43">
        <f>SUBTOTAL(9,I31:I32)</f>
        <v>0</v>
      </c>
      <c r="J33" s="23"/>
      <c r="K33" s="24"/>
      <c r="L33" s="23"/>
      <c r="M33" s="23"/>
      <c r="N33" s="23"/>
      <c r="O33" s="23"/>
      <c r="P33" s="23"/>
      <c r="Q33" s="23"/>
      <c r="R33" s="23"/>
      <c r="S33" s="23"/>
    </row>
    <row r="34" spans="1:19" s="25" customFormat="1" outlineLevel="2" x14ac:dyDescent="0.2">
      <c r="A34" s="7">
        <v>45755</v>
      </c>
      <c r="B34" s="9"/>
      <c r="C34" s="9" t="s">
        <v>613</v>
      </c>
      <c r="D34" s="10" t="s">
        <v>587</v>
      </c>
      <c r="E34" s="9" t="s">
        <v>588</v>
      </c>
      <c r="F34" s="9" t="s">
        <v>35</v>
      </c>
      <c r="G34" s="9" t="s">
        <v>36</v>
      </c>
      <c r="H34" s="11">
        <v>15.93</v>
      </c>
      <c r="I34" s="39">
        <v>0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19" s="25" customFormat="1" outlineLevel="1" x14ac:dyDescent="0.2">
      <c r="A35" s="7"/>
      <c r="B35" s="9"/>
      <c r="C35" s="9"/>
      <c r="D35" s="10"/>
      <c r="E35" s="9"/>
      <c r="F35" s="9"/>
      <c r="G35" s="46" t="s">
        <v>704</v>
      </c>
      <c r="H35" s="11">
        <f>SUBTOTAL(9,H34:H34)</f>
        <v>15.93</v>
      </c>
      <c r="I35" s="43">
        <f>SUBTOTAL(9,I34:I34)</f>
        <v>0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19" s="25" customFormat="1" ht="32" outlineLevel="2" x14ac:dyDescent="0.2">
      <c r="A36" s="27" t="s">
        <v>439</v>
      </c>
      <c r="B36" s="23" t="s">
        <v>427</v>
      </c>
      <c r="C36" s="23" t="s">
        <v>568</v>
      </c>
      <c r="D36" s="23" t="s">
        <v>52</v>
      </c>
      <c r="E36" s="23" t="s">
        <v>485</v>
      </c>
      <c r="F36" s="23" t="s">
        <v>31</v>
      </c>
      <c r="G36" s="23" t="s">
        <v>683</v>
      </c>
      <c r="H36" s="26">
        <v>37.85</v>
      </c>
      <c r="I36" s="30">
        <f>H36/11</f>
        <v>3.4409090909090909</v>
      </c>
      <c r="J36" s="23" t="s">
        <v>54</v>
      </c>
      <c r="K36" s="24" t="s">
        <v>55</v>
      </c>
      <c r="L36" s="23" t="s">
        <v>55</v>
      </c>
      <c r="M36" s="23" t="s">
        <v>55</v>
      </c>
      <c r="N36" s="23" t="s">
        <v>568</v>
      </c>
      <c r="O36" s="23" t="s">
        <v>569</v>
      </c>
      <c r="P36" s="23" t="s">
        <v>125</v>
      </c>
      <c r="Q36" s="23" t="s">
        <v>126</v>
      </c>
      <c r="R36" s="23" t="s">
        <v>59</v>
      </c>
      <c r="S36" s="23" t="s">
        <v>570</v>
      </c>
    </row>
    <row r="37" spans="1:19" s="25" customFormat="1" ht="32" outlineLevel="2" x14ac:dyDescent="0.2">
      <c r="A37" s="27" t="s">
        <v>362</v>
      </c>
      <c r="B37" s="23" t="s">
        <v>315</v>
      </c>
      <c r="C37" s="23" t="s">
        <v>365</v>
      </c>
      <c r="D37" s="23" t="s">
        <v>62</v>
      </c>
      <c r="E37" s="23" t="s">
        <v>63</v>
      </c>
      <c r="F37" s="23" t="s">
        <v>31</v>
      </c>
      <c r="G37" s="23" t="s">
        <v>683</v>
      </c>
      <c r="H37" s="26">
        <v>20.82</v>
      </c>
      <c r="I37" s="30">
        <f>H37/11</f>
        <v>1.8927272727272728</v>
      </c>
      <c r="J37" s="23" t="s">
        <v>54</v>
      </c>
      <c r="K37" s="24" t="s">
        <v>55</v>
      </c>
      <c r="L37" s="23" t="s">
        <v>55</v>
      </c>
      <c r="M37" s="23" t="s">
        <v>55</v>
      </c>
      <c r="N37" s="23" t="s">
        <v>365</v>
      </c>
      <c r="O37" s="23" t="s">
        <v>366</v>
      </c>
      <c r="P37" s="23" t="s">
        <v>367</v>
      </c>
      <c r="Q37" s="23" t="s">
        <v>368</v>
      </c>
      <c r="R37" s="23" t="s">
        <v>59</v>
      </c>
      <c r="S37" s="23" t="s">
        <v>369</v>
      </c>
    </row>
    <row r="38" spans="1:19" s="25" customFormat="1" ht="48" outlineLevel="2" x14ac:dyDescent="0.2">
      <c r="A38" s="27" t="s">
        <v>211</v>
      </c>
      <c r="B38" s="23" t="s">
        <v>155</v>
      </c>
      <c r="C38" s="23" t="s">
        <v>222</v>
      </c>
      <c r="D38" s="23" t="s">
        <v>52</v>
      </c>
      <c r="E38" s="23" t="s">
        <v>53</v>
      </c>
      <c r="F38" s="23" t="s">
        <v>31</v>
      </c>
      <c r="G38" s="23" t="s">
        <v>683</v>
      </c>
      <c r="H38" s="26">
        <v>148.5</v>
      </c>
      <c r="I38" s="30">
        <f>H38/11</f>
        <v>13.5</v>
      </c>
      <c r="J38" s="23" t="s">
        <v>54</v>
      </c>
      <c r="K38" s="24" t="s">
        <v>55</v>
      </c>
      <c r="L38" s="23" t="s">
        <v>55</v>
      </c>
      <c r="M38" s="23" t="s">
        <v>223</v>
      </c>
      <c r="N38" s="23" t="s">
        <v>222</v>
      </c>
      <c r="O38" s="23" t="s">
        <v>224</v>
      </c>
      <c r="P38" s="23" t="s">
        <v>225</v>
      </c>
      <c r="Q38" s="23" t="s">
        <v>226</v>
      </c>
      <c r="R38" s="23" t="s">
        <v>227</v>
      </c>
      <c r="S38" s="23" t="s">
        <v>228</v>
      </c>
    </row>
    <row r="39" spans="1:19" s="25" customFormat="1" ht="16" outlineLevel="1" x14ac:dyDescent="0.2">
      <c r="A39" s="27"/>
      <c r="B39" s="23"/>
      <c r="C39" s="23"/>
      <c r="D39" s="23"/>
      <c r="E39" s="23"/>
      <c r="F39" s="23"/>
      <c r="G39" s="47" t="s">
        <v>705</v>
      </c>
      <c r="H39" s="26">
        <f>SUBTOTAL(9,H36:H38)</f>
        <v>207.17000000000002</v>
      </c>
      <c r="I39" s="48">
        <f>SUBTOTAL(9,I36:I38)</f>
        <v>18.833636363636366</v>
      </c>
      <c r="J39" s="23"/>
      <c r="K39" s="24"/>
      <c r="L39" s="23"/>
      <c r="M39" s="23"/>
      <c r="N39" s="23"/>
      <c r="O39" s="23"/>
      <c r="P39" s="23"/>
      <c r="Q39" s="23"/>
      <c r="R39" s="23"/>
      <c r="S39" s="23"/>
    </row>
    <row r="40" spans="1:19" s="25" customFormat="1" outlineLevel="2" x14ac:dyDescent="0.2">
      <c r="A40" s="7">
        <v>45756</v>
      </c>
      <c r="B40" s="9"/>
      <c r="C40" s="9" t="s">
        <v>651</v>
      </c>
      <c r="D40" s="10" t="s">
        <v>624</v>
      </c>
      <c r="E40" s="9" t="s">
        <v>625</v>
      </c>
      <c r="F40" s="9" t="s">
        <v>31</v>
      </c>
      <c r="G40" s="9" t="s">
        <v>687</v>
      </c>
      <c r="H40" s="11">
        <v>284.95999999999998</v>
      </c>
      <c r="I40" s="30">
        <f>H40/11</f>
        <v>25.905454545454543</v>
      </c>
      <c r="J40" s="9" t="s">
        <v>626</v>
      </c>
      <c r="K40" s="9"/>
      <c r="L40" s="9">
        <v>-4117.41</v>
      </c>
      <c r="M40" s="9" t="s">
        <v>652</v>
      </c>
      <c r="N40" s="9" t="s">
        <v>653</v>
      </c>
      <c r="O40" s="9"/>
      <c r="P40" s="9"/>
      <c r="Q40" s="9"/>
      <c r="R40" s="9"/>
      <c r="S40" s="9"/>
    </row>
    <row r="41" spans="1:19" s="25" customFormat="1" outlineLevel="1" x14ac:dyDescent="0.2">
      <c r="A41" s="7"/>
      <c r="B41" s="9"/>
      <c r="C41" s="9"/>
      <c r="D41" s="10"/>
      <c r="E41" s="9"/>
      <c r="F41" s="9"/>
      <c r="G41" s="46" t="s">
        <v>706</v>
      </c>
      <c r="H41" s="11">
        <f>SUBTOTAL(9,H40:H40)</f>
        <v>284.95999999999998</v>
      </c>
      <c r="I41" s="48">
        <f>SUBTOTAL(9,I40:I40)</f>
        <v>25.905454545454543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19" s="25" customFormat="1" ht="32" outlineLevel="2" x14ac:dyDescent="0.2">
      <c r="A42" s="27" t="s">
        <v>419</v>
      </c>
      <c r="B42" s="23" t="s">
        <v>392</v>
      </c>
      <c r="C42" s="23" t="s">
        <v>533</v>
      </c>
      <c r="D42" s="23" t="s">
        <v>52</v>
      </c>
      <c r="E42" s="23" t="s">
        <v>485</v>
      </c>
      <c r="F42" s="23" t="s">
        <v>31</v>
      </c>
      <c r="G42" s="23" t="s">
        <v>672</v>
      </c>
      <c r="H42" s="26">
        <v>30</v>
      </c>
      <c r="I42" s="30">
        <f>H42/11</f>
        <v>2.7272727272727271</v>
      </c>
      <c r="J42" s="23" t="s">
        <v>54</v>
      </c>
      <c r="K42" s="24" t="s">
        <v>55</v>
      </c>
      <c r="L42" s="23" t="s">
        <v>55</v>
      </c>
      <c r="M42" s="23" t="s">
        <v>55</v>
      </c>
      <c r="N42" s="23" t="s">
        <v>533</v>
      </c>
      <c r="O42" s="23" t="s">
        <v>558</v>
      </c>
      <c r="P42" s="23" t="s">
        <v>57</v>
      </c>
      <c r="Q42" s="23" t="s">
        <v>58</v>
      </c>
      <c r="R42" s="23" t="s">
        <v>59</v>
      </c>
      <c r="S42" s="23" t="s">
        <v>559</v>
      </c>
    </row>
    <row r="43" spans="1:19" s="25" customFormat="1" ht="32" outlineLevel="2" x14ac:dyDescent="0.2">
      <c r="A43" s="27" t="s">
        <v>300</v>
      </c>
      <c r="B43" s="23" t="s">
        <v>306</v>
      </c>
      <c r="C43" s="23" t="s">
        <v>533</v>
      </c>
      <c r="D43" s="23" t="s">
        <v>52</v>
      </c>
      <c r="E43" s="23" t="s">
        <v>485</v>
      </c>
      <c r="F43" s="23" t="s">
        <v>31</v>
      </c>
      <c r="G43" s="23" t="s">
        <v>672</v>
      </c>
      <c r="H43" s="26">
        <v>30</v>
      </c>
      <c r="I43" s="30">
        <f>H43/11</f>
        <v>2.7272727272727271</v>
      </c>
      <c r="J43" s="23" t="s">
        <v>54</v>
      </c>
      <c r="K43" s="24" t="s">
        <v>55</v>
      </c>
      <c r="L43" s="23" t="s">
        <v>55</v>
      </c>
      <c r="M43" s="23" t="s">
        <v>55</v>
      </c>
      <c r="N43" s="23" t="s">
        <v>533</v>
      </c>
      <c r="O43" s="23" t="s">
        <v>534</v>
      </c>
      <c r="P43" s="23" t="s">
        <v>57</v>
      </c>
      <c r="Q43" s="23" t="s">
        <v>58</v>
      </c>
      <c r="R43" s="23" t="s">
        <v>59</v>
      </c>
      <c r="S43" s="23" t="s">
        <v>535</v>
      </c>
    </row>
    <row r="44" spans="1:19" s="25" customFormat="1" ht="16" outlineLevel="1" x14ac:dyDescent="0.2">
      <c r="A44" s="27"/>
      <c r="B44" s="23"/>
      <c r="C44" s="23"/>
      <c r="D44" s="23"/>
      <c r="E44" s="23"/>
      <c r="F44" s="23"/>
      <c r="G44" s="47" t="s">
        <v>707</v>
      </c>
      <c r="H44" s="26">
        <f>SUBTOTAL(9,H42:H43)</f>
        <v>60</v>
      </c>
      <c r="I44" s="48">
        <f>SUBTOTAL(9,I42:I43)</f>
        <v>5.4545454545454541</v>
      </c>
      <c r="J44" s="23"/>
      <c r="K44" s="24"/>
      <c r="L44" s="23"/>
      <c r="M44" s="23"/>
      <c r="N44" s="23"/>
      <c r="O44" s="23"/>
      <c r="P44" s="23"/>
      <c r="Q44" s="23"/>
      <c r="R44" s="23"/>
      <c r="S44" s="23"/>
    </row>
    <row r="45" spans="1:19" s="25" customFormat="1" ht="32" outlineLevel="2" x14ac:dyDescent="0.2">
      <c r="A45" s="27" t="s">
        <v>444</v>
      </c>
      <c r="B45" s="23" t="s">
        <v>444</v>
      </c>
      <c r="C45" s="23" t="s">
        <v>446</v>
      </c>
      <c r="D45" s="23" t="s">
        <v>52</v>
      </c>
      <c r="E45" s="23" t="s">
        <v>53</v>
      </c>
      <c r="F45" s="23" t="s">
        <v>31</v>
      </c>
      <c r="G45" s="23" t="s">
        <v>682</v>
      </c>
      <c r="H45" s="26">
        <v>35</v>
      </c>
      <c r="I45" s="30">
        <f>H45/11</f>
        <v>3.1818181818181817</v>
      </c>
      <c r="J45" s="23" t="s">
        <v>54</v>
      </c>
      <c r="K45" s="24" t="s">
        <v>55</v>
      </c>
      <c r="L45" s="23" t="s">
        <v>55</v>
      </c>
      <c r="M45" s="23" t="s">
        <v>55</v>
      </c>
      <c r="N45" s="23" t="s">
        <v>446</v>
      </c>
      <c r="O45" s="23" t="s">
        <v>447</v>
      </c>
      <c r="P45" s="23" t="s">
        <v>244</v>
      </c>
      <c r="Q45" s="23" t="s">
        <v>240</v>
      </c>
      <c r="R45" s="23" t="s">
        <v>59</v>
      </c>
      <c r="S45" s="23" t="s">
        <v>448</v>
      </c>
    </row>
    <row r="46" spans="1:19" s="25" customFormat="1" ht="32" outlineLevel="2" x14ac:dyDescent="0.2">
      <c r="A46" s="27" t="s">
        <v>419</v>
      </c>
      <c r="B46" s="23" t="s">
        <v>419</v>
      </c>
      <c r="C46" s="23" t="s">
        <v>420</v>
      </c>
      <c r="D46" s="23" t="s">
        <v>62</v>
      </c>
      <c r="E46" s="23" t="s">
        <v>63</v>
      </c>
      <c r="F46" s="23" t="s">
        <v>31</v>
      </c>
      <c r="G46" s="23" t="s">
        <v>682</v>
      </c>
      <c r="H46" s="26">
        <v>64.989999999999995</v>
      </c>
      <c r="I46" s="30">
        <f>H46/11</f>
        <v>5.9081818181818173</v>
      </c>
      <c r="J46" s="23" t="s">
        <v>54</v>
      </c>
      <c r="K46" s="24" t="s">
        <v>55</v>
      </c>
      <c r="L46" s="23" t="s">
        <v>55</v>
      </c>
      <c r="M46" s="23" t="s">
        <v>55</v>
      </c>
      <c r="N46" s="23" t="s">
        <v>420</v>
      </c>
      <c r="O46" s="23" t="s">
        <v>421</v>
      </c>
      <c r="P46" s="23" t="s">
        <v>367</v>
      </c>
      <c r="Q46" s="23" t="s">
        <v>368</v>
      </c>
      <c r="R46" s="23" t="s">
        <v>59</v>
      </c>
      <c r="S46" s="23" t="s">
        <v>422</v>
      </c>
    </row>
    <row r="47" spans="1:19" s="25" customFormat="1" ht="32" outlineLevel="2" x14ac:dyDescent="0.2">
      <c r="A47" s="27" t="s">
        <v>392</v>
      </c>
      <c r="B47" s="23" t="s">
        <v>384</v>
      </c>
      <c r="C47" s="23" t="s">
        <v>408</v>
      </c>
      <c r="D47" s="23" t="s">
        <v>62</v>
      </c>
      <c r="E47" s="23" t="s">
        <v>63</v>
      </c>
      <c r="F47" s="23" t="s">
        <v>35</v>
      </c>
      <c r="G47" s="23" t="s">
        <v>682</v>
      </c>
      <c r="H47" s="26">
        <v>391.75</v>
      </c>
      <c r="I47" s="39">
        <v>0</v>
      </c>
      <c r="J47" s="23" t="s">
        <v>409</v>
      </c>
      <c r="K47" s="24">
        <v>11.41</v>
      </c>
      <c r="L47" s="23" t="s">
        <v>55</v>
      </c>
      <c r="M47" s="23" t="s">
        <v>55</v>
      </c>
      <c r="N47" s="23" t="s">
        <v>408</v>
      </c>
      <c r="O47" s="23" t="s">
        <v>410</v>
      </c>
      <c r="P47" s="23" t="s">
        <v>411</v>
      </c>
      <c r="Q47" s="23" t="s">
        <v>412</v>
      </c>
      <c r="R47" s="23" t="s">
        <v>84</v>
      </c>
      <c r="S47" s="23" t="s">
        <v>413</v>
      </c>
    </row>
    <row r="48" spans="1:19" s="25" customFormat="1" ht="32" outlineLevel="2" x14ac:dyDescent="0.2">
      <c r="A48" s="27" t="s">
        <v>143</v>
      </c>
      <c r="B48" s="23" t="s">
        <v>128</v>
      </c>
      <c r="C48" s="23" t="s">
        <v>505</v>
      </c>
      <c r="D48" s="23" t="s">
        <v>52</v>
      </c>
      <c r="E48" s="23" t="s">
        <v>485</v>
      </c>
      <c r="F48" s="23" t="s">
        <v>31</v>
      </c>
      <c r="G48" s="23" t="s">
        <v>682</v>
      </c>
      <c r="H48" s="26">
        <v>26.95</v>
      </c>
      <c r="I48" s="30">
        <f>H48/11</f>
        <v>2.4499999999999997</v>
      </c>
      <c r="J48" s="23" t="s">
        <v>54</v>
      </c>
      <c r="K48" s="24" t="s">
        <v>55</v>
      </c>
      <c r="L48" s="23" t="s">
        <v>55</v>
      </c>
      <c r="M48" s="23" t="s">
        <v>55</v>
      </c>
      <c r="N48" s="23" t="s">
        <v>505</v>
      </c>
      <c r="O48" s="23" t="s">
        <v>506</v>
      </c>
      <c r="P48" s="23" t="s">
        <v>76</v>
      </c>
      <c r="Q48" s="23" t="s">
        <v>77</v>
      </c>
      <c r="R48" s="23" t="s">
        <v>59</v>
      </c>
      <c r="S48" s="23" t="s">
        <v>507</v>
      </c>
    </row>
    <row r="49" spans="1:19" s="25" customFormat="1" ht="32" outlineLevel="2" x14ac:dyDescent="0.2">
      <c r="A49" s="27" t="s">
        <v>143</v>
      </c>
      <c r="B49" s="23" t="s">
        <v>128</v>
      </c>
      <c r="C49" s="23" t="s">
        <v>492</v>
      </c>
      <c r="D49" s="23" t="s">
        <v>52</v>
      </c>
      <c r="E49" s="23" t="s">
        <v>485</v>
      </c>
      <c r="F49" s="23" t="s">
        <v>35</v>
      </c>
      <c r="G49" s="23" t="s">
        <v>682</v>
      </c>
      <c r="H49" s="26">
        <v>40.89</v>
      </c>
      <c r="I49" s="39">
        <v>0</v>
      </c>
      <c r="J49" s="23" t="s">
        <v>493</v>
      </c>
      <c r="K49" s="24">
        <v>1.19</v>
      </c>
      <c r="L49" s="23" t="s">
        <v>55</v>
      </c>
      <c r="M49" s="23" t="s">
        <v>55</v>
      </c>
      <c r="N49" s="23" t="s">
        <v>492</v>
      </c>
      <c r="O49" s="23" t="s">
        <v>494</v>
      </c>
      <c r="P49" s="23" t="s">
        <v>495</v>
      </c>
      <c r="Q49" s="23" t="s">
        <v>496</v>
      </c>
      <c r="R49" s="23" t="s">
        <v>84</v>
      </c>
      <c r="S49" s="23" t="s">
        <v>497</v>
      </c>
    </row>
    <row r="50" spans="1:19" s="25" customFormat="1" ht="32" outlineLevel="2" x14ac:dyDescent="0.2">
      <c r="A50" s="27" t="s">
        <v>128</v>
      </c>
      <c r="B50" s="23" t="s">
        <v>128</v>
      </c>
      <c r="C50" s="23" t="s">
        <v>446</v>
      </c>
      <c r="D50" s="23" t="s">
        <v>52</v>
      </c>
      <c r="E50" s="23" t="s">
        <v>485</v>
      </c>
      <c r="F50" s="23" t="s">
        <v>31</v>
      </c>
      <c r="G50" s="23" t="s">
        <v>682</v>
      </c>
      <c r="H50" s="26">
        <v>44</v>
      </c>
      <c r="I50" s="30">
        <f>H50/11</f>
        <v>4</v>
      </c>
      <c r="J50" s="23" t="s">
        <v>54</v>
      </c>
      <c r="K50" s="24" t="s">
        <v>55</v>
      </c>
      <c r="L50" s="23" t="s">
        <v>55</v>
      </c>
      <c r="M50" s="23" t="s">
        <v>55</v>
      </c>
      <c r="N50" s="23" t="s">
        <v>446</v>
      </c>
      <c r="O50" s="23" t="s">
        <v>447</v>
      </c>
      <c r="P50" s="23" t="s">
        <v>244</v>
      </c>
      <c r="Q50" s="23" t="s">
        <v>240</v>
      </c>
      <c r="R50" s="23" t="s">
        <v>59</v>
      </c>
      <c r="S50" s="23" t="s">
        <v>486</v>
      </c>
    </row>
    <row r="51" spans="1:19" s="25" customFormat="1" ht="32" outlineLevel="1" x14ac:dyDescent="0.2">
      <c r="A51" s="27"/>
      <c r="B51" s="23"/>
      <c r="C51" s="23"/>
      <c r="D51" s="23"/>
      <c r="E51" s="23"/>
      <c r="F51" s="23"/>
      <c r="G51" s="47" t="s">
        <v>708</v>
      </c>
      <c r="H51" s="26">
        <f>SUBTOTAL(9,H45:H50)</f>
        <v>603.58000000000004</v>
      </c>
      <c r="I51" s="48">
        <f>SUBTOTAL(9,I45:I50)</f>
        <v>15.54</v>
      </c>
      <c r="J51" s="23"/>
      <c r="K51" s="24"/>
      <c r="L51" s="23"/>
      <c r="M51" s="23"/>
      <c r="N51" s="23"/>
      <c r="O51" s="23"/>
      <c r="P51" s="23"/>
      <c r="Q51" s="23"/>
      <c r="R51" s="23"/>
      <c r="S51" s="23"/>
    </row>
    <row r="52" spans="1:19" s="25" customFormat="1" ht="80" outlineLevel="2" x14ac:dyDescent="0.2">
      <c r="A52" s="27" t="s">
        <v>478</v>
      </c>
      <c r="B52" s="23" t="s">
        <v>478</v>
      </c>
      <c r="C52" s="23" t="s">
        <v>481</v>
      </c>
      <c r="D52" s="23" t="s">
        <v>62</v>
      </c>
      <c r="E52" s="23" t="s">
        <v>63</v>
      </c>
      <c r="F52" s="23" t="s">
        <v>31</v>
      </c>
      <c r="G52" s="23" t="s">
        <v>698</v>
      </c>
      <c r="H52" s="26">
        <v>123.9</v>
      </c>
      <c r="I52" s="30">
        <f>H52/11</f>
        <v>11.263636363636364</v>
      </c>
      <c r="J52" s="23" t="s">
        <v>54</v>
      </c>
      <c r="K52" s="24" t="s">
        <v>55</v>
      </c>
      <c r="L52" s="23" t="s">
        <v>55</v>
      </c>
      <c r="M52" s="23" t="s">
        <v>482</v>
      </c>
      <c r="N52" s="23" t="s">
        <v>481</v>
      </c>
      <c r="O52" s="23" t="s">
        <v>483</v>
      </c>
      <c r="P52" s="23" t="s">
        <v>57</v>
      </c>
      <c r="Q52" s="23" t="s">
        <v>58</v>
      </c>
      <c r="R52" s="23" t="s">
        <v>59</v>
      </c>
      <c r="S52" s="23" t="s">
        <v>484</v>
      </c>
    </row>
    <row r="53" spans="1:19" s="25" customFormat="1" ht="16" outlineLevel="1" x14ac:dyDescent="0.2">
      <c r="A53" s="27"/>
      <c r="B53" s="23"/>
      <c r="C53" s="23"/>
      <c r="D53" s="23"/>
      <c r="E53" s="23"/>
      <c r="F53" s="23"/>
      <c r="G53" s="47" t="s">
        <v>709</v>
      </c>
      <c r="H53" s="26">
        <f>SUBTOTAL(9,H52:H52)</f>
        <v>123.9</v>
      </c>
      <c r="I53" s="48">
        <f>SUBTOTAL(9,I52:I52)</f>
        <v>11.263636363636364</v>
      </c>
      <c r="J53" s="23"/>
      <c r="K53" s="24"/>
      <c r="L53" s="23"/>
      <c r="M53" s="23"/>
      <c r="N53" s="23"/>
      <c r="O53" s="23"/>
      <c r="P53" s="23"/>
      <c r="Q53" s="23"/>
      <c r="R53" s="23"/>
      <c r="S53" s="23"/>
    </row>
    <row r="54" spans="1:19" s="25" customFormat="1" ht="32" outlineLevel="2" x14ac:dyDescent="0.2">
      <c r="A54" s="27" t="s">
        <v>427</v>
      </c>
      <c r="B54" s="23" t="s">
        <v>419</v>
      </c>
      <c r="C54" s="23" t="s">
        <v>565</v>
      </c>
      <c r="D54" s="23" t="s">
        <v>52</v>
      </c>
      <c r="E54" s="23" t="s">
        <v>485</v>
      </c>
      <c r="F54" s="23" t="s">
        <v>31</v>
      </c>
      <c r="G54" s="23" t="s">
        <v>674</v>
      </c>
      <c r="H54" s="26">
        <v>105.2</v>
      </c>
      <c r="I54" s="30">
        <f>H54/11</f>
        <v>9.5636363636363644</v>
      </c>
      <c r="J54" s="23" t="s">
        <v>54</v>
      </c>
      <c r="K54" s="24" t="s">
        <v>55</v>
      </c>
      <c r="L54" s="23" t="s">
        <v>55</v>
      </c>
      <c r="M54" s="23" t="s">
        <v>55</v>
      </c>
      <c r="N54" s="23" t="s">
        <v>565</v>
      </c>
      <c r="O54" s="23" t="s">
        <v>566</v>
      </c>
      <c r="P54" s="23" t="s">
        <v>57</v>
      </c>
      <c r="Q54" s="23" t="s">
        <v>58</v>
      </c>
      <c r="R54" s="23" t="s">
        <v>59</v>
      </c>
      <c r="S54" s="23" t="s">
        <v>567</v>
      </c>
    </row>
    <row r="55" spans="1:19" s="25" customFormat="1" ht="16" outlineLevel="1" x14ac:dyDescent="0.2">
      <c r="A55" s="27"/>
      <c r="B55" s="23"/>
      <c r="C55" s="23"/>
      <c r="D55" s="23"/>
      <c r="E55" s="23"/>
      <c r="F55" s="23"/>
      <c r="G55" s="47" t="s">
        <v>710</v>
      </c>
      <c r="H55" s="26">
        <f>SUBTOTAL(9,H54:H54)</f>
        <v>105.2</v>
      </c>
      <c r="I55" s="48">
        <f>SUBTOTAL(9,I54:I54)</f>
        <v>9.5636363636363644</v>
      </c>
      <c r="J55" s="23"/>
      <c r="K55" s="24"/>
      <c r="L55" s="23"/>
      <c r="M55" s="23"/>
      <c r="N55" s="23"/>
      <c r="O55" s="23"/>
      <c r="P55" s="23"/>
      <c r="Q55" s="23"/>
      <c r="R55" s="23"/>
      <c r="S55" s="23"/>
    </row>
    <row r="56" spans="1:19" s="25" customFormat="1" ht="32" outlineLevel="2" x14ac:dyDescent="0.2">
      <c r="A56" s="27" t="s">
        <v>478</v>
      </c>
      <c r="B56" s="23" t="s">
        <v>478</v>
      </c>
      <c r="C56" s="23" t="s">
        <v>580</v>
      </c>
      <c r="D56" s="23" t="s">
        <v>499</v>
      </c>
      <c r="E56" s="23" t="s">
        <v>500</v>
      </c>
      <c r="F56" s="23" t="s">
        <v>31</v>
      </c>
      <c r="G56" s="23" t="s">
        <v>695</v>
      </c>
      <c r="H56" s="26">
        <v>29.5</v>
      </c>
      <c r="I56" s="30">
        <f>H56/11</f>
        <v>2.6818181818181817</v>
      </c>
      <c r="J56" s="23" t="s">
        <v>54</v>
      </c>
      <c r="K56" s="24" t="s">
        <v>55</v>
      </c>
      <c r="L56" s="23" t="s">
        <v>55</v>
      </c>
      <c r="M56" s="23" t="s">
        <v>55</v>
      </c>
      <c r="N56" s="23" t="s">
        <v>580</v>
      </c>
      <c r="O56" s="23" t="s">
        <v>581</v>
      </c>
      <c r="P56" s="23" t="s">
        <v>582</v>
      </c>
      <c r="Q56" s="23" t="s">
        <v>583</v>
      </c>
      <c r="R56" s="23" t="s">
        <v>59</v>
      </c>
      <c r="S56" s="23" t="s">
        <v>584</v>
      </c>
    </row>
    <row r="57" spans="1:19" s="25" customFormat="1" ht="32" outlineLevel="2" x14ac:dyDescent="0.2">
      <c r="A57" s="27" t="s">
        <v>339</v>
      </c>
      <c r="B57" s="23" t="s">
        <v>339</v>
      </c>
      <c r="C57" s="23" t="s">
        <v>359</v>
      </c>
      <c r="D57" s="23" t="s">
        <v>62</v>
      </c>
      <c r="E57" s="23" t="s">
        <v>63</v>
      </c>
      <c r="F57" s="23" t="s">
        <v>31</v>
      </c>
      <c r="G57" s="23" t="s">
        <v>695</v>
      </c>
      <c r="H57" s="26">
        <v>772.5</v>
      </c>
      <c r="I57" s="30">
        <f>H57/11</f>
        <v>70.227272727272734</v>
      </c>
      <c r="J57" s="23" t="s">
        <v>54</v>
      </c>
      <c r="K57" s="24" t="s">
        <v>55</v>
      </c>
      <c r="L57" s="23" t="s">
        <v>55</v>
      </c>
      <c r="M57" s="23" t="s">
        <v>55</v>
      </c>
      <c r="N57" s="23" t="s">
        <v>359</v>
      </c>
      <c r="O57" s="23" t="s">
        <v>360</v>
      </c>
      <c r="P57" s="23" t="s">
        <v>57</v>
      </c>
      <c r="Q57" s="23" t="s">
        <v>58</v>
      </c>
      <c r="R57" s="23" t="s">
        <v>59</v>
      </c>
      <c r="S57" s="23" t="s">
        <v>361</v>
      </c>
    </row>
    <row r="58" spans="1:19" s="25" customFormat="1" ht="32" outlineLevel="1" x14ac:dyDescent="0.2">
      <c r="A58" s="27"/>
      <c r="B58" s="23"/>
      <c r="C58" s="23"/>
      <c r="D58" s="23"/>
      <c r="E58" s="23"/>
      <c r="F58" s="23"/>
      <c r="G58" s="47" t="s">
        <v>711</v>
      </c>
      <c r="H58" s="26">
        <f>SUBTOTAL(9,H56:H57)</f>
        <v>802</v>
      </c>
      <c r="I58" s="48">
        <f>SUBTOTAL(9,I56:I57)</f>
        <v>72.909090909090921</v>
      </c>
      <c r="J58" s="23"/>
      <c r="K58" s="24"/>
      <c r="L58" s="23"/>
      <c r="M58" s="23"/>
      <c r="N58" s="23"/>
      <c r="O58" s="23"/>
      <c r="P58" s="23"/>
      <c r="Q58" s="23"/>
      <c r="R58" s="23"/>
      <c r="S58" s="23"/>
    </row>
    <row r="59" spans="1:19" s="25" customFormat="1" ht="32" outlineLevel="2" x14ac:dyDescent="0.2">
      <c r="A59" s="27" t="s">
        <v>49</v>
      </c>
      <c r="B59" s="23" t="s">
        <v>50</v>
      </c>
      <c r="C59" s="23" t="s">
        <v>61</v>
      </c>
      <c r="D59" s="23" t="s">
        <v>62</v>
      </c>
      <c r="E59" s="23" t="s">
        <v>63</v>
      </c>
      <c r="F59" s="23" t="s">
        <v>31</v>
      </c>
      <c r="G59" s="23" t="s">
        <v>679</v>
      </c>
      <c r="H59" s="26">
        <v>450</v>
      </c>
      <c r="I59" s="30">
        <f>H59/11</f>
        <v>40.909090909090907</v>
      </c>
      <c r="J59" s="23" t="s">
        <v>54</v>
      </c>
      <c r="K59" s="24" t="s">
        <v>55</v>
      </c>
      <c r="L59" s="23" t="s">
        <v>55</v>
      </c>
      <c r="M59" s="23" t="s">
        <v>55</v>
      </c>
      <c r="N59" s="23" t="s">
        <v>61</v>
      </c>
      <c r="O59" s="23" t="s">
        <v>64</v>
      </c>
      <c r="P59" s="23" t="s">
        <v>57</v>
      </c>
      <c r="Q59" s="23" t="s">
        <v>58</v>
      </c>
      <c r="R59" s="23" t="s">
        <v>59</v>
      </c>
      <c r="S59" s="23" t="s">
        <v>65</v>
      </c>
    </row>
    <row r="60" spans="1:19" s="25" customFormat="1" ht="32" outlineLevel="1" x14ac:dyDescent="0.2">
      <c r="A60" s="27"/>
      <c r="B60" s="23"/>
      <c r="C60" s="23"/>
      <c r="D60" s="23"/>
      <c r="E60" s="23"/>
      <c r="F60" s="23"/>
      <c r="G60" s="47" t="s">
        <v>712</v>
      </c>
      <c r="H60" s="26">
        <f>SUBTOTAL(9,H59:H59)</f>
        <v>450</v>
      </c>
      <c r="I60" s="48">
        <f>SUBTOTAL(9,I59:I59)</f>
        <v>40.909090909090907</v>
      </c>
      <c r="J60" s="23"/>
      <c r="K60" s="24"/>
      <c r="L60" s="23"/>
      <c r="M60" s="23"/>
      <c r="N60" s="23"/>
      <c r="O60" s="23"/>
      <c r="P60" s="23"/>
      <c r="Q60" s="23"/>
      <c r="R60" s="23"/>
      <c r="S60" s="23"/>
    </row>
    <row r="61" spans="1:19" s="25" customFormat="1" outlineLevel="2" x14ac:dyDescent="0.2">
      <c r="A61" s="7">
        <v>45751</v>
      </c>
      <c r="B61" s="9"/>
      <c r="C61" s="9" t="s">
        <v>619</v>
      </c>
      <c r="D61" s="10" t="s">
        <v>587</v>
      </c>
      <c r="E61" s="9" t="s">
        <v>588</v>
      </c>
      <c r="F61" s="9" t="s">
        <v>31</v>
      </c>
      <c r="G61" s="9" t="s">
        <v>671</v>
      </c>
      <c r="H61" s="11">
        <v>4.8</v>
      </c>
      <c r="I61" s="30">
        <f>H61/11</f>
        <v>0.43636363636363634</v>
      </c>
      <c r="J61" s="9"/>
      <c r="K61" s="9"/>
      <c r="L61" s="9"/>
      <c r="M61" s="9"/>
      <c r="N61" s="9"/>
      <c r="O61" s="9"/>
      <c r="P61" s="9"/>
      <c r="Q61" s="9"/>
      <c r="R61" s="9"/>
      <c r="S61" s="9"/>
    </row>
    <row r="62" spans="1:19" s="25" customFormat="1" outlineLevel="2" x14ac:dyDescent="0.2">
      <c r="A62" s="7">
        <v>45754</v>
      </c>
      <c r="B62" s="9"/>
      <c r="C62" s="9" t="s">
        <v>619</v>
      </c>
      <c r="D62" s="10" t="s">
        <v>587</v>
      </c>
      <c r="E62" s="9" t="s">
        <v>588</v>
      </c>
      <c r="F62" s="32" t="s">
        <v>31</v>
      </c>
      <c r="G62" s="32" t="s">
        <v>671</v>
      </c>
      <c r="H62" s="11">
        <v>1.6</v>
      </c>
      <c r="I62" s="30">
        <f>H62/11</f>
        <v>0.14545454545454548</v>
      </c>
      <c r="J62" s="9"/>
      <c r="K62" s="9"/>
      <c r="L62" s="9"/>
      <c r="M62" s="9"/>
      <c r="N62" s="9"/>
      <c r="O62" s="9"/>
      <c r="P62" s="9"/>
      <c r="Q62" s="9"/>
      <c r="R62" s="9"/>
      <c r="S62" s="9"/>
    </row>
    <row r="63" spans="1:19" s="25" customFormat="1" outlineLevel="2" x14ac:dyDescent="0.2">
      <c r="A63" s="7">
        <v>45754</v>
      </c>
      <c r="B63" s="9"/>
      <c r="C63" s="9" t="s">
        <v>658</v>
      </c>
      <c r="D63" s="10" t="s">
        <v>624</v>
      </c>
      <c r="E63" s="9" t="s">
        <v>625</v>
      </c>
      <c r="F63" s="32" t="s">
        <v>31</v>
      </c>
      <c r="G63" s="32" t="s">
        <v>671</v>
      </c>
      <c r="H63" s="11">
        <v>2.4</v>
      </c>
      <c r="I63" s="30">
        <f>H63/11</f>
        <v>0.21818181818181817</v>
      </c>
      <c r="J63" s="9" t="s">
        <v>626</v>
      </c>
      <c r="K63" s="9"/>
      <c r="L63" s="9">
        <v>-3103.68</v>
      </c>
      <c r="M63" s="9" t="s">
        <v>659</v>
      </c>
      <c r="N63" s="9" t="s">
        <v>660</v>
      </c>
      <c r="O63" s="9"/>
      <c r="P63" s="9"/>
      <c r="Q63" s="9"/>
      <c r="R63" s="9"/>
      <c r="S63" s="9"/>
    </row>
    <row r="64" spans="1:19" s="25" customFormat="1" ht="16" outlineLevel="2" x14ac:dyDescent="0.2">
      <c r="A64" s="7">
        <v>45754</v>
      </c>
      <c r="B64" s="9"/>
      <c r="C64" s="9" t="s">
        <v>641</v>
      </c>
      <c r="D64" s="10" t="s">
        <v>624</v>
      </c>
      <c r="E64" s="9" t="s">
        <v>625</v>
      </c>
      <c r="F64" s="23" t="s">
        <v>31</v>
      </c>
      <c r="G64" s="9" t="s">
        <v>671</v>
      </c>
      <c r="H64" s="11">
        <v>20</v>
      </c>
      <c r="I64" s="30">
        <f>H64/11</f>
        <v>1.8181818181818181</v>
      </c>
      <c r="J64" s="9" t="s">
        <v>626</v>
      </c>
      <c r="K64" s="9"/>
      <c r="L64" s="9">
        <v>-3123.68</v>
      </c>
      <c r="M64" s="9" t="s">
        <v>642</v>
      </c>
      <c r="N64" s="9" t="s">
        <v>643</v>
      </c>
      <c r="O64" s="9"/>
      <c r="P64" s="9"/>
      <c r="Q64" s="9"/>
      <c r="R64" s="9"/>
      <c r="S64" s="9"/>
    </row>
    <row r="65" spans="1:19" s="25" customFormat="1" ht="16" outlineLevel="2" x14ac:dyDescent="0.2">
      <c r="A65" s="7">
        <v>45756</v>
      </c>
      <c r="B65" s="9"/>
      <c r="C65" s="9" t="s">
        <v>654</v>
      </c>
      <c r="D65" s="10" t="s">
        <v>624</v>
      </c>
      <c r="E65" s="9" t="s">
        <v>625</v>
      </c>
      <c r="F65" s="23" t="s">
        <v>31</v>
      </c>
      <c r="G65" s="9" t="s">
        <v>671</v>
      </c>
      <c r="H65" s="11">
        <v>20</v>
      </c>
      <c r="I65" s="30">
        <f>H65/11</f>
        <v>1.8181818181818181</v>
      </c>
      <c r="J65" s="9" t="s">
        <v>626</v>
      </c>
      <c r="K65" s="9"/>
      <c r="L65" s="9">
        <v>-3832.45</v>
      </c>
      <c r="M65" s="9" t="s">
        <v>642</v>
      </c>
      <c r="N65" s="9" t="s">
        <v>643</v>
      </c>
      <c r="O65" s="9"/>
      <c r="P65" s="9"/>
      <c r="Q65" s="9"/>
      <c r="R65" s="9"/>
      <c r="S65" s="9"/>
    </row>
    <row r="66" spans="1:19" s="25" customFormat="1" outlineLevel="2" x14ac:dyDescent="0.2">
      <c r="A66" s="7">
        <v>45761</v>
      </c>
      <c r="B66" s="9"/>
      <c r="C66" s="9" t="s">
        <v>644</v>
      </c>
      <c r="D66" s="10" t="s">
        <v>624</v>
      </c>
      <c r="E66" s="9" t="s">
        <v>625</v>
      </c>
      <c r="F66" s="9" t="s">
        <v>31</v>
      </c>
      <c r="G66" s="9" t="s">
        <v>671</v>
      </c>
      <c r="H66" s="11">
        <v>2.5</v>
      </c>
      <c r="I66" s="30">
        <f>H66/11</f>
        <v>0.22727272727272727</v>
      </c>
      <c r="J66" s="9" t="s">
        <v>626</v>
      </c>
      <c r="K66" s="9"/>
      <c r="L66" s="9">
        <v>-4258.16</v>
      </c>
      <c r="M66" s="9" t="s">
        <v>642</v>
      </c>
      <c r="N66" s="9" t="s">
        <v>645</v>
      </c>
      <c r="O66" s="9"/>
      <c r="P66" s="9"/>
      <c r="Q66" s="9"/>
      <c r="R66" s="9"/>
      <c r="S66" s="9"/>
    </row>
    <row r="67" spans="1:19" s="25" customFormat="1" outlineLevel="2" x14ac:dyDescent="0.2">
      <c r="A67" s="7">
        <v>45761</v>
      </c>
      <c r="B67" s="9"/>
      <c r="C67" s="9" t="s">
        <v>644</v>
      </c>
      <c r="D67" s="10" t="s">
        <v>624</v>
      </c>
      <c r="E67" s="9" t="s">
        <v>625</v>
      </c>
      <c r="F67" s="9" t="s">
        <v>31</v>
      </c>
      <c r="G67" s="9" t="s">
        <v>671</v>
      </c>
      <c r="H67" s="11">
        <v>2.5</v>
      </c>
      <c r="I67" s="30">
        <f>H67/11</f>
        <v>0.22727272727272727</v>
      </c>
      <c r="J67" s="9" t="s">
        <v>626</v>
      </c>
      <c r="K67" s="9"/>
      <c r="L67" s="9">
        <v>-4255.66</v>
      </c>
      <c r="M67" s="9" t="s">
        <v>642</v>
      </c>
      <c r="N67" s="9" t="s">
        <v>645</v>
      </c>
      <c r="O67" s="9"/>
      <c r="P67" s="9"/>
      <c r="Q67" s="9"/>
      <c r="R67" s="9"/>
      <c r="S67" s="9"/>
    </row>
    <row r="68" spans="1:19" s="25" customFormat="1" ht="16" outlineLevel="2" x14ac:dyDescent="0.2">
      <c r="A68" s="7">
        <v>45763</v>
      </c>
      <c r="B68" s="9"/>
      <c r="C68" s="9" t="s">
        <v>641</v>
      </c>
      <c r="D68" s="10" t="s">
        <v>624</v>
      </c>
      <c r="E68" s="9" t="s">
        <v>625</v>
      </c>
      <c r="F68" s="23" t="s">
        <v>31</v>
      </c>
      <c r="G68" s="9" t="s">
        <v>671</v>
      </c>
      <c r="H68" s="11">
        <v>20</v>
      </c>
      <c r="I68" s="30">
        <f>H68/11</f>
        <v>1.8181818181818181</v>
      </c>
      <c r="J68" s="9" t="s">
        <v>626</v>
      </c>
      <c r="K68" s="9"/>
      <c r="L68" s="9">
        <v>-4278.16</v>
      </c>
      <c r="M68" s="9" t="s">
        <v>642</v>
      </c>
      <c r="N68" s="9" t="s">
        <v>643</v>
      </c>
      <c r="O68" s="9"/>
      <c r="P68" s="9"/>
      <c r="Q68" s="9"/>
      <c r="R68" s="9"/>
      <c r="S68" s="9"/>
    </row>
    <row r="69" spans="1:19" s="25" customFormat="1" ht="32" outlineLevel="2" x14ac:dyDescent="0.2">
      <c r="A69" s="27" t="s">
        <v>178</v>
      </c>
      <c r="B69" s="23" t="s">
        <v>155</v>
      </c>
      <c r="C69" s="23" t="s">
        <v>187</v>
      </c>
      <c r="D69" s="23" t="s">
        <v>62</v>
      </c>
      <c r="E69" s="23" t="s">
        <v>63</v>
      </c>
      <c r="F69" s="23" t="s">
        <v>31</v>
      </c>
      <c r="G69" s="23" t="s">
        <v>671</v>
      </c>
      <c r="H69" s="26">
        <v>20</v>
      </c>
      <c r="I69" s="30">
        <f>H69/11</f>
        <v>1.8181818181818181</v>
      </c>
      <c r="J69" s="23" t="s">
        <v>54</v>
      </c>
      <c r="K69" s="24" t="s">
        <v>55</v>
      </c>
      <c r="L69" s="23" t="s">
        <v>55</v>
      </c>
      <c r="M69" s="23" t="s">
        <v>55</v>
      </c>
      <c r="N69" s="23" t="s">
        <v>187</v>
      </c>
      <c r="O69" s="23" t="s">
        <v>188</v>
      </c>
      <c r="P69" s="23" t="s">
        <v>172</v>
      </c>
      <c r="Q69" s="23" t="s">
        <v>173</v>
      </c>
      <c r="R69" s="23" t="s">
        <v>59</v>
      </c>
      <c r="S69" s="23" t="s">
        <v>189</v>
      </c>
    </row>
    <row r="70" spans="1:19" s="25" customFormat="1" ht="16" outlineLevel="1" x14ac:dyDescent="0.2">
      <c r="A70" s="27"/>
      <c r="B70" s="23"/>
      <c r="C70" s="23"/>
      <c r="D70" s="23"/>
      <c r="E70" s="23"/>
      <c r="F70" s="23"/>
      <c r="G70" s="47" t="s">
        <v>713</v>
      </c>
      <c r="H70" s="26">
        <f>SUBTOTAL(9,H61:H69)</f>
        <v>93.8</v>
      </c>
      <c r="I70" s="48">
        <f>SUBTOTAL(9,I61:I69)</f>
        <v>8.5272727272727273</v>
      </c>
      <c r="J70" s="23"/>
      <c r="K70" s="24"/>
      <c r="L70" s="23"/>
      <c r="M70" s="23"/>
      <c r="N70" s="23"/>
      <c r="O70" s="23"/>
      <c r="P70" s="23"/>
      <c r="Q70" s="23"/>
      <c r="R70" s="23"/>
      <c r="S70" s="23"/>
    </row>
    <row r="71" spans="1:19" s="25" customFormat="1" outlineLevel="2" x14ac:dyDescent="0.2">
      <c r="A71" s="7">
        <v>45775</v>
      </c>
      <c r="B71" s="8"/>
      <c r="C71" s="9" t="s">
        <v>43</v>
      </c>
      <c r="D71" s="10">
        <v>465083897</v>
      </c>
      <c r="E71" s="9" t="s">
        <v>30</v>
      </c>
      <c r="F71" s="9" t="s">
        <v>31</v>
      </c>
      <c r="G71" s="9" t="s">
        <v>44</v>
      </c>
      <c r="H71" s="11">
        <v>625.63</v>
      </c>
      <c r="I71" s="26">
        <f>H71/11</f>
        <v>56.875454545454545</v>
      </c>
      <c r="J71" s="9" t="s">
        <v>39</v>
      </c>
      <c r="K71" s="9">
        <v>24887.040000000001</v>
      </c>
      <c r="L71" s="9" t="s">
        <v>33</v>
      </c>
      <c r="M71" s="9">
        <v>112879</v>
      </c>
      <c r="N71" s="9">
        <v>946</v>
      </c>
      <c r="O71" s="9"/>
      <c r="P71" s="9"/>
      <c r="Q71" s="9"/>
      <c r="R71" s="9"/>
      <c r="S71" s="9"/>
    </row>
    <row r="72" spans="1:19" s="25" customFormat="1" outlineLevel="1" x14ac:dyDescent="0.2">
      <c r="A72" s="7"/>
      <c r="B72" s="8"/>
      <c r="C72" s="9"/>
      <c r="D72" s="10"/>
      <c r="E72" s="9"/>
      <c r="F72" s="9"/>
      <c r="G72" s="46" t="s">
        <v>714</v>
      </c>
      <c r="H72" s="11">
        <f>SUBTOTAL(9,H71:H71)</f>
        <v>625.63</v>
      </c>
      <c r="I72" s="26">
        <f>SUBTOTAL(9,I71:I71)</f>
        <v>56.875454545454545</v>
      </c>
      <c r="J72" s="9"/>
      <c r="K72" s="9"/>
      <c r="L72" s="9"/>
      <c r="M72" s="9"/>
      <c r="N72" s="9"/>
      <c r="O72" s="9"/>
      <c r="P72" s="9"/>
      <c r="Q72" s="9"/>
      <c r="R72" s="9"/>
      <c r="S72" s="9"/>
    </row>
    <row r="73" spans="1:19" s="25" customFormat="1" outlineLevel="2" x14ac:dyDescent="0.2">
      <c r="A73" s="7">
        <v>45775</v>
      </c>
      <c r="B73" s="8"/>
      <c r="C73" s="9" t="s">
        <v>45</v>
      </c>
      <c r="D73" s="10">
        <v>465083897</v>
      </c>
      <c r="E73" s="9" t="s">
        <v>30</v>
      </c>
      <c r="F73" s="9" t="s">
        <v>31</v>
      </c>
      <c r="G73" s="9" t="s">
        <v>46</v>
      </c>
      <c r="H73" s="11">
        <v>2254.19</v>
      </c>
      <c r="I73" s="26">
        <f>H73/11</f>
        <v>204.92636363636365</v>
      </c>
      <c r="J73" s="9" t="s">
        <v>39</v>
      </c>
      <c r="K73" s="9">
        <v>22632.85</v>
      </c>
      <c r="L73" s="9" t="s">
        <v>33</v>
      </c>
      <c r="M73" s="9">
        <v>112879</v>
      </c>
      <c r="N73" s="9">
        <v>946</v>
      </c>
      <c r="O73" s="9"/>
      <c r="P73" s="9"/>
      <c r="Q73" s="9"/>
      <c r="R73" s="9"/>
      <c r="S73" s="9"/>
    </row>
    <row r="74" spans="1:19" s="25" customFormat="1" outlineLevel="1" x14ac:dyDescent="0.2">
      <c r="A74" s="7"/>
      <c r="B74" s="8"/>
      <c r="C74" s="9"/>
      <c r="D74" s="10"/>
      <c r="E74" s="9"/>
      <c r="F74" s="9"/>
      <c r="G74" s="46" t="s">
        <v>715</v>
      </c>
      <c r="H74" s="11">
        <f>SUBTOTAL(9,H73:H73)</f>
        <v>2254.19</v>
      </c>
      <c r="I74" s="26">
        <f>SUBTOTAL(9,I73:I73)</f>
        <v>204.92636363636365</v>
      </c>
      <c r="J74" s="9"/>
      <c r="K74" s="9"/>
      <c r="L74" s="9"/>
      <c r="M74" s="9"/>
      <c r="N74" s="9"/>
      <c r="O74" s="9"/>
      <c r="P74" s="9"/>
      <c r="Q74" s="9"/>
      <c r="R74" s="9"/>
      <c r="S74" s="9"/>
    </row>
    <row r="75" spans="1:19" s="25" customFormat="1" outlineLevel="2" x14ac:dyDescent="0.2">
      <c r="A75" s="7">
        <v>45775</v>
      </c>
      <c r="B75" s="8"/>
      <c r="C75" s="9" t="s">
        <v>47</v>
      </c>
      <c r="D75" s="10">
        <v>465083897</v>
      </c>
      <c r="E75" s="9" t="s">
        <v>30</v>
      </c>
      <c r="F75" s="9" t="s">
        <v>31</v>
      </c>
      <c r="G75" s="9" t="s">
        <v>48</v>
      </c>
      <c r="H75" s="11">
        <v>4180</v>
      </c>
      <c r="I75" s="26">
        <f>H75/11</f>
        <v>380</v>
      </c>
      <c r="J75" s="9" t="s">
        <v>39</v>
      </c>
      <c r="K75" s="9">
        <v>18452.849999999999</v>
      </c>
      <c r="L75" s="9" t="s">
        <v>33</v>
      </c>
      <c r="M75" s="9">
        <v>112879</v>
      </c>
      <c r="N75" s="9">
        <v>946</v>
      </c>
      <c r="O75" s="9"/>
      <c r="P75" s="9"/>
      <c r="Q75" s="9"/>
      <c r="R75" s="9"/>
      <c r="S75" s="9"/>
    </row>
    <row r="76" spans="1:19" s="25" customFormat="1" outlineLevel="1" x14ac:dyDescent="0.2">
      <c r="A76" s="7"/>
      <c r="B76" s="8"/>
      <c r="C76" s="9"/>
      <c r="D76" s="10"/>
      <c r="E76" s="9"/>
      <c r="F76" s="9"/>
      <c r="G76" s="46" t="s">
        <v>716</v>
      </c>
      <c r="H76" s="11">
        <f>SUBTOTAL(9,H75:H75)</f>
        <v>4180</v>
      </c>
      <c r="I76" s="26">
        <f>SUBTOTAL(9,I75:I75)</f>
        <v>380</v>
      </c>
      <c r="J76" s="9"/>
      <c r="K76" s="9"/>
      <c r="L76" s="9"/>
      <c r="M76" s="9"/>
      <c r="N76" s="9"/>
      <c r="O76" s="9"/>
      <c r="P76" s="9"/>
      <c r="Q76" s="9"/>
      <c r="R76" s="9"/>
      <c r="S76" s="9"/>
    </row>
    <row r="77" spans="1:19" s="25" customFormat="1" ht="32" outlineLevel="2" x14ac:dyDescent="0.2">
      <c r="A77" s="27" t="s">
        <v>478</v>
      </c>
      <c r="B77" s="23" t="s">
        <v>478</v>
      </c>
      <c r="C77" s="23" t="s">
        <v>577</v>
      </c>
      <c r="D77" s="23" t="s">
        <v>52</v>
      </c>
      <c r="E77" s="23" t="s">
        <v>485</v>
      </c>
      <c r="F77" s="23" t="s">
        <v>31</v>
      </c>
      <c r="G77" s="23" t="s">
        <v>696</v>
      </c>
      <c r="H77" s="26">
        <v>18.399999999999999</v>
      </c>
      <c r="I77" s="26">
        <f>H77/11</f>
        <v>1.6727272727272726</v>
      </c>
      <c r="J77" s="23" t="s">
        <v>54</v>
      </c>
      <c r="K77" s="24" t="s">
        <v>55</v>
      </c>
      <c r="L77" s="23" t="s">
        <v>55</v>
      </c>
      <c r="M77" s="23" t="s">
        <v>55</v>
      </c>
      <c r="N77" s="23" t="s">
        <v>577</v>
      </c>
      <c r="O77" s="23" t="s">
        <v>230</v>
      </c>
      <c r="P77" s="23" t="s">
        <v>231</v>
      </c>
      <c r="Q77" s="23" t="s">
        <v>232</v>
      </c>
      <c r="R77" s="23" t="s">
        <v>59</v>
      </c>
      <c r="S77" s="23" t="s">
        <v>585</v>
      </c>
    </row>
    <row r="78" spans="1:19" s="25" customFormat="1" ht="32" outlineLevel="2" x14ac:dyDescent="0.2">
      <c r="A78" s="27" t="s">
        <v>465</v>
      </c>
      <c r="B78" s="23" t="s">
        <v>465</v>
      </c>
      <c r="C78" s="23" t="s">
        <v>577</v>
      </c>
      <c r="D78" s="23" t="s">
        <v>52</v>
      </c>
      <c r="E78" s="23" t="s">
        <v>485</v>
      </c>
      <c r="F78" s="23" t="s">
        <v>31</v>
      </c>
      <c r="G78" s="23" t="s">
        <v>696</v>
      </c>
      <c r="H78" s="26">
        <v>9.68</v>
      </c>
      <c r="I78" s="26">
        <f>H78/11</f>
        <v>0.88</v>
      </c>
      <c r="J78" s="23" t="s">
        <v>54</v>
      </c>
      <c r="K78" s="24" t="s">
        <v>55</v>
      </c>
      <c r="L78" s="23" t="s">
        <v>55</v>
      </c>
      <c r="M78" s="23" t="s">
        <v>55</v>
      </c>
      <c r="N78" s="23" t="s">
        <v>577</v>
      </c>
      <c r="O78" s="23" t="s">
        <v>230</v>
      </c>
      <c r="P78" s="23" t="s">
        <v>231</v>
      </c>
      <c r="Q78" s="23" t="s">
        <v>232</v>
      </c>
      <c r="R78" s="23" t="s">
        <v>59</v>
      </c>
      <c r="S78" s="23" t="s">
        <v>578</v>
      </c>
    </row>
    <row r="79" spans="1:19" s="25" customFormat="1" ht="16" outlineLevel="1" x14ac:dyDescent="0.2">
      <c r="A79" s="27"/>
      <c r="B79" s="23"/>
      <c r="C79" s="23"/>
      <c r="D79" s="23"/>
      <c r="E79" s="23"/>
      <c r="F79" s="23"/>
      <c r="G79" s="47" t="s">
        <v>717</v>
      </c>
      <c r="H79" s="26">
        <f>SUBTOTAL(9,H77:H78)</f>
        <v>28.08</v>
      </c>
      <c r="I79" s="26">
        <f>SUBTOTAL(9,I77:I78)</f>
        <v>2.5527272727272727</v>
      </c>
      <c r="J79" s="23"/>
      <c r="K79" s="24"/>
      <c r="L79" s="23"/>
      <c r="M79" s="23"/>
      <c r="N79" s="23"/>
      <c r="O79" s="23"/>
      <c r="P79" s="23"/>
      <c r="Q79" s="23"/>
      <c r="R79" s="23"/>
      <c r="S79" s="23"/>
    </row>
    <row r="80" spans="1:19" s="25" customFormat="1" ht="32" outlineLevel="2" x14ac:dyDescent="0.2">
      <c r="A80" s="27" t="s">
        <v>276</v>
      </c>
      <c r="B80" s="23" t="s">
        <v>271</v>
      </c>
      <c r="C80" s="23" t="s">
        <v>277</v>
      </c>
      <c r="D80" s="23" t="s">
        <v>67</v>
      </c>
      <c r="E80" s="23" t="s">
        <v>68</v>
      </c>
      <c r="F80" s="23" t="s">
        <v>31</v>
      </c>
      <c r="G80" s="23" t="s">
        <v>684</v>
      </c>
      <c r="H80" s="26">
        <v>33.07</v>
      </c>
      <c r="I80" s="26">
        <f>H80/11</f>
        <v>3.0063636363636363</v>
      </c>
      <c r="J80" s="23" t="s">
        <v>54</v>
      </c>
      <c r="K80" s="24" t="s">
        <v>55</v>
      </c>
      <c r="L80" s="23" t="s">
        <v>55</v>
      </c>
      <c r="M80" s="23" t="s">
        <v>55</v>
      </c>
      <c r="N80" s="23" t="s">
        <v>277</v>
      </c>
      <c r="O80" s="23" t="s">
        <v>278</v>
      </c>
      <c r="P80" s="23" t="s">
        <v>57</v>
      </c>
      <c r="Q80" s="23" t="s">
        <v>58</v>
      </c>
      <c r="R80" s="23" t="s">
        <v>59</v>
      </c>
      <c r="S80" s="23" t="s">
        <v>279</v>
      </c>
    </row>
    <row r="81" spans="1:19" s="25" customFormat="1" ht="16" outlineLevel="1" x14ac:dyDescent="0.2">
      <c r="A81" s="27"/>
      <c r="B81" s="23"/>
      <c r="C81" s="23"/>
      <c r="D81" s="23"/>
      <c r="E81" s="23"/>
      <c r="F81" s="23"/>
      <c r="G81" s="47" t="s">
        <v>718</v>
      </c>
      <c r="H81" s="26">
        <f>SUBTOTAL(9,H80:H80)</f>
        <v>33.07</v>
      </c>
      <c r="I81" s="26">
        <f>SUBTOTAL(9,I80:I80)</f>
        <v>3.0063636363636363</v>
      </c>
      <c r="J81" s="23"/>
      <c r="K81" s="24"/>
      <c r="L81" s="23"/>
      <c r="M81" s="23"/>
      <c r="N81" s="23"/>
      <c r="O81" s="23"/>
      <c r="P81" s="23"/>
      <c r="Q81" s="23"/>
      <c r="R81" s="23"/>
      <c r="S81" s="23"/>
    </row>
    <row r="82" spans="1:19" s="25" customFormat="1" ht="32" outlineLevel="2" x14ac:dyDescent="0.2">
      <c r="A82" s="27" t="s">
        <v>392</v>
      </c>
      <c r="B82" s="23" t="s">
        <v>384</v>
      </c>
      <c r="C82" s="23" t="s">
        <v>97</v>
      </c>
      <c r="D82" s="23" t="s">
        <v>62</v>
      </c>
      <c r="E82" s="23" t="s">
        <v>63</v>
      </c>
      <c r="F82" s="23" t="s">
        <v>31</v>
      </c>
      <c r="G82" s="23" t="s">
        <v>688</v>
      </c>
      <c r="H82" s="26">
        <v>3.83</v>
      </c>
      <c r="I82" s="26">
        <f>H82/11</f>
        <v>0.3481818181818182</v>
      </c>
      <c r="J82" s="23" t="s">
        <v>54</v>
      </c>
      <c r="K82" s="24" t="s">
        <v>55</v>
      </c>
      <c r="L82" s="23" t="s">
        <v>55</v>
      </c>
      <c r="M82" s="23" t="s">
        <v>55</v>
      </c>
      <c r="N82" s="23" t="s">
        <v>97</v>
      </c>
      <c r="O82" s="23" t="s">
        <v>98</v>
      </c>
      <c r="P82" s="23" t="s">
        <v>99</v>
      </c>
      <c r="Q82" s="23" t="s">
        <v>100</v>
      </c>
      <c r="R82" s="23" t="s">
        <v>59</v>
      </c>
      <c r="S82" s="23" t="s">
        <v>404</v>
      </c>
    </row>
    <row r="83" spans="1:19" s="25" customFormat="1" ht="32" outlineLevel="2" x14ac:dyDescent="0.2">
      <c r="A83" s="27" t="s">
        <v>384</v>
      </c>
      <c r="B83" s="23" t="s">
        <v>362</v>
      </c>
      <c r="C83" s="23" t="s">
        <v>97</v>
      </c>
      <c r="D83" s="23" t="s">
        <v>62</v>
      </c>
      <c r="E83" s="23" t="s">
        <v>63</v>
      </c>
      <c r="F83" s="23" t="s">
        <v>31</v>
      </c>
      <c r="G83" s="23" t="s">
        <v>688</v>
      </c>
      <c r="H83" s="26">
        <v>9.48</v>
      </c>
      <c r="I83" s="26">
        <f>H83/11</f>
        <v>0.86181818181818182</v>
      </c>
      <c r="J83" s="23" t="s">
        <v>54</v>
      </c>
      <c r="K83" s="24" t="s">
        <v>55</v>
      </c>
      <c r="L83" s="23" t="s">
        <v>55</v>
      </c>
      <c r="M83" s="23" t="s">
        <v>55</v>
      </c>
      <c r="N83" s="23" t="s">
        <v>97</v>
      </c>
      <c r="O83" s="23" t="s">
        <v>98</v>
      </c>
      <c r="P83" s="23" t="s">
        <v>99</v>
      </c>
      <c r="Q83" s="23" t="s">
        <v>100</v>
      </c>
      <c r="R83" s="23" t="s">
        <v>59</v>
      </c>
      <c r="S83" s="23" t="s">
        <v>385</v>
      </c>
    </row>
    <row r="84" spans="1:19" s="25" customFormat="1" ht="32" outlineLevel="2" x14ac:dyDescent="0.2">
      <c r="A84" s="27" t="s">
        <v>115</v>
      </c>
      <c r="B84" s="23" t="s">
        <v>115</v>
      </c>
      <c r="C84" s="23" t="s">
        <v>97</v>
      </c>
      <c r="D84" s="23" t="s">
        <v>62</v>
      </c>
      <c r="E84" s="23" t="s">
        <v>63</v>
      </c>
      <c r="F84" s="23" t="s">
        <v>31</v>
      </c>
      <c r="G84" s="23" t="s">
        <v>688</v>
      </c>
      <c r="H84" s="26">
        <v>3.83</v>
      </c>
      <c r="I84" s="26">
        <f>H84/11</f>
        <v>0.3481818181818182</v>
      </c>
      <c r="J84" s="23" t="s">
        <v>54</v>
      </c>
      <c r="K84" s="24" t="s">
        <v>55</v>
      </c>
      <c r="L84" s="23" t="s">
        <v>55</v>
      </c>
      <c r="M84" s="23" t="s">
        <v>55</v>
      </c>
      <c r="N84" s="23" t="s">
        <v>97</v>
      </c>
      <c r="O84" s="23" t="s">
        <v>98</v>
      </c>
      <c r="P84" s="23" t="s">
        <v>99</v>
      </c>
      <c r="Q84" s="23" t="s">
        <v>100</v>
      </c>
      <c r="R84" s="23" t="s">
        <v>59</v>
      </c>
      <c r="S84" s="23" t="s">
        <v>122</v>
      </c>
    </row>
    <row r="85" spans="1:19" s="25" customFormat="1" ht="32" outlineLevel="2" x14ac:dyDescent="0.2">
      <c r="A85" s="27" t="s">
        <v>91</v>
      </c>
      <c r="B85" s="23" t="s">
        <v>49</v>
      </c>
      <c r="C85" s="23" t="s">
        <v>97</v>
      </c>
      <c r="D85" s="23" t="s">
        <v>62</v>
      </c>
      <c r="E85" s="23" t="s">
        <v>63</v>
      </c>
      <c r="F85" s="23" t="s">
        <v>31</v>
      </c>
      <c r="G85" s="23" t="s">
        <v>688</v>
      </c>
      <c r="H85" s="26">
        <v>9.48</v>
      </c>
      <c r="I85" s="26">
        <f>H85/11</f>
        <v>0.86181818181818182</v>
      </c>
      <c r="J85" s="23" t="s">
        <v>54</v>
      </c>
      <c r="K85" s="24" t="s">
        <v>55</v>
      </c>
      <c r="L85" s="23" t="s">
        <v>55</v>
      </c>
      <c r="M85" s="23" t="s">
        <v>55</v>
      </c>
      <c r="N85" s="23" t="s">
        <v>97</v>
      </c>
      <c r="O85" s="23" t="s">
        <v>98</v>
      </c>
      <c r="P85" s="23" t="s">
        <v>99</v>
      </c>
      <c r="Q85" s="23" t="s">
        <v>100</v>
      </c>
      <c r="R85" s="23" t="s">
        <v>59</v>
      </c>
      <c r="S85" s="23" t="s">
        <v>101</v>
      </c>
    </row>
    <row r="86" spans="1:19" s="25" customFormat="1" ht="16" outlineLevel="1" x14ac:dyDescent="0.2">
      <c r="A86" s="27"/>
      <c r="B86" s="23"/>
      <c r="C86" s="23"/>
      <c r="D86" s="23"/>
      <c r="E86" s="23"/>
      <c r="F86" s="23"/>
      <c r="G86" s="47" t="s">
        <v>719</v>
      </c>
      <c r="H86" s="26">
        <f>SUBTOTAL(9,H82:H85)</f>
        <v>26.62</v>
      </c>
      <c r="I86" s="26">
        <f>SUBTOTAL(9,I82:I85)</f>
        <v>2.42</v>
      </c>
      <c r="J86" s="23"/>
      <c r="K86" s="24"/>
      <c r="L86" s="23"/>
      <c r="M86" s="23"/>
      <c r="N86" s="23"/>
      <c r="O86" s="23"/>
      <c r="P86" s="23"/>
      <c r="Q86" s="23"/>
      <c r="R86" s="23"/>
      <c r="S86" s="23"/>
    </row>
    <row r="87" spans="1:19" s="25" customFormat="1" ht="32" outlineLevel="2" x14ac:dyDescent="0.2">
      <c r="A87" s="27" t="s">
        <v>444</v>
      </c>
      <c r="B87" s="23" t="s">
        <v>438</v>
      </c>
      <c r="C87" s="23" t="s">
        <v>460</v>
      </c>
      <c r="D87" s="23" t="s">
        <v>62</v>
      </c>
      <c r="E87" s="23" t="s">
        <v>63</v>
      </c>
      <c r="F87" s="23" t="s">
        <v>31</v>
      </c>
      <c r="G87" s="23" t="s">
        <v>694</v>
      </c>
      <c r="H87" s="26">
        <v>4.49</v>
      </c>
      <c r="I87" s="26">
        <f>H87/11</f>
        <v>0.4081818181818182</v>
      </c>
      <c r="J87" s="23" t="s">
        <v>54</v>
      </c>
      <c r="K87" s="24" t="s">
        <v>55</v>
      </c>
      <c r="L87" s="23" t="s">
        <v>55</v>
      </c>
      <c r="M87" s="23" t="s">
        <v>55</v>
      </c>
      <c r="N87" s="23" t="s">
        <v>460</v>
      </c>
      <c r="O87" s="23" t="s">
        <v>461</v>
      </c>
      <c r="P87" s="23" t="s">
        <v>462</v>
      </c>
      <c r="Q87" s="23" t="s">
        <v>463</v>
      </c>
      <c r="R87" s="23" t="s">
        <v>59</v>
      </c>
      <c r="S87" s="23" t="s">
        <v>464</v>
      </c>
    </row>
    <row r="88" spans="1:19" s="25" customFormat="1" ht="48" outlineLevel="2" x14ac:dyDescent="0.2">
      <c r="A88" s="27" t="s">
        <v>339</v>
      </c>
      <c r="B88" s="23" t="s">
        <v>339</v>
      </c>
      <c r="C88" s="23" t="s">
        <v>356</v>
      </c>
      <c r="D88" s="23" t="s">
        <v>52</v>
      </c>
      <c r="E88" s="23" t="s">
        <v>53</v>
      </c>
      <c r="F88" s="23" t="s">
        <v>31</v>
      </c>
      <c r="G88" s="23" t="s">
        <v>694</v>
      </c>
      <c r="H88" s="26">
        <v>8.9</v>
      </c>
      <c r="I88" s="26">
        <f>H88/11</f>
        <v>0.80909090909090908</v>
      </c>
      <c r="J88" s="23" t="s">
        <v>54</v>
      </c>
      <c r="K88" s="24" t="s">
        <v>55</v>
      </c>
      <c r="L88" s="23" t="s">
        <v>55</v>
      </c>
      <c r="M88" s="23" t="s">
        <v>55</v>
      </c>
      <c r="N88" s="23" t="s">
        <v>356</v>
      </c>
      <c r="O88" s="23" t="s">
        <v>357</v>
      </c>
      <c r="P88" s="23" t="s">
        <v>303</v>
      </c>
      <c r="Q88" s="23" t="s">
        <v>304</v>
      </c>
      <c r="R88" s="23" t="s">
        <v>59</v>
      </c>
      <c r="S88" s="23" t="s">
        <v>358</v>
      </c>
    </row>
    <row r="89" spans="1:19" s="25" customFormat="1" ht="16" outlineLevel="1" x14ac:dyDescent="0.2">
      <c r="A89" s="27"/>
      <c r="B89" s="23"/>
      <c r="C89" s="23"/>
      <c r="D89" s="23"/>
      <c r="E89" s="23"/>
      <c r="F89" s="23"/>
      <c r="G89" s="47" t="s">
        <v>720</v>
      </c>
      <c r="H89" s="26">
        <f>SUBTOTAL(9,H87:H88)</f>
        <v>13.39</v>
      </c>
      <c r="I89" s="26">
        <f>SUBTOTAL(9,I87:I88)</f>
        <v>1.2172727272727273</v>
      </c>
      <c r="J89" s="23"/>
      <c r="K89" s="24"/>
      <c r="L89" s="23"/>
      <c r="M89" s="23"/>
      <c r="N89" s="23"/>
      <c r="O89" s="23"/>
      <c r="P89" s="23"/>
      <c r="Q89" s="23"/>
      <c r="R89" s="23"/>
      <c r="S89" s="23"/>
    </row>
    <row r="90" spans="1:19" s="25" customFormat="1" ht="32" outlineLevel="2" x14ac:dyDescent="0.2">
      <c r="A90" s="27" t="s">
        <v>444</v>
      </c>
      <c r="B90" s="23" t="s">
        <v>439</v>
      </c>
      <c r="C90" s="23" t="s">
        <v>449</v>
      </c>
      <c r="D90" s="23" t="s">
        <v>62</v>
      </c>
      <c r="E90" s="23" t="s">
        <v>63</v>
      </c>
      <c r="F90" s="23" t="s">
        <v>31</v>
      </c>
      <c r="G90" s="23" t="s">
        <v>685</v>
      </c>
      <c r="H90" s="26">
        <v>1056.4000000000001</v>
      </c>
      <c r="I90" s="26">
        <f>H90/11</f>
        <v>96.036363636363646</v>
      </c>
      <c r="J90" s="23" t="s">
        <v>54</v>
      </c>
      <c r="K90" s="24" t="s">
        <v>55</v>
      </c>
      <c r="L90" s="23" t="s">
        <v>55</v>
      </c>
      <c r="M90" s="23" t="s">
        <v>55</v>
      </c>
      <c r="N90" s="23" t="s">
        <v>449</v>
      </c>
      <c r="O90" s="23" t="s">
        <v>450</v>
      </c>
      <c r="P90" s="23" t="s">
        <v>451</v>
      </c>
      <c r="Q90" s="23" t="s">
        <v>452</v>
      </c>
      <c r="R90" s="23" t="s">
        <v>59</v>
      </c>
      <c r="S90" s="23" t="s">
        <v>453</v>
      </c>
    </row>
    <row r="91" spans="1:19" s="25" customFormat="1" ht="16" outlineLevel="2" x14ac:dyDescent="0.2">
      <c r="A91" s="7">
        <v>45750</v>
      </c>
      <c r="B91" s="9"/>
      <c r="C91" s="9" t="s">
        <v>618</v>
      </c>
      <c r="D91" s="10" t="s">
        <v>587</v>
      </c>
      <c r="E91" s="9" t="s">
        <v>588</v>
      </c>
      <c r="F91" s="23" t="s">
        <v>31</v>
      </c>
      <c r="G91" s="23" t="s">
        <v>685</v>
      </c>
      <c r="H91" s="11">
        <v>6.08</v>
      </c>
      <c r="I91" s="26">
        <f>H91/11</f>
        <v>0.55272727272727273</v>
      </c>
      <c r="J91" s="9"/>
      <c r="K91" s="9"/>
      <c r="L91" s="9"/>
      <c r="M91" s="9"/>
      <c r="N91" s="9"/>
      <c r="O91" s="9"/>
      <c r="P91" s="9"/>
      <c r="Q91" s="9"/>
      <c r="R91" s="9"/>
      <c r="S91" s="9"/>
    </row>
    <row r="92" spans="1:19" s="25" customFormat="1" ht="16" outlineLevel="2" x14ac:dyDescent="0.2">
      <c r="A92" s="7">
        <v>45750</v>
      </c>
      <c r="B92" s="9"/>
      <c r="C92" s="9" t="s">
        <v>665</v>
      </c>
      <c r="D92" s="10" t="s">
        <v>624</v>
      </c>
      <c r="E92" s="9" t="s">
        <v>625</v>
      </c>
      <c r="F92" s="23" t="s">
        <v>31</v>
      </c>
      <c r="G92" s="23" t="s">
        <v>685</v>
      </c>
      <c r="H92" s="11">
        <v>6.08</v>
      </c>
      <c r="I92" s="26">
        <f>H92/11</f>
        <v>0.55272727272727273</v>
      </c>
      <c r="J92" s="9" t="s">
        <v>626</v>
      </c>
      <c r="K92" s="9"/>
      <c r="L92" s="9">
        <v>-842.06</v>
      </c>
      <c r="M92" s="9" t="s">
        <v>666</v>
      </c>
      <c r="N92" s="9" t="s">
        <v>667</v>
      </c>
      <c r="O92" s="9"/>
      <c r="P92" s="9"/>
      <c r="Q92" s="9"/>
      <c r="R92" s="9"/>
      <c r="S92" s="9"/>
    </row>
    <row r="93" spans="1:19" s="25" customFormat="1" ht="16" outlineLevel="2" x14ac:dyDescent="0.2">
      <c r="A93" s="7">
        <v>45754</v>
      </c>
      <c r="B93" s="9"/>
      <c r="C93" s="9" t="s">
        <v>618</v>
      </c>
      <c r="D93" s="10" t="s">
        <v>587</v>
      </c>
      <c r="E93" s="9" t="s">
        <v>588</v>
      </c>
      <c r="F93" s="23" t="s">
        <v>31</v>
      </c>
      <c r="G93" s="23" t="s">
        <v>685</v>
      </c>
      <c r="H93" s="11">
        <v>5.07</v>
      </c>
      <c r="I93" s="26">
        <f>H93/11</f>
        <v>0.46090909090909093</v>
      </c>
      <c r="J93" s="9"/>
      <c r="K93" s="9"/>
      <c r="L93" s="9"/>
      <c r="M93" s="9"/>
      <c r="N93" s="9"/>
      <c r="O93" s="9"/>
      <c r="P93" s="9"/>
      <c r="Q93" s="9"/>
      <c r="R93" s="9"/>
      <c r="S93" s="9"/>
    </row>
    <row r="94" spans="1:19" s="25" customFormat="1" ht="32" outlineLevel="2" x14ac:dyDescent="0.2">
      <c r="A94" s="27" t="s">
        <v>339</v>
      </c>
      <c r="B94" s="23" t="s">
        <v>300</v>
      </c>
      <c r="C94" s="23" t="s">
        <v>301</v>
      </c>
      <c r="D94" s="23" t="s">
        <v>52</v>
      </c>
      <c r="E94" s="23" t="s">
        <v>53</v>
      </c>
      <c r="F94" s="23" t="s">
        <v>31</v>
      </c>
      <c r="G94" s="23" t="s">
        <v>685</v>
      </c>
      <c r="H94" s="26">
        <v>6.5</v>
      </c>
      <c r="I94" s="26">
        <f>H94/11</f>
        <v>0.59090909090909094</v>
      </c>
      <c r="J94" s="23" t="s">
        <v>54</v>
      </c>
      <c r="K94" s="24" t="s">
        <v>55</v>
      </c>
      <c r="L94" s="23" t="s">
        <v>55</v>
      </c>
      <c r="M94" s="23" t="s">
        <v>55</v>
      </c>
      <c r="N94" s="23" t="s">
        <v>301</v>
      </c>
      <c r="O94" s="23" t="s">
        <v>302</v>
      </c>
      <c r="P94" s="23" t="s">
        <v>303</v>
      </c>
      <c r="Q94" s="23" t="s">
        <v>304</v>
      </c>
      <c r="R94" s="23" t="s">
        <v>59</v>
      </c>
      <c r="S94" s="23" t="s">
        <v>354</v>
      </c>
    </row>
    <row r="95" spans="1:19" s="25" customFormat="1" ht="32" outlineLevel="2" x14ac:dyDescent="0.2">
      <c r="A95" s="27" t="s">
        <v>300</v>
      </c>
      <c r="B95" s="23" t="s">
        <v>300</v>
      </c>
      <c r="C95" s="23" t="s">
        <v>301</v>
      </c>
      <c r="D95" s="23" t="s">
        <v>62</v>
      </c>
      <c r="E95" s="23" t="s">
        <v>63</v>
      </c>
      <c r="F95" s="23" t="s">
        <v>31</v>
      </c>
      <c r="G95" s="23" t="s">
        <v>685</v>
      </c>
      <c r="H95" s="26">
        <v>43.35</v>
      </c>
      <c r="I95" s="26">
        <f>H95/11</f>
        <v>3.9409090909090909</v>
      </c>
      <c r="J95" s="23" t="s">
        <v>54</v>
      </c>
      <c r="K95" s="24" t="s">
        <v>55</v>
      </c>
      <c r="L95" s="23" t="s">
        <v>55</v>
      </c>
      <c r="M95" s="23" t="s">
        <v>55</v>
      </c>
      <c r="N95" s="23" t="s">
        <v>301</v>
      </c>
      <c r="O95" s="23" t="s">
        <v>302</v>
      </c>
      <c r="P95" s="23" t="s">
        <v>303</v>
      </c>
      <c r="Q95" s="23" t="s">
        <v>304</v>
      </c>
      <c r="R95" s="23" t="s">
        <v>59</v>
      </c>
      <c r="S95" s="23" t="s">
        <v>305</v>
      </c>
    </row>
    <row r="96" spans="1:19" s="25" customFormat="1" ht="16" outlineLevel="1" x14ac:dyDescent="0.2">
      <c r="A96" s="27"/>
      <c r="B96" s="23"/>
      <c r="C96" s="23"/>
      <c r="D96" s="23"/>
      <c r="E96" s="23"/>
      <c r="F96" s="23"/>
      <c r="G96" s="47" t="s">
        <v>721</v>
      </c>
      <c r="H96" s="26">
        <f>SUBTOTAL(9,H90:H95)</f>
        <v>1123.4799999999998</v>
      </c>
      <c r="I96" s="26">
        <f>SUBTOTAL(9,I90:I95)</f>
        <v>102.13454545454545</v>
      </c>
      <c r="J96" s="23"/>
      <c r="K96" s="24"/>
      <c r="L96" s="23"/>
      <c r="M96" s="23"/>
      <c r="N96" s="23"/>
      <c r="O96" s="23"/>
      <c r="P96" s="23"/>
      <c r="Q96" s="23"/>
      <c r="R96" s="23"/>
      <c r="S96" s="23"/>
    </row>
    <row r="97" spans="1:19" s="25" customFormat="1" ht="32" outlineLevel="2" x14ac:dyDescent="0.2">
      <c r="A97" s="27" t="s">
        <v>362</v>
      </c>
      <c r="B97" s="23" t="s">
        <v>288</v>
      </c>
      <c r="C97" s="23" t="s">
        <v>555</v>
      </c>
      <c r="D97" s="23" t="s">
        <v>52</v>
      </c>
      <c r="E97" s="23" t="s">
        <v>485</v>
      </c>
      <c r="F97" s="23" t="s">
        <v>31</v>
      </c>
      <c r="G97" s="23" t="s">
        <v>673</v>
      </c>
      <c r="H97" s="26">
        <v>724.5</v>
      </c>
      <c r="I97" s="26">
        <f>H97/11</f>
        <v>65.86363636363636</v>
      </c>
      <c r="J97" s="23" t="s">
        <v>54</v>
      </c>
      <c r="K97" s="24" t="s">
        <v>55</v>
      </c>
      <c r="L97" s="23" t="s">
        <v>55</v>
      </c>
      <c r="M97" s="23" t="s">
        <v>55</v>
      </c>
      <c r="N97" s="23" t="s">
        <v>555</v>
      </c>
      <c r="O97" s="23" t="s">
        <v>556</v>
      </c>
      <c r="P97" s="23" t="s">
        <v>57</v>
      </c>
      <c r="Q97" s="23" t="s">
        <v>58</v>
      </c>
      <c r="R97" s="23" t="s">
        <v>59</v>
      </c>
      <c r="S97" s="23" t="s">
        <v>557</v>
      </c>
    </row>
    <row r="98" spans="1:19" s="25" customFormat="1" ht="96" outlineLevel="2" x14ac:dyDescent="0.2">
      <c r="A98" s="27" t="s">
        <v>362</v>
      </c>
      <c r="B98" s="23" t="s">
        <v>339</v>
      </c>
      <c r="C98" s="23" t="s">
        <v>374</v>
      </c>
      <c r="D98" s="23" t="s">
        <v>62</v>
      </c>
      <c r="E98" s="23" t="s">
        <v>63</v>
      </c>
      <c r="F98" s="23" t="s">
        <v>31</v>
      </c>
      <c r="G98" s="23" t="s">
        <v>673</v>
      </c>
      <c r="H98" s="26">
        <v>11.62</v>
      </c>
      <c r="I98" s="26">
        <f>H98/11</f>
        <v>1.0563636363636364</v>
      </c>
      <c r="J98" s="23" t="s">
        <v>54</v>
      </c>
      <c r="K98" s="24" t="s">
        <v>55</v>
      </c>
      <c r="L98" s="23" t="s">
        <v>55</v>
      </c>
      <c r="M98" s="23" t="s">
        <v>375</v>
      </c>
      <c r="N98" s="23" t="s">
        <v>374</v>
      </c>
      <c r="O98" s="23" t="s">
        <v>376</v>
      </c>
      <c r="P98" s="23" t="s">
        <v>377</v>
      </c>
      <c r="Q98" s="23" t="s">
        <v>378</v>
      </c>
      <c r="R98" s="23" t="s">
        <v>59</v>
      </c>
      <c r="S98" s="23" t="s">
        <v>379</v>
      </c>
    </row>
    <row r="99" spans="1:19" s="25" customFormat="1" ht="96" outlineLevel="2" x14ac:dyDescent="0.2">
      <c r="A99" s="27" t="s">
        <v>362</v>
      </c>
      <c r="B99" s="23" t="s">
        <v>339</v>
      </c>
      <c r="C99" s="23" t="s">
        <v>374</v>
      </c>
      <c r="D99" s="23" t="s">
        <v>62</v>
      </c>
      <c r="E99" s="23" t="s">
        <v>63</v>
      </c>
      <c r="F99" s="23" t="s">
        <v>31</v>
      </c>
      <c r="G99" s="23" t="s">
        <v>673</v>
      </c>
      <c r="H99" s="26">
        <v>64</v>
      </c>
      <c r="I99" s="26">
        <f>H99/11</f>
        <v>5.8181818181818183</v>
      </c>
      <c r="J99" s="23" t="s">
        <v>54</v>
      </c>
      <c r="K99" s="24" t="s">
        <v>55</v>
      </c>
      <c r="L99" s="23" t="s">
        <v>55</v>
      </c>
      <c r="M99" s="23" t="s">
        <v>380</v>
      </c>
      <c r="N99" s="23" t="s">
        <v>374</v>
      </c>
      <c r="O99" s="23" t="s">
        <v>376</v>
      </c>
      <c r="P99" s="23" t="s">
        <v>377</v>
      </c>
      <c r="Q99" s="23" t="s">
        <v>378</v>
      </c>
      <c r="R99" s="23" t="s">
        <v>59</v>
      </c>
      <c r="S99" s="23" t="s">
        <v>381</v>
      </c>
    </row>
    <row r="100" spans="1:19" s="25" customFormat="1" ht="208" outlineLevel="2" x14ac:dyDescent="0.2">
      <c r="A100" s="27" t="s">
        <v>362</v>
      </c>
      <c r="B100" s="23" t="s">
        <v>339</v>
      </c>
      <c r="C100" s="23" t="s">
        <v>374</v>
      </c>
      <c r="D100" s="23" t="s">
        <v>62</v>
      </c>
      <c r="E100" s="23" t="s">
        <v>63</v>
      </c>
      <c r="F100" s="38" t="s">
        <v>31</v>
      </c>
      <c r="G100" s="23" t="s">
        <v>673</v>
      </c>
      <c r="H100" s="26">
        <v>1110.05</v>
      </c>
      <c r="I100" s="26">
        <f>H100/11</f>
        <v>100.91363636363636</v>
      </c>
      <c r="J100" s="23" t="s">
        <v>54</v>
      </c>
      <c r="K100" s="24" t="s">
        <v>55</v>
      </c>
      <c r="L100" s="23" t="s">
        <v>55</v>
      </c>
      <c r="M100" s="23" t="s">
        <v>382</v>
      </c>
      <c r="N100" s="23" t="s">
        <v>374</v>
      </c>
      <c r="O100" s="23" t="s">
        <v>376</v>
      </c>
      <c r="P100" s="23" t="s">
        <v>377</v>
      </c>
      <c r="Q100" s="23" t="s">
        <v>378</v>
      </c>
      <c r="R100" s="23" t="s">
        <v>59</v>
      </c>
      <c r="S100" s="23" t="s">
        <v>383</v>
      </c>
    </row>
    <row r="101" spans="1:19" s="25" customFormat="1" ht="16" outlineLevel="1" x14ac:dyDescent="0.2">
      <c r="A101" s="27"/>
      <c r="B101" s="23"/>
      <c r="C101" s="23"/>
      <c r="D101" s="23"/>
      <c r="E101" s="23"/>
      <c r="F101" s="38"/>
      <c r="G101" s="47" t="s">
        <v>722</v>
      </c>
      <c r="H101" s="26">
        <f>SUBTOTAL(9,H97:H100)</f>
        <v>1910.17</v>
      </c>
      <c r="I101" s="26">
        <f>SUBTOTAL(9,I97:I100)</f>
        <v>173.65181818181816</v>
      </c>
      <c r="J101" s="23"/>
      <c r="K101" s="24"/>
      <c r="L101" s="23"/>
      <c r="M101" s="23"/>
      <c r="N101" s="23"/>
      <c r="O101" s="23"/>
      <c r="P101" s="23"/>
      <c r="Q101" s="23"/>
      <c r="R101" s="23"/>
      <c r="S101" s="23"/>
    </row>
    <row r="102" spans="1:19" s="25" customFormat="1" ht="32" outlineLevel="2" x14ac:dyDescent="0.2">
      <c r="A102" s="27" t="s">
        <v>478</v>
      </c>
      <c r="B102" s="23" t="s">
        <v>444</v>
      </c>
      <c r="C102" s="23" t="s">
        <v>479</v>
      </c>
      <c r="D102" s="23" t="s">
        <v>52</v>
      </c>
      <c r="E102" s="23" t="s">
        <v>53</v>
      </c>
      <c r="F102" s="23" t="s">
        <v>31</v>
      </c>
      <c r="G102" s="23" t="s">
        <v>678</v>
      </c>
      <c r="H102" s="26">
        <v>7.14</v>
      </c>
      <c r="I102" s="26">
        <f>H102/11</f>
        <v>0.64909090909090905</v>
      </c>
      <c r="J102" s="23" t="s">
        <v>54</v>
      </c>
      <c r="K102" s="24" t="s">
        <v>55</v>
      </c>
      <c r="L102" s="23" t="s">
        <v>55</v>
      </c>
      <c r="M102" s="23" t="s">
        <v>55</v>
      </c>
      <c r="N102" s="23" t="s">
        <v>479</v>
      </c>
      <c r="O102" s="23" t="s">
        <v>458</v>
      </c>
      <c r="P102" s="23" t="s">
        <v>451</v>
      </c>
      <c r="Q102" s="23" t="s">
        <v>452</v>
      </c>
      <c r="R102" s="23" t="s">
        <v>59</v>
      </c>
      <c r="S102" s="23" t="s">
        <v>480</v>
      </c>
    </row>
    <row r="103" spans="1:19" s="25" customFormat="1" ht="32" outlineLevel="2" x14ac:dyDescent="0.2">
      <c r="A103" s="27" t="s">
        <v>465</v>
      </c>
      <c r="B103" s="23" t="s">
        <v>465</v>
      </c>
      <c r="C103" s="23" t="s">
        <v>466</v>
      </c>
      <c r="D103" s="23" t="s">
        <v>52</v>
      </c>
      <c r="E103" s="23" t="s">
        <v>53</v>
      </c>
      <c r="F103" s="23" t="s">
        <v>31</v>
      </c>
      <c r="G103" s="23" t="s">
        <v>678</v>
      </c>
      <c r="H103" s="26">
        <v>7.82</v>
      </c>
      <c r="I103" s="26">
        <f>H103/11</f>
        <v>0.71090909090909093</v>
      </c>
      <c r="J103" s="23" t="s">
        <v>54</v>
      </c>
      <c r="K103" s="24" t="s">
        <v>55</v>
      </c>
      <c r="L103" s="23" t="s">
        <v>55</v>
      </c>
      <c r="M103" s="23" t="s">
        <v>55</v>
      </c>
      <c r="N103" s="23" t="s">
        <v>466</v>
      </c>
      <c r="O103" s="23" t="s">
        <v>467</v>
      </c>
      <c r="P103" s="23" t="s">
        <v>451</v>
      </c>
      <c r="Q103" s="23" t="s">
        <v>452</v>
      </c>
      <c r="R103" s="23" t="s">
        <v>59</v>
      </c>
      <c r="S103" s="23" t="s">
        <v>468</v>
      </c>
    </row>
    <row r="104" spans="1:19" s="25" customFormat="1" ht="16" outlineLevel="1" x14ac:dyDescent="0.2">
      <c r="A104" s="27"/>
      <c r="B104" s="23"/>
      <c r="C104" s="23"/>
      <c r="D104" s="23"/>
      <c r="E104" s="23"/>
      <c r="F104" s="23"/>
      <c r="G104" s="47" t="s">
        <v>723</v>
      </c>
      <c r="H104" s="26">
        <f>SUBTOTAL(9,H102:H103)</f>
        <v>14.96</v>
      </c>
      <c r="I104" s="26">
        <f>SUBTOTAL(9,I102:I103)</f>
        <v>1.3599999999999999</v>
      </c>
      <c r="J104" s="23"/>
      <c r="K104" s="24"/>
      <c r="L104" s="23"/>
      <c r="M104" s="23"/>
      <c r="N104" s="23"/>
      <c r="O104" s="23"/>
      <c r="P104" s="23"/>
      <c r="Q104" s="23"/>
      <c r="R104" s="23"/>
      <c r="S104" s="23"/>
    </row>
    <row r="105" spans="1:19" outlineLevel="1" x14ac:dyDescent="0.2">
      <c r="A105" s="7"/>
      <c r="B105" s="9"/>
      <c r="C105" s="9"/>
      <c r="D105" s="10"/>
      <c r="E105" s="9"/>
      <c r="F105" s="11"/>
      <c r="G105" s="12"/>
      <c r="H105" s="11"/>
      <c r="I105" s="22"/>
      <c r="J105" s="9"/>
      <c r="K105" s="9"/>
      <c r="L105" s="9"/>
      <c r="M105" s="9"/>
      <c r="N105" s="9"/>
      <c r="O105" s="9"/>
      <c r="P105" s="9"/>
      <c r="Q105" s="9"/>
      <c r="R105" s="9"/>
      <c r="S105" s="9"/>
    </row>
    <row r="106" spans="1:19" outlineLevel="1" x14ac:dyDescent="0.2"/>
    <row r="107" spans="1:19" outlineLevel="1" x14ac:dyDescent="0.2">
      <c r="G107" s="49" t="s">
        <v>724</v>
      </c>
      <c r="H107" s="4">
        <f>SUBTOTAL(9,H2:H106)</f>
        <v>16148.639999999996</v>
      </c>
      <c r="I107" s="4">
        <f>SUBTOTAL(9,I2:I106)</f>
        <v>1211.8054545454545</v>
      </c>
    </row>
  </sheetData>
  <sortState xmlns:xlrd2="http://schemas.microsoft.com/office/spreadsheetml/2017/richdata2" ref="A2:S105">
    <sortCondition ref="G2:G105"/>
    <sortCondition ref="A2:A1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5"/>
  <sheetViews>
    <sheetView workbookViewId="0">
      <pane ySplit="1" topLeftCell="A82" activePane="bottomLeft" state="frozen"/>
      <selection pane="bottomLeft" activeCell="I94" sqref="I94"/>
    </sheetView>
  </sheetViews>
  <sheetFormatPr baseColWidth="10" defaultColWidth="25.83203125" defaultRowHeight="15" x14ac:dyDescent="0.2"/>
  <cols>
    <col min="1" max="1" width="25.83203125" style="13"/>
    <col min="3" max="3" width="60.1640625" bestFit="1" customWidth="1"/>
    <col min="4" max="4" width="25.83203125" style="14"/>
    <col min="6" max="6" width="12.6640625" customWidth="1"/>
    <col min="7" max="7" width="38" customWidth="1"/>
    <col min="8" max="9" width="25.83203125" style="4"/>
  </cols>
  <sheetData>
    <row r="1" spans="1:19" s="19" customFormat="1" ht="16" x14ac:dyDescent="0.2">
      <c r="A1" s="15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8" t="s">
        <v>16</v>
      </c>
      <c r="G1" s="18" t="s">
        <v>17</v>
      </c>
      <c r="H1" s="20" t="s">
        <v>5</v>
      </c>
      <c r="I1" s="21" t="s">
        <v>18</v>
      </c>
      <c r="J1" s="16" t="s">
        <v>6</v>
      </c>
      <c r="K1" s="16" t="s">
        <v>7</v>
      </c>
      <c r="L1" s="16" t="s">
        <v>8</v>
      </c>
      <c r="M1" s="16" t="s">
        <v>9</v>
      </c>
      <c r="N1" s="16" t="s">
        <v>10</v>
      </c>
      <c r="O1" s="16" t="s">
        <v>11</v>
      </c>
      <c r="P1" s="16" t="s">
        <v>12</v>
      </c>
      <c r="Q1" s="16" t="s">
        <v>13</v>
      </c>
      <c r="R1" s="16" t="s">
        <v>14</v>
      </c>
      <c r="S1" s="16" t="s">
        <v>15</v>
      </c>
    </row>
    <row r="2" spans="1:19" ht="32" x14ac:dyDescent="0.2">
      <c r="A2" s="28" t="s">
        <v>478</v>
      </c>
      <c r="B2" s="29" t="s">
        <v>478</v>
      </c>
      <c r="C2" s="29" t="s">
        <v>580</v>
      </c>
      <c r="D2" s="29" t="s">
        <v>499</v>
      </c>
      <c r="E2" s="29" t="s">
        <v>500</v>
      </c>
      <c r="F2" s="29" t="s">
        <v>31</v>
      </c>
      <c r="G2" s="29" t="s">
        <v>695</v>
      </c>
      <c r="H2" s="30">
        <v>29.5</v>
      </c>
      <c r="I2" s="30">
        <f>H2/11</f>
        <v>2.6818181818181817</v>
      </c>
      <c r="J2" s="29" t="s">
        <v>54</v>
      </c>
      <c r="K2" s="31" t="s">
        <v>55</v>
      </c>
      <c r="L2" s="29" t="s">
        <v>55</v>
      </c>
      <c r="M2" s="29" t="s">
        <v>55</v>
      </c>
      <c r="N2" s="29" t="s">
        <v>580</v>
      </c>
      <c r="O2" s="29" t="s">
        <v>581</v>
      </c>
      <c r="P2" s="29" t="s">
        <v>582</v>
      </c>
      <c r="Q2" s="29" t="s">
        <v>583</v>
      </c>
      <c r="R2" s="29" t="s">
        <v>59</v>
      </c>
      <c r="S2" s="29" t="s">
        <v>584</v>
      </c>
    </row>
    <row r="3" spans="1:19" ht="32" x14ac:dyDescent="0.2">
      <c r="A3" s="28" t="s">
        <v>478</v>
      </c>
      <c r="B3" s="29" t="s">
        <v>444</v>
      </c>
      <c r="C3" s="29" t="s">
        <v>479</v>
      </c>
      <c r="D3" s="29" t="s">
        <v>52</v>
      </c>
      <c r="E3" s="29" t="s">
        <v>53</v>
      </c>
      <c r="F3" s="29" t="s">
        <v>31</v>
      </c>
      <c r="G3" s="29" t="s">
        <v>678</v>
      </c>
      <c r="H3" s="30">
        <v>7.14</v>
      </c>
      <c r="I3" s="30">
        <f>H3/11</f>
        <v>0.64909090909090905</v>
      </c>
      <c r="J3" s="29" t="s">
        <v>54</v>
      </c>
      <c r="K3" s="31" t="s">
        <v>55</v>
      </c>
      <c r="L3" s="29" t="s">
        <v>55</v>
      </c>
      <c r="M3" s="29" t="s">
        <v>55</v>
      </c>
      <c r="N3" s="29" t="s">
        <v>479</v>
      </c>
      <c r="O3" s="29" t="s">
        <v>458</v>
      </c>
      <c r="P3" s="29" t="s">
        <v>451</v>
      </c>
      <c r="Q3" s="29" t="s">
        <v>452</v>
      </c>
      <c r="R3" s="29" t="s">
        <v>59</v>
      </c>
      <c r="S3" s="29" t="s">
        <v>480</v>
      </c>
    </row>
    <row r="4" spans="1:19" ht="32" x14ac:dyDescent="0.2">
      <c r="A4" s="28" t="s">
        <v>478</v>
      </c>
      <c r="B4" s="29" t="s">
        <v>478</v>
      </c>
      <c r="C4" s="29" t="s">
        <v>577</v>
      </c>
      <c r="D4" s="29" t="s">
        <v>52</v>
      </c>
      <c r="E4" s="29" t="s">
        <v>485</v>
      </c>
      <c r="F4" s="29" t="s">
        <v>31</v>
      </c>
      <c r="G4" s="29" t="s">
        <v>696</v>
      </c>
      <c r="H4" s="30">
        <v>18.399999999999999</v>
      </c>
      <c r="I4" s="30">
        <f>H4/11</f>
        <v>1.6727272727272726</v>
      </c>
      <c r="J4" s="29" t="s">
        <v>54</v>
      </c>
      <c r="K4" s="31" t="s">
        <v>55</v>
      </c>
      <c r="L4" s="29" t="s">
        <v>55</v>
      </c>
      <c r="M4" s="29" t="s">
        <v>55</v>
      </c>
      <c r="N4" s="29" t="s">
        <v>577</v>
      </c>
      <c r="O4" s="29" t="s">
        <v>230</v>
      </c>
      <c r="P4" s="29" t="s">
        <v>231</v>
      </c>
      <c r="Q4" s="29" t="s">
        <v>232</v>
      </c>
      <c r="R4" s="29" t="s">
        <v>59</v>
      </c>
      <c r="S4" s="29" t="s">
        <v>585</v>
      </c>
    </row>
    <row r="5" spans="1:19" ht="64" x14ac:dyDescent="0.2">
      <c r="A5" s="28" t="s">
        <v>478</v>
      </c>
      <c r="B5" s="29" t="s">
        <v>478</v>
      </c>
      <c r="C5" s="29" t="s">
        <v>481</v>
      </c>
      <c r="D5" s="29" t="s">
        <v>62</v>
      </c>
      <c r="E5" s="29" t="s">
        <v>63</v>
      </c>
      <c r="F5" s="29" t="s">
        <v>31</v>
      </c>
      <c r="G5" s="29" t="s">
        <v>698</v>
      </c>
      <c r="H5" s="30">
        <v>123.9</v>
      </c>
      <c r="I5" s="30">
        <f>H5/11</f>
        <v>11.263636363636364</v>
      </c>
      <c r="J5" s="29" t="s">
        <v>54</v>
      </c>
      <c r="K5" s="31" t="s">
        <v>55</v>
      </c>
      <c r="L5" s="29" t="s">
        <v>55</v>
      </c>
      <c r="M5" s="29" t="s">
        <v>482</v>
      </c>
      <c r="N5" s="29" t="s">
        <v>481</v>
      </c>
      <c r="O5" s="29" t="s">
        <v>483</v>
      </c>
      <c r="P5" s="29" t="s">
        <v>57</v>
      </c>
      <c r="Q5" s="29" t="s">
        <v>58</v>
      </c>
      <c r="R5" s="29" t="s">
        <v>59</v>
      </c>
      <c r="S5" s="29" t="s">
        <v>484</v>
      </c>
    </row>
    <row r="6" spans="1:19" ht="32" x14ac:dyDescent="0.2">
      <c r="A6" s="28" t="s">
        <v>465</v>
      </c>
      <c r="B6" s="29" t="s">
        <v>465</v>
      </c>
      <c r="C6" s="29" t="s">
        <v>466</v>
      </c>
      <c r="D6" s="29" t="s">
        <v>52</v>
      </c>
      <c r="E6" s="29" t="s">
        <v>53</v>
      </c>
      <c r="F6" s="29" t="s">
        <v>31</v>
      </c>
      <c r="G6" s="29" t="s">
        <v>678</v>
      </c>
      <c r="H6" s="30">
        <v>7.82</v>
      </c>
      <c r="I6" s="30">
        <f>H6/11</f>
        <v>0.71090909090909093</v>
      </c>
      <c r="J6" s="29" t="s">
        <v>54</v>
      </c>
      <c r="K6" s="31" t="s">
        <v>55</v>
      </c>
      <c r="L6" s="29" t="s">
        <v>55</v>
      </c>
      <c r="M6" s="29" t="s">
        <v>55</v>
      </c>
      <c r="N6" s="29" t="s">
        <v>466</v>
      </c>
      <c r="O6" s="29" t="s">
        <v>467</v>
      </c>
      <c r="P6" s="29" t="s">
        <v>451</v>
      </c>
      <c r="Q6" s="29" t="s">
        <v>452</v>
      </c>
      <c r="R6" s="29" t="s">
        <v>59</v>
      </c>
      <c r="S6" s="29" t="s">
        <v>468</v>
      </c>
    </row>
    <row r="7" spans="1:19" ht="32" x14ac:dyDescent="0.2">
      <c r="A7" s="28" t="s">
        <v>465</v>
      </c>
      <c r="B7" s="29" t="s">
        <v>465</v>
      </c>
      <c r="C7" s="29" t="s">
        <v>577</v>
      </c>
      <c r="D7" s="29" t="s">
        <v>52</v>
      </c>
      <c r="E7" s="29" t="s">
        <v>485</v>
      </c>
      <c r="F7" s="29" t="s">
        <v>31</v>
      </c>
      <c r="G7" s="29" t="s">
        <v>696</v>
      </c>
      <c r="H7" s="30">
        <v>9.68</v>
      </c>
      <c r="I7" s="30">
        <f>H7/11</f>
        <v>0.88</v>
      </c>
      <c r="J7" s="29" t="s">
        <v>54</v>
      </c>
      <c r="K7" s="31" t="s">
        <v>55</v>
      </c>
      <c r="L7" s="29" t="s">
        <v>55</v>
      </c>
      <c r="M7" s="29" t="s">
        <v>55</v>
      </c>
      <c r="N7" s="29" t="s">
        <v>577</v>
      </c>
      <c r="O7" s="29" t="s">
        <v>230</v>
      </c>
      <c r="P7" s="29" t="s">
        <v>231</v>
      </c>
      <c r="Q7" s="29" t="s">
        <v>232</v>
      </c>
      <c r="R7" s="29" t="s">
        <v>59</v>
      </c>
      <c r="S7" s="29" t="s">
        <v>578</v>
      </c>
    </row>
    <row r="8" spans="1:19" s="25" customFormat="1" ht="32" x14ac:dyDescent="0.2">
      <c r="A8" s="27" t="s">
        <v>444</v>
      </c>
      <c r="B8" s="23" t="s">
        <v>444</v>
      </c>
      <c r="C8" s="23" t="s">
        <v>446</v>
      </c>
      <c r="D8" s="23" t="s">
        <v>52</v>
      </c>
      <c r="E8" s="23" t="s">
        <v>53</v>
      </c>
      <c r="F8" s="23" t="s">
        <v>31</v>
      </c>
      <c r="G8" s="23" t="s">
        <v>682</v>
      </c>
      <c r="H8" s="26">
        <v>35</v>
      </c>
      <c r="I8" s="30">
        <f>H8/11</f>
        <v>3.1818181818181817</v>
      </c>
      <c r="J8" s="23" t="s">
        <v>54</v>
      </c>
      <c r="K8" s="24" t="s">
        <v>55</v>
      </c>
      <c r="L8" s="23" t="s">
        <v>55</v>
      </c>
      <c r="M8" s="23" t="s">
        <v>55</v>
      </c>
      <c r="N8" s="23" t="s">
        <v>446</v>
      </c>
      <c r="O8" s="23" t="s">
        <v>447</v>
      </c>
      <c r="P8" s="23" t="s">
        <v>244</v>
      </c>
      <c r="Q8" s="23" t="s">
        <v>240</v>
      </c>
      <c r="R8" s="23" t="s">
        <v>59</v>
      </c>
      <c r="S8" s="23" t="s">
        <v>448</v>
      </c>
    </row>
    <row r="9" spans="1:19" s="25" customFormat="1" ht="32" x14ac:dyDescent="0.2">
      <c r="A9" s="27" t="s">
        <v>444</v>
      </c>
      <c r="B9" s="23" t="s">
        <v>439</v>
      </c>
      <c r="C9" s="23" t="s">
        <v>449</v>
      </c>
      <c r="D9" s="23" t="s">
        <v>62</v>
      </c>
      <c r="E9" s="23" t="s">
        <v>63</v>
      </c>
      <c r="F9" s="23" t="s">
        <v>31</v>
      </c>
      <c r="G9" s="23" t="s">
        <v>685</v>
      </c>
      <c r="H9" s="26">
        <v>1056.4000000000001</v>
      </c>
      <c r="I9" s="30">
        <f>H9/11</f>
        <v>96.036363636363646</v>
      </c>
      <c r="J9" s="23" t="s">
        <v>54</v>
      </c>
      <c r="K9" s="24" t="s">
        <v>55</v>
      </c>
      <c r="L9" s="23" t="s">
        <v>55</v>
      </c>
      <c r="M9" s="23" t="s">
        <v>55</v>
      </c>
      <c r="N9" s="23" t="s">
        <v>449</v>
      </c>
      <c r="O9" s="23" t="s">
        <v>450</v>
      </c>
      <c r="P9" s="23" t="s">
        <v>451</v>
      </c>
      <c r="Q9" s="23" t="s">
        <v>452</v>
      </c>
      <c r="R9" s="23" t="s">
        <v>59</v>
      </c>
      <c r="S9" s="23" t="s">
        <v>453</v>
      </c>
    </row>
    <row r="10" spans="1:19" s="25" customFormat="1" ht="16" x14ac:dyDescent="0.2">
      <c r="A10" s="7">
        <v>45750</v>
      </c>
      <c r="B10" s="9"/>
      <c r="C10" s="9" t="s">
        <v>618</v>
      </c>
      <c r="D10" s="10" t="s">
        <v>587</v>
      </c>
      <c r="E10" s="9" t="s">
        <v>588</v>
      </c>
      <c r="F10" s="23" t="s">
        <v>31</v>
      </c>
      <c r="G10" s="23" t="s">
        <v>685</v>
      </c>
      <c r="H10" s="11">
        <v>6.08</v>
      </c>
      <c r="I10" s="30">
        <f>H10/11</f>
        <v>0.55272727272727273</v>
      </c>
      <c r="J10" s="9"/>
      <c r="K10" s="9"/>
      <c r="L10" s="9"/>
      <c r="M10" s="9"/>
      <c r="N10" s="9"/>
      <c r="O10" s="9"/>
      <c r="P10" s="9"/>
      <c r="Q10" s="9"/>
      <c r="R10" s="9"/>
      <c r="S10" s="9"/>
    </row>
    <row r="11" spans="1:19" s="25" customFormat="1" ht="16" x14ac:dyDescent="0.2">
      <c r="A11" s="7">
        <v>45750</v>
      </c>
      <c r="B11" s="9"/>
      <c r="C11" s="9" t="s">
        <v>665</v>
      </c>
      <c r="D11" s="10" t="s">
        <v>624</v>
      </c>
      <c r="E11" s="9" t="s">
        <v>625</v>
      </c>
      <c r="F11" s="23" t="s">
        <v>31</v>
      </c>
      <c r="G11" s="23" t="s">
        <v>685</v>
      </c>
      <c r="H11" s="11">
        <v>6.08</v>
      </c>
      <c r="I11" s="30">
        <f>H11/11</f>
        <v>0.55272727272727273</v>
      </c>
      <c r="J11" s="9" t="s">
        <v>626</v>
      </c>
      <c r="K11" s="9"/>
      <c r="L11" s="9">
        <v>-842.06</v>
      </c>
      <c r="M11" s="9" t="s">
        <v>666</v>
      </c>
      <c r="N11" s="9" t="s">
        <v>667</v>
      </c>
      <c r="O11" s="9"/>
      <c r="P11" s="9"/>
      <c r="Q11" s="9"/>
      <c r="R11" s="9"/>
      <c r="S11" s="9"/>
    </row>
    <row r="12" spans="1:19" s="25" customFormat="1" ht="32" x14ac:dyDescent="0.2">
      <c r="A12" s="27" t="s">
        <v>444</v>
      </c>
      <c r="B12" s="23" t="s">
        <v>438</v>
      </c>
      <c r="C12" s="23" t="s">
        <v>460</v>
      </c>
      <c r="D12" s="23" t="s">
        <v>62</v>
      </c>
      <c r="E12" s="23" t="s">
        <v>63</v>
      </c>
      <c r="F12" s="23" t="s">
        <v>31</v>
      </c>
      <c r="G12" s="23" t="s">
        <v>694</v>
      </c>
      <c r="H12" s="26">
        <v>4.49</v>
      </c>
      <c r="I12" s="30">
        <f>H12/11</f>
        <v>0.4081818181818182</v>
      </c>
      <c r="J12" s="23" t="s">
        <v>54</v>
      </c>
      <c r="K12" s="24" t="s">
        <v>55</v>
      </c>
      <c r="L12" s="23" t="s">
        <v>55</v>
      </c>
      <c r="M12" s="23" t="s">
        <v>55</v>
      </c>
      <c r="N12" s="23" t="s">
        <v>460</v>
      </c>
      <c r="O12" s="23" t="s">
        <v>461</v>
      </c>
      <c r="P12" s="23" t="s">
        <v>462</v>
      </c>
      <c r="Q12" s="23" t="s">
        <v>463</v>
      </c>
      <c r="R12" s="23" t="s">
        <v>59</v>
      </c>
      <c r="S12" s="23" t="s">
        <v>464</v>
      </c>
    </row>
    <row r="13" spans="1:19" s="25" customFormat="1" x14ac:dyDescent="0.2">
      <c r="A13" s="7">
        <v>45751</v>
      </c>
      <c r="B13" s="9"/>
      <c r="C13" s="9" t="s">
        <v>619</v>
      </c>
      <c r="D13" s="10" t="s">
        <v>587</v>
      </c>
      <c r="E13" s="9" t="s">
        <v>588</v>
      </c>
      <c r="F13" s="9" t="s">
        <v>31</v>
      </c>
      <c r="G13" s="9" t="s">
        <v>671</v>
      </c>
      <c r="H13" s="11">
        <v>4.8</v>
      </c>
      <c r="I13" s="30">
        <f>H13/11</f>
        <v>0.43636363636363634</v>
      </c>
      <c r="J13" s="9"/>
      <c r="K13" s="9"/>
      <c r="L13" s="9"/>
      <c r="M13" s="9"/>
      <c r="N13" s="9"/>
      <c r="O13" s="9"/>
      <c r="P13" s="9"/>
      <c r="Q13" s="9"/>
      <c r="R13" s="9"/>
      <c r="S13" s="9"/>
    </row>
    <row r="14" spans="1:19" s="25" customFormat="1" ht="32" x14ac:dyDescent="0.2">
      <c r="A14" s="27" t="s">
        <v>439</v>
      </c>
      <c r="B14" s="23" t="s">
        <v>427</v>
      </c>
      <c r="C14" s="23" t="s">
        <v>568</v>
      </c>
      <c r="D14" s="23" t="s">
        <v>52</v>
      </c>
      <c r="E14" s="23" t="s">
        <v>485</v>
      </c>
      <c r="F14" s="23" t="s">
        <v>31</v>
      </c>
      <c r="G14" s="23" t="s">
        <v>683</v>
      </c>
      <c r="H14" s="26">
        <v>37.85</v>
      </c>
      <c r="I14" s="30">
        <f>H14/11</f>
        <v>3.4409090909090909</v>
      </c>
      <c r="J14" s="23" t="s">
        <v>54</v>
      </c>
      <c r="K14" s="24" t="s">
        <v>55</v>
      </c>
      <c r="L14" s="23" t="s">
        <v>55</v>
      </c>
      <c r="M14" s="23" t="s">
        <v>55</v>
      </c>
      <c r="N14" s="23" t="s">
        <v>568</v>
      </c>
      <c r="O14" s="23" t="s">
        <v>569</v>
      </c>
      <c r="P14" s="23" t="s">
        <v>125</v>
      </c>
      <c r="Q14" s="23" t="s">
        <v>126</v>
      </c>
      <c r="R14" s="23" t="s">
        <v>59</v>
      </c>
      <c r="S14" s="23" t="s">
        <v>570</v>
      </c>
    </row>
    <row r="15" spans="1:19" s="25" customFormat="1" ht="32" x14ac:dyDescent="0.2">
      <c r="A15" s="27" t="s">
        <v>427</v>
      </c>
      <c r="B15" s="23" t="s">
        <v>419</v>
      </c>
      <c r="C15" s="23" t="s">
        <v>565</v>
      </c>
      <c r="D15" s="23" t="s">
        <v>52</v>
      </c>
      <c r="E15" s="23" t="s">
        <v>485</v>
      </c>
      <c r="F15" s="23" t="s">
        <v>31</v>
      </c>
      <c r="G15" s="23" t="s">
        <v>674</v>
      </c>
      <c r="H15" s="26">
        <v>105.2</v>
      </c>
      <c r="I15" s="30">
        <f>H15/11</f>
        <v>9.5636363636363644</v>
      </c>
      <c r="J15" s="23" t="s">
        <v>54</v>
      </c>
      <c r="K15" s="24" t="s">
        <v>55</v>
      </c>
      <c r="L15" s="23" t="s">
        <v>55</v>
      </c>
      <c r="M15" s="23" t="s">
        <v>55</v>
      </c>
      <c r="N15" s="23" t="s">
        <v>565</v>
      </c>
      <c r="O15" s="23" t="s">
        <v>566</v>
      </c>
      <c r="P15" s="23" t="s">
        <v>57</v>
      </c>
      <c r="Q15" s="23" t="s">
        <v>58</v>
      </c>
      <c r="R15" s="23" t="s">
        <v>59</v>
      </c>
      <c r="S15" s="23" t="s">
        <v>567</v>
      </c>
    </row>
    <row r="16" spans="1:19" s="25" customFormat="1" ht="32" x14ac:dyDescent="0.2">
      <c r="A16" s="27" t="s">
        <v>419</v>
      </c>
      <c r="B16" s="23" t="s">
        <v>392</v>
      </c>
      <c r="C16" s="23" t="s">
        <v>533</v>
      </c>
      <c r="D16" s="23" t="s">
        <v>52</v>
      </c>
      <c r="E16" s="23" t="s">
        <v>485</v>
      </c>
      <c r="F16" s="23" t="s">
        <v>31</v>
      </c>
      <c r="G16" s="23" t="s">
        <v>672</v>
      </c>
      <c r="H16" s="26">
        <v>30</v>
      </c>
      <c r="I16" s="30">
        <f>H16/11</f>
        <v>2.7272727272727271</v>
      </c>
      <c r="J16" s="23" t="s">
        <v>54</v>
      </c>
      <c r="K16" s="24" t="s">
        <v>55</v>
      </c>
      <c r="L16" s="23" t="s">
        <v>55</v>
      </c>
      <c r="M16" s="23" t="s">
        <v>55</v>
      </c>
      <c r="N16" s="23" t="s">
        <v>533</v>
      </c>
      <c r="O16" s="23" t="s">
        <v>558</v>
      </c>
      <c r="P16" s="23" t="s">
        <v>57</v>
      </c>
      <c r="Q16" s="23" t="s">
        <v>58</v>
      </c>
      <c r="R16" s="23" t="s">
        <v>59</v>
      </c>
      <c r="S16" s="23" t="s">
        <v>559</v>
      </c>
    </row>
    <row r="17" spans="1:19" s="25" customFormat="1" ht="32" x14ac:dyDescent="0.2">
      <c r="A17" s="27" t="s">
        <v>419</v>
      </c>
      <c r="B17" s="23" t="s">
        <v>419</v>
      </c>
      <c r="C17" s="23" t="s">
        <v>420</v>
      </c>
      <c r="D17" s="23" t="s">
        <v>62</v>
      </c>
      <c r="E17" s="23" t="s">
        <v>63</v>
      </c>
      <c r="F17" s="23" t="s">
        <v>31</v>
      </c>
      <c r="G17" s="23" t="s">
        <v>682</v>
      </c>
      <c r="H17" s="26">
        <v>64.989999999999995</v>
      </c>
      <c r="I17" s="30">
        <f>H17/11</f>
        <v>5.9081818181818173</v>
      </c>
      <c r="J17" s="23" t="s">
        <v>54</v>
      </c>
      <c r="K17" s="24" t="s">
        <v>55</v>
      </c>
      <c r="L17" s="23" t="s">
        <v>55</v>
      </c>
      <c r="M17" s="23" t="s">
        <v>55</v>
      </c>
      <c r="N17" s="23" t="s">
        <v>420</v>
      </c>
      <c r="O17" s="23" t="s">
        <v>421</v>
      </c>
      <c r="P17" s="23" t="s">
        <v>367</v>
      </c>
      <c r="Q17" s="23" t="s">
        <v>368</v>
      </c>
      <c r="R17" s="23" t="s">
        <v>59</v>
      </c>
      <c r="S17" s="23" t="s">
        <v>422</v>
      </c>
    </row>
    <row r="18" spans="1:19" s="25" customFormat="1" ht="32" x14ac:dyDescent="0.2">
      <c r="A18" s="27" t="s">
        <v>419</v>
      </c>
      <c r="B18" s="23" t="s">
        <v>392</v>
      </c>
      <c r="C18" s="23" t="s">
        <v>560</v>
      </c>
      <c r="D18" s="23" t="s">
        <v>499</v>
      </c>
      <c r="E18" s="23" t="s">
        <v>500</v>
      </c>
      <c r="F18" s="23" t="s">
        <v>31</v>
      </c>
      <c r="G18" s="23" t="s">
        <v>41</v>
      </c>
      <c r="H18" s="26">
        <v>39.99</v>
      </c>
      <c r="I18" s="30">
        <f>H18/11</f>
        <v>3.6354545454545457</v>
      </c>
      <c r="J18" s="23" t="s">
        <v>54</v>
      </c>
      <c r="K18" s="24" t="s">
        <v>55</v>
      </c>
      <c r="L18" s="23" t="s">
        <v>55</v>
      </c>
      <c r="M18" s="23" t="s">
        <v>55</v>
      </c>
      <c r="N18" s="23" t="s">
        <v>560</v>
      </c>
      <c r="O18" s="23" t="s">
        <v>561</v>
      </c>
      <c r="P18" s="23" t="s">
        <v>562</v>
      </c>
      <c r="Q18" s="23" t="s">
        <v>563</v>
      </c>
      <c r="R18" s="23" t="s">
        <v>59</v>
      </c>
      <c r="S18" s="23" t="s">
        <v>564</v>
      </c>
    </row>
    <row r="19" spans="1:19" s="25" customFormat="1" ht="16" x14ac:dyDescent="0.2">
      <c r="A19" s="7">
        <v>45754</v>
      </c>
      <c r="B19" s="9"/>
      <c r="C19" s="9" t="s">
        <v>618</v>
      </c>
      <c r="D19" s="10" t="s">
        <v>587</v>
      </c>
      <c r="E19" s="9" t="s">
        <v>588</v>
      </c>
      <c r="F19" s="23" t="s">
        <v>31</v>
      </c>
      <c r="G19" s="23" t="s">
        <v>685</v>
      </c>
      <c r="H19" s="11">
        <v>5.07</v>
      </c>
      <c r="I19" s="30">
        <f>H19/11</f>
        <v>0.46090909090909093</v>
      </c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19" s="25" customFormat="1" x14ac:dyDescent="0.2">
      <c r="A20" s="7">
        <v>45754</v>
      </c>
      <c r="B20" s="9"/>
      <c r="C20" s="9" t="s">
        <v>619</v>
      </c>
      <c r="D20" s="10" t="s">
        <v>587</v>
      </c>
      <c r="E20" s="9" t="s">
        <v>588</v>
      </c>
      <c r="F20" s="32" t="s">
        <v>31</v>
      </c>
      <c r="G20" s="32" t="s">
        <v>671</v>
      </c>
      <c r="H20" s="11">
        <v>1.6</v>
      </c>
      <c r="I20" s="30">
        <f>H20/11</f>
        <v>0.14545454545454548</v>
      </c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19" s="25" customFormat="1" x14ac:dyDescent="0.2">
      <c r="A21" s="7">
        <v>45754</v>
      </c>
      <c r="B21" s="9"/>
      <c r="C21" s="9" t="s">
        <v>658</v>
      </c>
      <c r="D21" s="10" t="s">
        <v>624</v>
      </c>
      <c r="E21" s="9" t="s">
        <v>625</v>
      </c>
      <c r="F21" s="32" t="s">
        <v>31</v>
      </c>
      <c r="G21" s="32" t="s">
        <v>671</v>
      </c>
      <c r="H21" s="11">
        <v>2.4</v>
      </c>
      <c r="I21" s="30">
        <f>H21/11</f>
        <v>0.21818181818181817</v>
      </c>
      <c r="J21" s="9" t="s">
        <v>626</v>
      </c>
      <c r="K21" s="9"/>
      <c r="L21" s="9">
        <v>-3103.68</v>
      </c>
      <c r="M21" s="9" t="s">
        <v>659</v>
      </c>
      <c r="N21" s="9" t="s">
        <v>660</v>
      </c>
      <c r="O21" s="9"/>
      <c r="P21" s="9"/>
      <c r="Q21" s="9"/>
      <c r="R21" s="9"/>
      <c r="S21" s="9"/>
    </row>
    <row r="22" spans="1:19" s="25" customFormat="1" ht="16" x14ac:dyDescent="0.2">
      <c r="A22" s="7">
        <v>45754</v>
      </c>
      <c r="B22" s="9"/>
      <c r="C22" s="9" t="s">
        <v>641</v>
      </c>
      <c r="D22" s="10" t="s">
        <v>624</v>
      </c>
      <c r="E22" s="9" t="s">
        <v>625</v>
      </c>
      <c r="F22" s="23" t="s">
        <v>31</v>
      </c>
      <c r="G22" s="9" t="s">
        <v>671</v>
      </c>
      <c r="H22" s="11">
        <v>20</v>
      </c>
      <c r="I22" s="30">
        <f>H22/11</f>
        <v>1.8181818181818181</v>
      </c>
      <c r="J22" s="9" t="s">
        <v>626</v>
      </c>
      <c r="K22" s="9"/>
      <c r="L22" s="9">
        <v>-3123.68</v>
      </c>
      <c r="M22" s="9" t="s">
        <v>642</v>
      </c>
      <c r="N22" s="9" t="s">
        <v>643</v>
      </c>
      <c r="O22" s="9"/>
      <c r="P22" s="9"/>
      <c r="Q22" s="9"/>
      <c r="R22" s="9"/>
      <c r="S22" s="9"/>
    </row>
    <row r="23" spans="1:19" s="25" customFormat="1" ht="48" x14ac:dyDescent="0.2">
      <c r="A23" s="27" t="s">
        <v>392</v>
      </c>
      <c r="B23" s="23" t="s">
        <v>384</v>
      </c>
      <c r="C23" s="23" t="s">
        <v>97</v>
      </c>
      <c r="D23" s="23" t="s">
        <v>62</v>
      </c>
      <c r="E23" s="23" t="s">
        <v>63</v>
      </c>
      <c r="F23" s="23" t="s">
        <v>31</v>
      </c>
      <c r="G23" s="23" t="s">
        <v>688</v>
      </c>
      <c r="H23" s="26">
        <v>3.83</v>
      </c>
      <c r="I23" s="30">
        <f>H23/11</f>
        <v>0.3481818181818182</v>
      </c>
      <c r="J23" s="23" t="s">
        <v>54</v>
      </c>
      <c r="K23" s="24" t="s">
        <v>55</v>
      </c>
      <c r="L23" s="23" t="s">
        <v>55</v>
      </c>
      <c r="M23" s="23" t="s">
        <v>55</v>
      </c>
      <c r="N23" s="23" t="s">
        <v>97</v>
      </c>
      <c r="O23" s="23" t="s">
        <v>98</v>
      </c>
      <c r="P23" s="23" t="s">
        <v>99</v>
      </c>
      <c r="Q23" s="23" t="s">
        <v>100</v>
      </c>
      <c r="R23" s="23" t="s">
        <v>59</v>
      </c>
      <c r="S23" s="23" t="s">
        <v>404</v>
      </c>
    </row>
    <row r="24" spans="1:19" s="25" customFormat="1" x14ac:dyDescent="0.2">
      <c r="A24" s="7">
        <v>45756</v>
      </c>
      <c r="B24" s="9"/>
      <c r="C24" s="9" t="s">
        <v>651</v>
      </c>
      <c r="D24" s="10" t="s">
        <v>624</v>
      </c>
      <c r="E24" s="9" t="s">
        <v>625</v>
      </c>
      <c r="F24" s="9" t="s">
        <v>31</v>
      </c>
      <c r="G24" s="9" t="s">
        <v>687</v>
      </c>
      <c r="H24" s="11">
        <v>284.95999999999998</v>
      </c>
      <c r="I24" s="30">
        <f>H24/11</f>
        <v>25.905454545454543</v>
      </c>
      <c r="J24" s="9" t="s">
        <v>626</v>
      </c>
      <c r="K24" s="9"/>
      <c r="L24" s="9">
        <v>-4117.41</v>
      </c>
      <c r="M24" s="9" t="s">
        <v>652</v>
      </c>
      <c r="N24" s="9" t="s">
        <v>653</v>
      </c>
      <c r="O24" s="9"/>
      <c r="P24" s="9"/>
      <c r="Q24" s="9"/>
      <c r="R24" s="9"/>
      <c r="S24" s="9"/>
    </row>
    <row r="25" spans="1:19" s="25" customFormat="1" ht="48" x14ac:dyDescent="0.2">
      <c r="A25" s="27" t="s">
        <v>384</v>
      </c>
      <c r="B25" s="23" t="s">
        <v>362</v>
      </c>
      <c r="C25" s="23" t="s">
        <v>97</v>
      </c>
      <c r="D25" s="23" t="s">
        <v>62</v>
      </c>
      <c r="E25" s="23" t="s">
        <v>63</v>
      </c>
      <c r="F25" s="23" t="s">
        <v>31</v>
      </c>
      <c r="G25" s="23" t="s">
        <v>688</v>
      </c>
      <c r="H25" s="26">
        <v>9.48</v>
      </c>
      <c r="I25" s="30">
        <f>H25/11</f>
        <v>0.86181818181818182</v>
      </c>
      <c r="J25" s="23" t="s">
        <v>54</v>
      </c>
      <c r="K25" s="24" t="s">
        <v>55</v>
      </c>
      <c r="L25" s="23" t="s">
        <v>55</v>
      </c>
      <c r="M25" s="23" t="s">
        <v>55</v>
      </c>
      <c r="N25" s="23" t="s">
        <v>97</v>
      </c>
      <c r="O25" s="23" t="s">
        <v>98</v>
      </c>
      <c r="P25" s="23" t="s">
        <v>99</v>
      </c>
      <c r="Q25" s="23" t="s">
        <v>100</v>
      </c>
      <c r="R25" s="23" t="s">
        <v>59</v>
      </c>
      <c r="S25" s="23" t="s">
        <v>385</v>
      </c>
    </row>
    <row r="26" spans="1:19" s="25" customFormat="1" ht="16" x14ac:dyDescent="0.2">
      <c r="A26" s="7">
        <v>45756</v>
      </c>
      <c r="B26" s="9"/>
      <c r="C26" s="9" t="s">
        <v>654</v>
      </c>
      <c r="D26" s="10" t="s">
        <v>624</v>
      </c>
      <c r="E26" s="9" t="s">
        <v>625</v>
      </c>
      <c r="F26" s="23" t="s">
        <v>31</v>
      </c>
      <c r="G26" s="9" t="s">
        <v>671</v>
      </c>
      <c r="H26" s="11">
        <v>20</v>
      </c>
      <c r="I26" s="30">
        <f>H26/11</f>
        <v>1.8181818181818181</v>
      </c>
      <c r="J26" s="9" t="s">
        <v>626</v>
      </c>
      <c r="K26" s="9"/>
      <c r="L26" s="9">
        <v>-3832.45</v>
      </c>
      <c r="M26" s="9" t="s">
        <v>642</v>
      </c>
      <c r="N26" s="9" t="s">
        <v>643</v>
      </c>
      <c r="O26" s="9"/>
      <c r="P26" s="9"/>
      <c r="Q26" s="9"/>
      <c r="R26" s="9"/>
      <c r="S26" s="9"/>
    </row>
    <row r="27" spans="1:19" s="25" customFormat="1" ht="32" x14ac:dyDescent="0.2">
      <c r="A27" s="27" t="s">
        <v>362</v>
      </c>
      <c r="B27" s="23" t="s">
        <v>288</v>
      </c>
      <c r="C27" s="23" t="s">
        <v>555</v>
      </c>
      <c r="D27" s="23" t="s">
        <v>52</v>
      </c>
      <c r="E27" s="23" t="s">
        <v>485</v>
      </c>
      <c r="F27" s="23" t="s">
        <v>31</v>
      </c>
      <c r="G27" s="23" t="s">
        <v>673</v>
      </c>
      <c r="H27" s="26">
        <v>724.5</v>
      </c>
      <c r="I27" s="30">
        <f>H27/11</f>
        <v>65.86363636363636</v>
      </c>
      <c r="J27" s="23" t="s">
        <v>54</v>
      </c>
      <c r="K27" s="24" t="s">
        <v>55</v>
      </c>
      <c r="L27" s="23" t="s">
        <v>55</v>
      </c>
      <c r="M27" s="23" t="s">
        <v>55</v>
      </c>
      <c r="N27" s="23" t="s">
        <v>555</v>
      </c>
      <c r="O27" s="23" t="s">
        <v>556</v>
      </c>
      <c r="P27" s="23" t="s">
        <v>57</v>
      </c>
      <c r="Q27" s="23" t="s">
        <v>58</v>
      </c>
      <c r="R27" s="23" t="s">
        <v>59</v>
      </c>
      <c r="S27" s="23" t="s">
        <v>557</v>
      </c>
    </row>
    <row r="28" spans="1:19" s="25" customFormat="1" ht="32" x14ac:dyDescent="0.2">
      <c r="A28" s="27" t="s">
        <v>362</v>
      </c>
      <c r="B28" s="23" t="s">
        <v>339</v>
      </c>
      <c r="C28" s="23" t="s">
        <v>51</v>
      </c>
      <c r="D28" s="23" t="s">
        <v>62</v>
      </c>
      <c r="E28" s="23" t="s">
        <v>63</v>
      </c>
      <c r="F28" s="23" t="s">
        <v>31</v>
      </c>
      <c r="G28" s="23" t="s">
        <v>41</v>
      </c>
      <c r="H28" s="26">
        <v>30.99</v>
      </c>
      <c r="I28" s="30">
        <f>H28/11</f>
        <v>2.8172727272727269</v>
      </c>
      <c r="J28" s="23" t="s">
        <v>54</v>
      </c>
      <c r="K28" s="24" t="s">
        <v>55</v>
      </c>
      <c r="L28" s="23" t="s">
        <v>55</v>
      </c>
      <c r="M28" s="23" t="s">
        <v>55</v>
      </c>
      <c r="N28" s="23" t="s">
        <v>51</v>
      </c>
      <c r="O28" s="23" t="s">
        <v>56</v>
      </c>
      <c r="P28" s="23" t="s">
        <v>57</v>
      </c>
      <c r="Q28" s="23" t="s">
        <v>58</v>
      </c>
      <c r="R28" s="23" t="s">
        <v>59</v>
      </c>
      <c r="S28" s="23" t="s">
        <v>363</v>
      </c>
    </row>
    <row r="29" spans="1:19" s="25" customFormat="1" ht="32" x14ac:dyDescent="0.2">
      <c r="A29" s="27" t="s">
        <v>362</v>
      </c>
      <c r="B29" s="23" t="s">
        <v>315</v>
      </c>
      <c r="C29" s="23" t="s">
        <v>365</v>
      </c>
      <c r="D29" s="23" t="s">
        <v>62</v>
      </c>
      <c r="E29" s="23" t="s">
        <v>63</v>
      </c>
      <c r="F29" s="23" t="s">
        <v>31</v>
      </c>
      <c r="G29" s="23" t="s">
        <v>683</v>
      </c>
      <c r="H29" s="26">
        <v>20.82</v>
      </c>
      <c r="I29" s="30">
        <f>H29/11</f>
        <v>1.8927272727272728</v>
      </c>
      <c r="J29" s="23" t="s">
        <v>54</v>
      </c>
      <c r="K29" s="24" t="s">
        <v>55</v>
      </c>
      <c r="L29" s="23" t="s">
        <v>55</v>
      </c>
      <c r="M29" s="23" t="s">
        <v>55</v>
      </c>
      <c r="N29" s="23" t="s">
        <v>365</v>
      </c>
      <c r="O29" s="23" t="s">
        <v>366</v>
      </c>
      <c r="P29" s="23" t="s">
        <v>367</v>
      </c>
      <c r="Q29" s="23" t="s">
        <v>368</v>
      </c>
      <c r="R29" s="23" t="s">
        <v>59</v>
      </c>
      <c r="S29" s="23" t="s">
        <v>369</v>
      </c>
    </row>
    <row r="30" spans="1:19" s="25" customFormat="1" ht="80" x14ac:dyDescent="0.2">
      <c r="A30" s="27" t="s">
        <v>362</v>
      </c>
      <c r="B30" s="23" t="s">
        <v>339</v>
      </c>
      <c r="C30" s="23" t="s">
        <v>374</v>
      </c>
      <c r="D30" s="23" t="s">
        <v>62</v>
      </c>
      <c r="E30" s="23" t="s">
        <v>63</v>
      </c>
      <c r="F30" s="23" t="s">
        <v>31</v>
      </c>
      <c r="G30" s="23" t="s">
        <v>673</v>
      </c>
      <c r="H30" s="26">
        <v>11.62</v>
      </c>
      <c r="I30" s="30">
        <f>H30/11</f>
        <v>1.0563636363636364</v>
      </c>
      <c r="J30" s="23" t="s">
        <v>54</v>
      </c>
      <c r="K30" s="24" t="s">
        <v>55</v>
      </c>
      <c r="L30" s="23" t="s">
        <v>55</v>
      </c>
      <c r="M30" s="23" t="s">
        <v>375</v>
      </c>
      <c r="N30" s="23" t="s">
        <v>374</v>
      </c>
      <c r="O30" s="23" t="s">
        <v>376</v>
      </c>
      <c r="P30" s="23" t="s">
        <v>377</v>
      </c>
      <c r="Q30" s="23" t="s">
        <v>378</v>
      </c>
      <c r="R30" s="23" t="s">
        <v>59</v>
      </c>
      <c r="S30" s="23" t="s">
        <v>379</v>
      </c>
    </row>
    <row r="31" spans="1:19" s="25" customFormat="1" ht="80" x14ac:dyDescent="0.2">
      <c r="A31" s="27" t="s">
        <v>362</v>
      </c>
      <c r="B31" s="23" t="s">
        <v>339</v>
      </c>
      <c r="C31" s="23" t="s">
        <v>374</v>
      </c>
      <c r="D31" s="23" t="s">
        <v>62</v>
      </c>
      <c r="E31" s="23" t="s">
        <v>63</v>
      </c>
      <c r="F31" s="23" t="s">
        <v>31</v>
      </c>
      <c r="G31" s="23" t="s">
        <v>673</v>
      </c>
      <c r="H31" s="26">
        <v>64</v>
      </c>
      <c r="I31" s="30">
        <f>H31/11</f>
        <v>5.8181818181818183</v>
      </c>
      <c r="J31" s="23" t="s">
        <v>54</v>
      </c>
      <c r="K31" s="24" t="s">
        <v>55</v>
      </c>
      <c r="L31" s="23" t="s">
        <v>55</v>
      </c>
      <c r="M31" s="23" t="s">
        <v>380</v>
      </c>
      <c r="N31" s="23" t="s">
        <v>374</v>
      </c>
      <c r="O31" s="23" t="s">
        <v>376</v>
      </c>
      <c r="P31" s="23" t="s">
        <v>377</v>
      </c>
      <c r="Q31" s="23" t="s">
        <v>378</v>
      </c>
      <c r="R31" s="23" t="s">
        <v>59</v>
      </c>
      <c r="S31" s="23" t="s">
        <v>381</v>
      </c>
    </row>
    <row r="32" spans="1:19" s="25" customFormat="1" ht="176" x14ac:dyDescent="0.2">
      <c r="A32" s="27" t="s">
        <v>362</v>
      </c>
      <c r="B32" s="23" t="s">
        <v>339</v>
      </c>
      <c r="C32" s="23" t="s">
        <v>374</v>
      </c>
      <c r="D32" s="23" t="s">
        <v>62</v>
      </c>
      <c r="E32" s="23" t="s">
        <v>63</v>
      </c>
      <c r="F32" s="38" t="s">
        <v>31</v>
      </c>
      <c r="G32" s="23" t="s">
        <v>673</v>
      </c>
      <c r="H32" s="26">
        <v>1110.05</v>
      </c>
      <c r="I32" s="30">
        <f>H32/11</f>
        <v>100.91363636363636</v>
      </c>
      <c r="J32" s="23" t="s">
        <v>54</v>
      </c>
      <c r="K32" s="24" t="s">
        <v>55</v>
      </c>
      <c r="L32" s="23" t="s">
        <v>55</v>
      </c>
      <c r="M32" s="23" t="s">
        <v>382</v>
      </c>
      <c r="N32" s="23" t="s">
        <v>374</v>
      </c>
      <c r="O32" s="23" t="s">
        <v>376</v>
      </c>
      <c r="P32" s="23" t="s">
        <v>377</v>
      </c>
      <c r="Q32" s="23" t="s">
        <v>378</v>
      </c>
      <c r="R32" s="23" t="s">
        <v>59</v>
      </c>
      <c r="S32" s="23" t="s">
        <v>383</v>
      </c>
    </row>
    <row r="33" spans="1:19" s="25" customFormat="1" ht="32" x14ac:dyDescent="0.2">
      <c r="A33" s="27" t="s">
        <v>339</v>
      </c>
      <c r="B33" s="23" t="s">
        <v>300</v>
      </c>
      <c r="C33" s="23" t="s">
        <v>301</v>
      </c>
      <c r="D33" s="23" t="s">
        <v>52</v>
      </c>
      <c r="E33" s="23" t="s">
        <v>53</v>
      </c>
      <c r="F33" s="23" t="s">
        <v>31</v>
      </c>
      <c r="G33" s="23" t="s">
        <v>685</v>
      </c>
      <c r="H33" s="26">
        <v>6.5</v>
      </c>
      <c r="I33" s="30">
        <f>H33/11</f>
        <v>0.59090909090909094</v>
      </c>
      <c r="J33" s="23" t="s">
        <v>54</v>
      </c>
      <c r="K33" s="24" t="s">
        <v>55</v>
      </c>
      <c r="L33" s="23" t="s">
        <v>55</v>
      </c>
      <c r="M33" s="23" t="s">
        <v>55</v>
      </c>
      <c r="N33" s="23" t="s">
        <v>301</v>
      </c>
      <c r="O33" s="23" t="s">
        <v>302</v>
      </c>
      <c r="P33" s="23" t="s">
        <v>303</v>
      </c>
      <c r="Q33" s="23" t="s">
        <v>304</v>
      </c>
      <c r="R33" s="23" t="s">
        <v>59</v>
      </c>
      <c r="S33" s="23" t="s">
        <v>354</v>
      </c>
    </row>
    <row r="34" spans="1:19" s="25" customFormat="1" ht="48" x14ac:dyDescent="0.2">
      <c r="A34" s="27" t="s">
        <v>339</v>
      </c>
      <c r="B34" s="23" t="s">
        <v>339</v>
      </c>
      <c r="C34" s="23" t="s">
        <v>356</v>
      </c>
      <c r="D34" s="23" t="s">
        <v>52</v>
      </c>
      <c r="E34" s="23" t="s">
        <v>53</v>
      </c>
      <c r="F34" s="23" t="s">
        <v>31</v>
      </c>
      <c r="G34" s="23" t="s">
        <v>694</v>
      </c>
      <c r="H34" s="26">
        <v>8.9</v>
      </c>
      <c r="I34" s="30">
        <f>H34/11</f>
        <v>0.80909090909090908</v>
      </c>
      <c r="J34" s="23" t="s">
        <v>54</v>
      </c>
      <c r="K34" s="24" t="s">
        <v>55</v>
      </c>
      <c r="L34" s="23" t="s">
        <v>55</v>
      </c>
      <c r="M34" s="23" t="s">
        <v>55</v>
      </c>
      <c r="N34" s="23" t="s">
        <v>356</v>
      </c>
      <c r="O34" s="23" t="s">
        <v>357</v>
      </c>
      <c r="P34" s="23" t="s">
        <v>303</v>
      </c>
      <c r="Q34" s="23" t="s">
        <v>304</v>
      </c>
      <c r="R34" s="23" t="s">
        <v>59</v>
      </c>
      <c r="S34" s="23" t="s">
        <v>358</v>
      </c>
    </row>
    <row r="35" spans="1:19" s="25" customFormat="1" ht="32" x14ac:dyDescent="0.2">
      <c r="A35" s="27" t="s">
        <v>339</v>
      </c>
      <c r="B35" s="23" t="s">
        <v>339</v>
      </c>
      <c r="C35" s="23" t="s">
        <v>359</v>
      </c>
      <c r="D35" s="23" t="s">
        <v>62</v>
      </c>
      <c r="E35" s="23" t="s">
        <v>63</v>
      </c>
      <c r="F35" s="23" t="s">
        <v>31</v>
      </c>
      <c r="G35" s="23" t="s">
        <v>695</v>
      </c>
      <c r="H35" s="26">
        <v>772.5</v>
      </c>
      <c r="I35" s="30">
        <f>H35/11</f>
        <v>70.227272727272734</v>
      </c>
      <c r="J35" s="23" t="s">
        <v>54</v>
      </c>
      <c r="K35" s="24" t="s">
        <v>55</v>
      </c>
      <c r="L35" s="23" t="s">
        <v>55</v>
      </c>
      <c r="M35" s="23" t="s">
        <v>55</v>
      </c>
      <c r="N35" s="23" t="s">
        <v>359</v>
      </c>
      <c r="O35" s="23" t="s">
        <v>360</v>
      </c>
      <c r="P35" s="23" t="s">
        <v>57</v>
      </c>
      <c r="Q35" s="23" t="s">
        <v>58</v>
      </c>
      <c r="R35" s="23" t="s">
        <v>59</v>
      </c>
      <c r="S35" s="23" t="s">
        <v>361</v>
      </c>
    </row>
    <row r="36" spans="1:19" s="25" customFormat="1" ht="32" x14ac:dyDescent="0.2">
      <c r="A36" s="27" t="s">
        <v>300</v>
      </c>
      <c r="B36" s="23" t="s">
        <v>306</v>
      </c>
      <c r="C36" s="23" t="s">
        <v>533</v>
      </c>
      <c r="D36" s="23" t="s">
        <v>52</v>
      </c>
      <c r="E36" s="23" t="s">
        <v>485</v>
      </c>
      <c r="F36" s="23" t="s">
        <v>31</v>
      </c>
      <c r="G36" s="23" t="s">
        <v>672</v>
      </c>
      <c r="H36" s="26">
        <v>30</v>
      </c>
      <c r="I36" s="30">
        <f>H36/11</f>
        <v>2.7272727272727271</v>
      </c>
      <c r="J36" s="23" t="s">
        <v>54</v>
      </c>
      <c r="K36" s="24" t="s">
        <v>55</v>
      </c>
      <c r="L36" s="23" t="s">
        <v>55</v>
      </c>
      <c r="M36" s="23" t="s">
        <v>55</v>
      </c>
      <c r="N36" s="23" t="s">
        <v>533</v>
      </c>
      <c r="O36" s="23" t="s">
        <v>534</v>
      </c>
      <c r="P36" s="23" t="s">
        <v>57</v>
      </c>
      <c r="Q36" s="23" t="s">
        <v>58</v>
      </c>
      <c r="R36" s="23" t="s">
        <v>59</v>
      </c>
      <c r="S36" s="23" t="s">
        <v>535</v>
      </c>
    </row>
    <row r="37" spans="1:19" s="25" customFormat="1" ht="32" x14ac:dyDescent="0.2">
      <c r="A37" s="27" t="s">
        <v>300</v>
      </c>
      <c r="B37" s="23" t="s">
        <v>300</v>
      </c>
      <c r="C37" s="23" t="s">
        <v>301</v>
      </c>
      <c r="D37" s="23" t="s">
        <v>62</v>
      </c>
      <c r="E37" s="23" t="s">
        <v>63</v>
      </c>
      <c r="F37" s="23" t="s">
        <v>31</v>
      </c>
      <c r="G37" s="23" t="s">
        <v>685</v>
      </c>
      <c r="H37" s="26">
        <v>43.35</v>
      </c>
      <c r="I37" s="30">
        <f>H37/11</f>
        <v>3.9409090909090909</v>
      </c>
      <c r="J37" s="23" t="s">
        <v>54</v>
      </c>
      <c r="K37" s="24" t="s">
        <v>55</v>
      </c>
      <c r="L37" s="23" t="s">
        <v>55</v>
      </c>
      <c r="M37" s="23" t="s">
        <v>55</v>
      </c>
      <c r="N37" s="23" t="s">
        <v>301</v>
      </c>
      <c r="O37" s="23" t="s">
        <v>302</v>
      </c>
      <c r="P37" s="23" t="s">
        <v>303</v>
      </c>
      <c r="Q37" s="23" t="s">
        <v>304</v>
      </c>
      <c r="R37" s="23" t="s">
        <v>59</v>
      </c>
      <c r="S37" s="23" t="s">
        <v>305</v>
      </c>
    </row>
    <row r="38" spans="1:19" s="25" customFormat="1" x14ac:dyDescent="0.2">
      <c r="A38" s="7">
        <v>45761</v>
      </c>
      <c r="B38" s="9"/>
      <c r="C38" s="9" t="s">
        <v>644</v>
      </c>
      <c r="D38" s="10" t="s">
        <v>624</v>
      </c>
      <c r="E38" s="9" t="s">
        <v>625</v>
      </c>
      <c r="F38" s="9" t="s">
        <v>31</v>
      </c>
      <c r="G38" s="9" t="s">
        <v>671</v>
      </c>
      <c r="H38" s="11">
        <v>2.5</v>
      </c>
      <c r="I38" s="30">
        <f>H38/11</f>
        <v>0.22727272727272727</v>
      </c>
      <c r="J38" s="9" t="s">
        <v>626</v>
      </c>
      <c r="K38" s="9"/>
      <c r="L38" s="9">
        <v>-4258.16</v>
      </c>
      <c r="M38" s="9" t="s">
        <v>642</v>
      </c>
      <c r="N38" s="9" t="s">
        <v>645</v>
      </c>
      <c r="O38" s="9"/>
      <c r="P38" s="9"/>
      <c r="Q38" s="9"/>
      <c r="R38" s="9"/>
      <c r="S38" s="9"/>
    </row>
    <row r="39" spans="1:19" s="25" customFormat="1" x14ac:dyDescent="0.2">
      <c r="A39" s="7">
        <v>45761</v>
      </c>
      <c r="B39" s="9"/>
      <c r="C39" s="9" t="s">
        <v>644</v>
      </c>
      <c r="D39" s="10" t="s">
        <v>624</v>
      </c>
      <c r="E39" s="9" t="s">
        <v>625</v>
      </c>
      <c r="F39" s="9" t="s">
        <v>31</v>
      </c>
      <c r="G39" s="9" t="s">
        <v>671</v>
      </c>
      <c r="H39" s="11">
        <v>2.5</v>
      </c>
      <c r="I39" s="30">
        <f>H39/11</f>
        <v>0.22727272727272727</v>
      </c>
      <c r="J39" s="9" t="s">
        <v>626</v>
      </c>
      <c r="K39" s="9"/>
      <c r="L39" s="9">
        <v>-4255.66</v>
      </c>
      <c r="M39" s="9" t="s">
        <v>642</v>
      </c>
      <c r="N39" s="9" t="s">
        <v>645</v>
      </c>
      <c r="O39" s="9"/>
      <c r="P39" s="9"/>
      <c r="Q39" s="9"/>
      <c r="R39" s="9"/>
      <c r="S39" s="9"/>
    </row>
    <row r="40" spans="1:19" s="25" customFormat="1" ht="32" x14ac:dyDescent="0.2">
      <c r="A40" s="27" t="s">
        <v>288</v>
      </c>
      <c r="B40" s="23" t="s">
        <v>288</v>
      </c>
      <c r="C40" s="23" t="s">
        <v>289</v>
      </c>
      <c r="D40" s="23" t="s">
        <v>62</v>
      </c>
      <c r="E40" s="23" t="s">
        <v>63</v>
      </c>
      <c r="F40" s="23" t="s">
        <v>31</v>
      </c>
      <c r="G40" s="23" t="s">
        <v>41</v>
      </c>
      <c r="H40" s="26">
        <v>108.9</v>
      </c>
      <c r="I40" s="30">
        <f>H40/11</f>
        <v>9.9</v>
      </c>
      <c r="J40" s="23" t="s">
        <v>54</v>
      </c>
      <c r="K40" s="24" t="s">
        <v>55</v>
      </c>
      <c r="L40" s="23" t="s">
        <v>55</v>
      </c>
      <c r="M40" s="23" t="s">
        <v>55</v>
      </c>
      <c r="N40" s="23" t="s">
        <v>289</v>
      </c>
      <c r="O40" s="23" t="s">
        <v>290</v>
      </c>
      <c r="P40" s="23" t="s">
        <v>208</v>
      </c>
      <c r="Q40" s="23" t="s">
        <v>209</v>
      </c>
      <c r="R40" s="23" t="s">
        <v>59</v>
      </c>
      <c r="S40" s="23" t="s">
        <v>291</v>
      </c>
    </row>
    <row r="41" spans="1:19" s="25" customFormat="1" ht="32" x14ac:dyDescent="0.2">
      <c r="A41" s="27" t="s">
        <v>276</v>
      </c>
      <c r="B41" s="23" t="s">
        <v>271</v>
      </c>
      <c r="C41" s="23" t="s">
        <v>277</v>
      </c>
      <c r="D41" s="23" t="s">
        <v>67</v>
      </c>
      <c r="E41" s="23" t="s">
        <v>68</v>
      </c>
      <c r="F41" s="23" t="s">
        <v>31</v>
      </c>
      <c r="G41" s="23" t="s">
        <v>684</v>
      </c>
      <c r="H41" s="26">
        <v>33.07</v>
      </c>
      <c r="I41" s="30">
        <f>H41/11</f>
        <v>3.0063636363636363</v>
      </c>
      <c r="J41" s="23" t="s">
        <v>54</v>
      </c>
      <c r="K41" s="24" t="s">
        <v>55</v>
      </c>
      <c r="L41" s="23" t="s">
        <v>55</v>
      </c>
      <c r="M41" s="23" t="s">
        <v>55</v>
      </c>
      <c r="N41" s="23" t="s">
        <v>277</v>
      </c>
      <c r="O41" s="23" t="s">
        <v>278</v>
      </c>
      <c r="P41" s="23" t="s">
        <v>57</v>
      </c>
      <c r="Q41" s="23" t="s">
        <v>58</v>
      </c>
      <c r="R41" s="23" t="s">
        <v>59</v>
      </c>
      <c r="S41" s="23" t="s">
        <v>279</v>
      </c>
    </row>
    <row r="42" spans="1:19" s="25" customFormat="1" ht="16" x14ac:dyDescent="0.2">
      <c r="A42" s="7">
        <v>45763</v>
      </c>
      <c r="B42" s="9"/>
      <c r="C42" s="9" t="s">
        <v>641</v>
      </c>
      <c r="D42" s="10" t="s">
        <v>624</v>
      </c>
      <c r="E42" s="9" t="s">
        <v>625</v>
      </c>
      <c r="F42" s="23" t="s">
        <v>31</v>
      </c>
      <c r="G42" s="9" t="s">
        <v>671</v>
      </c>
      <c r="H42" s="11">
        <v>20</v>
      </c>
      <c r="I42" s="30">
        <f>H42/11</f>
        <v>1.8181818181818181</v>
      </c>
      <c r="J42" s="9" t="s">
        <v>626</v>
      </c>
      <c r="K42" s="9"/>
      <c r="L42" s="9">
        <v>-4278.16</v>
      </c>
      <c r="M42" s="9" t="s">
        <v>642</v>
      </c>
      <c r="N42" s="9" t="s">
        <v>643</v>
      </c>
      <c r="O42" s="9"/>
      <c r="P42" s="9"/>
      <c r="Q42" s="9"/>
      <c r="R42" s="9"/>
      <c r="S42" s="9"/>
    </row>
    <row r="43" spans="1:19" s="25" customFormat="1" ht="32" x14ac:dyDescent="0.2">
      <c r="A43" s="27" t="s">
        <v>271</v>
      </c>
      <c r="B43" s="23" t="s">
        <v>271</v>
      </c>
      <c r="C43" s="23" t="s">
        <v>145</v>
      </c>
      <c r="D43" s="23" t="s">
        <v>52</v>
      </c>
      <c r="E43" s="23" t="s">
        <v>53</v>
      </c>
      <c r="F43" s="23" t="s">
        <v>31</v>
      </c>
      <c r="G43" s="23" t="s">
        <v>725</v>
      </c>
      <c r="H43" s="26">
        <v>358.95</v>
      </c>
      <c r="I43" s="30">
        <f t="shared" ref="I43:I44" si="0">H43/11</f>
        <v>32.631818181818183</v>
      </c>
      <c r="J43" s="23" t="s">
        <v>54</v>
      </c>
      <c r="K43" s="24" t="s">
        <v>55</v>
      </c>
      <c r="L43" s="23" t="s">
        <v>55</v>
      </c>
      <c r="M43" s="23" t="s">
        <v>55</v>
      </c>
      <c r="N43" s="23" t="s">
        <v>145</v>
      </c>
      <c r="O43" s="23" t="s">
        <v>146</v>
      </c>
      <c r="P43" s="23" t="s">
        <v>57</v>
      </c>
      <c r="Q43" s="23" t="s">
        <v>58</v>
      </c>
      <c r="R43" s="23" t="s">
        <v>59</v>
      </c>
      <c r="S43" s="23" t="s">
        <v>272</v>
      </c>
    </row>
    <row r="44" spans="1:19" s="25" customFormat="1" ht="48" x14ac:dyDescent="0.2">
      <c r="A44" s="27" t="s">
        <v>211</v>
      </c>
      <c r="B44" s="23" t="s">
        <v>155</v>
      </c>
      <c r="C44" s="23" t="s">
        <v>222</v>
      </c>
      <c r="D44" s="23" t="s">
        <v>52</v>
      </c>
      <c r="E44" s="23" t="s">
        <v>53</v>
      </c>
      <c r="F44" s="23" t="s">
        <v>31</v>
      </c>
      <c r="G44" s="23" t="s">
        <v>683</v>
      </c>
      <c r="H44" s="26">
        <v>148.5</v>
      </c>
      <c r="I44" s="30">
        <f t="shared" si="0"/>
        <v>13.5</v>
      </c>
      <c r="J44" s="23" t="s">
        <v>54</v>
      </c>
      <c r="K44" s="24" t="s">
        <v>55</v>
      </c>
      <c r="L44" s="23" t="s">
        <v>55</v>
      </c>
      <c r="M44" s="23" t="s">
        <v>223</v>
      </c>
      <c r="N44" s="23" t="s">
        <v>222</v>
      </c>
      <c r="O44" s="23" t="s">
        <v>224</v>
      </c>
      <c r="P44" s="23" t="s">
        <v>225</v>
      </c>
      <c r="Q44" s="23" t="s">
        <v>226</v>
      </c>
      <c r="R44" s="23" t="s">
        <v>227</v>
      </c>
      <c r="S44" s="23" t="s">
        <v>228</v>
      </c>
    </row>
    <row r="45" spans="1:19" s="25" customFormat="1" x14ac:dyDescent="0.2">
      <c r="A45" s="7">
        <v>45769</v>
      </c>
      <c r="B45" s="9"/>
      <c r="C45" s="9" t="s">
        <v>623</v>
      </c>
      <c r="D45" s="10" t="s">
        <v>624</v>
      </c>
      <c r="E45" s="9" t="s">
        <v>625</v>
      </c>
      <c r="F45" s="9" t="s">
        <v>31</v>
      </c>
      <c r="G45" s="9" t="s">
        <v>41</v>
      </c>
      <c r="H45" s="11">
        <v>22.99</v>
      </c>
      <c r="I45" s="30">
        <f t="shared" ref="I45:I50" si="1">H45/11</f>
        <v>2.09</v>
      </c>
      <c r="J45" s="9" t="s">
        <v>626</v>
      </c>
      <c r="K45" s="9"/>
      <c r="L45" s="9">
        <v>-4337.62</v>
      </c>
      <c r="M45" s="9" t="s">
        <v>627</v>
      </c>
      <c r="N45" s="9" t="s">
        <v>628</v>
      </c>
      <c r="O45" s="9"/>
      <c r="P45" s="9"/>
      <c r="Q45" s="9"/>
      <c r="R45" s="9"/>
      <c r="S45" s="9"/>
    </row>
    <row r="46" spans="1:19" s="25" customFormat="1" x14ac:dyDescent="0.2">
      <c r="A46" s="7">
        <v>45769</v>
      </c>
      <c r="B46" s="9"/>
      <c r="C46" s="9" t="s">
        <v>623</v>
      </c>
      <c r="D46" s="10" t="s">
        <v>624</v>
      </c>
      <c r="E46" s="9" t="s">
        <v>625</v>
      </c>
      <c r="F46" s="9" t="s">
        <v>31</v>
      </c>
      <c r="G46" s="9" t="s">
        <v>682</v>
      </c>
      <c r="H46" s="11">
        <v>16.989999999999998</v>
      </c>
      <c r="I46" s="30">
        <f t="shared" si="1"/>
        <v>1.5445454545454544</v>
      </c>
      <c r="J46" s="9" t="s">
        <v>626</v>
      </c>
      <c r="K46" s="9"/>
      <c r="L46" s="9">
        <v>-4295.1499999999996</v>
      </c>
      <c r="M46" s="9" t="s">
        <v>627</v>
      </c>
      <c r="N46" s="9" t="s">
        <v>628</v>
      </c>
      <c r="O46" s="9"/>
      <c r="P46" s="9"/>
      <c r="Q46" s="9"/>
      <c r="R46" s="9"/>
      <c r="S46" s="9"/>
    </row>
    <row r="47" spans="1:19" s="25" customFormat="1" ht="32" x14ac:dyDescent="0.2">
      <c r="A47" s="27" t="s">
        <v>190</v>
      </c>
      <c r="B47" s="23" t="s">
        <v>178</v>
      </c>
      <c r="C47" s="23" t="s">
        <v>517</v>
      </c>
      <c r="D47" s="23" t="s">
        <v>52</v>
      </c>
      <c r="E47" s="23" t="s">
        <v>485</v>
      </c>
      <c r="F47" s="23" t="s">
        <v>31</v>
      </c>
      <c r="G47" s="23" t="s">
        <v>41</v>
      </c>
      <c r="H47" s="26">
        <v>89.95</v>
      </c>
      <c r="I47" s="30">
        <f t="shared" si="1"/>
        <v>8.1772727272727277</v>
      </c>
      <c r="J47" s="23" t="s">
        <v>54</v>
      </c>
      <c r="K47" s="24" t="s">
        <v>55</v>
      </c>
      <c r="L47" s="23" t="s">
        <v>55</v>
      </c>
      <c r="M47" s="23" t="s">
        <v>55</v>
      </c>
      <c r="N47" s="23" t="s">
        <v>517</v>
      </c>
      <c r="O47" s="23" t="s">
        <v>518</v>
      </c>
      <c r="P47" s="23" t="s">
        <v>519</v>
      </c>
      <c r="Q47" s="23" t="s">
        <v>520</v>
      </c>
      <c r="R47" s="23" t="s">
        <v>59</v>
      </c>
      <c r="S47" s="23" t="s">
        <v>521</v>
      </c>
    </row>
    <row r="48" spans="1:19" s="25" customFormat="1" x14ac:dyDescent="0.2">
      <c r="A48" s="7">
        <v>45769</v>
      </c>
      <c r="B48" s="8"/>
      <c r="C48" s="9" t="s">
        <v>40</v>
      </c>
      <c r="D48" s="10">
        <v>465083897</v>
      </c>
      <c r="E48" s="9" t="s">
        <v>30</v>
      </c>
      <c r="F48" s="9" t="s">
        <v>31</v>
      </c>
      <c r="G48" s="9" t="s">
        <v>41</v>
      </c>
      <c r="H48" s="11">
        <v>264.88</v>
      </c>
      <c r="I48" s="30">
        <f t="shared" si="1"/>
        <v>24.08</v>
      </c>
      <c r="J48" s="9" t="s">
        <v>39</v>
      </c>
      <c r="K48" s="9">
        <v>25652.67</v>
      </c>
      <c r="L48" s="9" t="s">
        <v>33</v>
      </c>
      <c r="M48" s="9">
        <v>112879</v>
      </c>
      <c r="N48" s="9">
        <v>908</v>
      </c>
      <c r="O48" s="9"/>
      <c r="P48" s="9"/>
      <c r="Q48" s="9"/>
      <c r="R48" s="9"/>
      <c r="S48" s="9"/>
    </row>
    <row r="49" spans="1:19" s="25" customFormat="1" x14ac:dyDescent="0.2">
      <c r="A49" s="7">
        <v>45770</v>
      </c>
      <c r="B49" s="9"/>
      <c r="C49" s="9" t="s">
        <v>623</v>
      </c>
      <c r="D49" s="10" t="s">
        <v>624</v>
      </c>
      <c r="E49" s="9" t="s">
        <v>625</v>
      </c>
      <c r="F49" s="9" t="s">
        <v>31</v>
      </c>
      <c r="G49" s="9" t="s">
        <v>41</v>
      </c>
      <c r="H49" s="11">
        <v>20.49</v>
      </c>
      <c r="I49" s="30">
        <f t="shared" si="1"/>
        <v>1.8627272727272726</v>
      </c>
      <c r="J49" s="9" t="s">
        <v>626</v>
      </c>
      <c r="K49" s="9"/>
      <c r="L49" s="9">
        <v>-4383.09</v>
      </c>
      <c r="M49" s="9" t="s">
        <v>627</v>
      </c>
      <c r="N49" s="9" t="s">
        <v>628</v>
      </c>
      <c r="O49" s="9"/>
      <c r="P49" s="9"/>
      <c r="Q49" s="9"/>
      <c r="R49" s="9"/>
      <c r="S49" s="9"/>
    </row>
    <row r="50" spans="1:19" s="25" customFormat="1" x14ac:dyDescent="0.2">
      <c r="A50" s="7">
        <v>45770</v>
      </c>
      <c r="B50" s="9"/>
      <c r="C50" s="9" t="s">
        <v>623</v>
      </c>
      <c r="D50" s="10" t="s">
        <v>624</v>
      </c>
      <c r="E50" s="9" t="s">
        <v>625</v>
      </c>
      <c r="F50" s="9" t="s">
        <v>31</v>
      </c>
      <c r="G50" s="9" t="s">
        <v>41</v>
      </c>
      <c r="H50" s="11">
        <v>14.99</v>
      </c>
      <c r="I50" s="30">
        <f t="shared" si="1"/>
        <v>1.3627272727272728</v>
      </c>
      <c r="J50" s="9" t="s">
        <v>626</v>
      </c>
      <c r="K50" s="9"/>
      <c r="L50" s="9">
        <v>-4362.6000000000004</v>
      </c>
      <c r="M50" s="9" t="s">
        <v>627</v>
      </c>
      <c r="N50" s="9" t="s">
        <v>628</v>
      </c>
      <c r="O50" s="9"/>
      <c r="P50" s="9"/>
      <c r="Q50" s="9"/>
      <c r="R50" s="9"/>
      <c r="S50" s="9"/>
    </row>
    <row r="51" spans="1:19" s="25" customFormat="1" x14ac:dyDescent="0.2">
      <c r="A51" s="7">
        <v>45770</v>
      </c>
      <c r="B51" s="9"/>
      <c r="C51" s="9" t="s">
        <v>623</v>
      </c>
      <c r="D51" s="10" t="s">
        <v>624</v>
      </c>
      <c r="E51" s="9" t="s">
        <v>625</v>
      </c>
      <c r="F51" s="9" t="s">
        <v>31</v>
      </c>
      <c r="G51" s="9" t="s">
        <v>41</v>
      </c>
      <c r="H51" s="11">
        <v>9.99</v>
      </c>
      <c r="I51" s="30">
        <f t="shared" ref="I51:I54" si="2">H51/11</f>
        <v>0.9081818181818182</v>
      </c>
      <c r="J51" s="9" t="s">
        <v>626</v>
      </c>
      <c r="K51" s="9"/>
      <c r="L51" s="9">
        <v>-4347.6099999999997</v>
      </c>
      <c r="M51" s="9" t="s">
        <v>627</v>
      </c>
      <c r="N51" s="9" t="s">
        <v>628</v>
      </c>
      <c r="O51" s="9"/>
      <c r="P51" s="9"/>
      <c r="Q51" s="9"/>
      <c r="R51" s="9"/>
      <c r="S51" s="9"/>
    </row>
    <row r="52" spans="1:19" s="25" customFormat="1" ht="48" x14ac:dyDescent="0.2">
      <c r="A52" s="27" t="s">
        <v>178</v>
      </c>
      <c r="B52" s="23" t="s">
        <v>155</v>
      </c>
      <c r="C52" s="23" t="s">
        <v>187</v>
      </c>
      <c r="D52" s="23" t="s">
        <v>62</v>
      </c>
      <c r="E52" s="23" t="s">
        <v>63</v>
      </c>
      <c r="F52" s="23" t="s">
        <v>31</v>
      </c>
      <c r="G52" s="23" t="s">
        <v>671</v>
      </c>
      <c r="H52" s="26">
        <v>20</v>
      </c>
      <c r="I52" s="30">
        <f t="shared" si="2"/>
        <v>1.8181818181818181</v>
      </c>
      <c r="J52" s="23" t="s">
        <v>54</v>
      </c>
      <c r="K52" s="24" t="s">
        <v>55</v>
      </c>
      <c r="L52" s="23" t="s">
        <v>55</v>
      </c>
      <c r="M52" s="23" t="s">
        <v>55</v>
      </c>
      <c r="N52" s="23" t="s">
        <v>187</v>
      </c>
      <c r="O52" s="23" t="s">
        <v>188</v>
      </c>
      <c r="P52" s="23" t="s">
        <v>172</v>
      </c>
      <c r="Q52" s="23" t="s">
        <v>173</v>
      </c>
      <c r="R52" s="23" t="s">
        <v>59</v>
      </c>
      <c r="S52" s="23" t="s">
        <v>189</v>
      </c>
    </row>
    <row r="53" spans="1:19" s="25" customFormat="1" x14ac:dyDescent="0.2">
      <c r="A53" s="7">
        <v>45771</v>
      </c>
      <c r="B53" s="9"/>
      <c r="C53" s="9" t="s">
        <v>623</v>
      </c>
      <c r="D53" s="10" t="s">
        <v>624</v>
      </c>
      <c r="E53" s="9" t="s">
        <v>625</v>
      </c>
      <c r="F53" s="9" t="s">
        <v>31</v>
      </c>
      <c r="G53" s="9" t="s">
        <v>41</v>
      </c>
      <c r="H53" s="11">
        <v>23.49</v>
      </c>
      <c r="I53" s="30">
        <f t="shared" si="2"/>
        <v>2.1354545454545453</v>
      </c>
      <c r="J53" s="9" t="s">
        <v>626</v>
      </c>
      <c r="K53" s="9"/>
      <c r="L53" s="9">
        <v>-4712.58</v>
      </c>
      <c r="M53" s="9" t="s">
        <v>627</v>
      </c>
      <c r="N53" s="9" t="s">
        <v>628</v>
      </c>
      <c r="O53" s="9"/>
      <c r="P53" s="9"/>
      <c r="Q53" s="9"/>
      <c r="R53" s="9"/>
      <c r="S53" s="9"/>
    </row>
    <row r="54" spans="1:19" s="25" customFormat="1" ht="32" x14ac:dyDescent="0.2">
      <c r="A54" s="27" t="s">
        <v>155</v>
      </c>
      <c r="B54" s="23" t="s">
        <v>144</v>
      </c>
      <c r="C54" s="23" t="s">
        <v>158</v>
      </c>
      <c r="D54" s="23" t="s">
        <v>62</v>
      </c>
      <c r="E54" s="23" t="s">
        <v>63</v>
      </c>
      <c r="F54" s="23" t="s">
        <v>31</v>
      </c>
      <c r="G54" s="23" t="s">
        <v>41</v>
      </c>
      <c r="H54" s="26">
        <v>159.29</v>
      </c>
      <c r="I54" s="30">
        <f t="shared" si="2"/>
        <v>14.480909090909091</v>
      </c>
      <c r="J54" s="23" t="s">
        <v>54</v>
      </c>
      <c r="K54" s="24" t="s">
        <v>55</v>
      </c>
      <c r="L54" s="23" t="s">
        <v>55</v>
      </c>
      <c r="M54" s="23" t="s">
        <v>55</v>
      </c>
      <c r="N54" s="23" t="s">
        <v>158</v>
      </c>
      <c r="O54" s="23" t="s">
        <v>159</v>
      </c>
      <c r="P54" s="23" t="s">
        <v>160</v>
      </c>
      <c r="Q54" s="23" t="s">
        <v>161</v>
      </c>
      <c r="R54" s="23" t="s">
        <v>59</v>
      </c>
      <c r="S54" s="23" t="s">
        <v>162</v>
      </c>
    </row>
    <row r="55" spans="1:19" s="25" customFormat="1" ht="32" x14ac:dyDescent="0.2">
      <c r="A55" s="27" t="s">
        <v>155</v>
      </c>
      <c r="B55" s="23" t="s">
        <v>144</v>
      </c>
      <c r="C55" s="23" t="s">
        <v>158</v>
      </c>
      <c r="D55" s="23" t="s">
        <v>62</v>
      </c>
      <c r="E55" s="23" t="s">
        <v>63</v>
      </c>
      <c r="F55" s="23" t="s">
        <v>31</v>
      </c>
      <c r="G55" s="23" t="s">
        <v>41</v>
      </c>
      <c r="H55" s="26">
        <v>159.29</v>
      </c>
      <c r="I55" s="30">
        <f>H55/11</f>
        <v>14.480909090909091</v>
      </c>
      <c r="J55" s="23" t="s">
        <v>54</v>
      </c>
      <c r="K55" s="24" t="s">
        <v>55</v>
      </c>
      <c r="L55" s="23" t="s">
        <v>55</v>
      </c>
      <c r="M55" s="23" t="s">
        <v>55</v>
      </c>
      <c r="N55" s="23" t="s">
        <v>158</v>
      </c>
      <c r="O55" s="23" t="s">
        <v>159</v>
      </c>
      <c r="P55" s="23" t="s">
        <v>160</v>
      </c>
      <c r="Q55" s="23" t="s">
        <v>161</v>
      </c>
      <c r="R55" s="23" t="s">
        <v>59</v>
      </c>
      <c r="S55" s="23" t="s">
        <v>163</v>
      </c>
    </row>
    <row r="56" spans="1:19" s="25" customFormat="1" ht="32" x14ac:dyDescent="0.2">
      <c r="A56" s="27" t="s">
        <v>144</v>
      </c>
      <c r="B56" s="23" t="s">
        <v>115</v>
      </c>
      <c r="C56" s="23" t="s">
        <v>149</v>
      </c>
      <c r="D56" s="23" t="s">
        <v>52</v>
      </c>
      <c r="E56" s="23" t="s">
        <v>53</v>
      </c>
      <c r="F56" s="23" t="s">
        <v>31</v>
      </c>
      <c r="G56" s="23" t="s">
        <v>726</v>
      </c>
      <c r="H56" s="26">
        <v>138.1</v>
      </c>
      <c r="I56" s="26"/>
      <c r="J56" s="23" t="s">
        <v>54</v>
      </c>
      <c r="K56" s="24" t="s">
        <v>55</v>
      </c>
      <c r="L56" s="23" t="s">
        <v>55</v>
      </c>
      <c r="M56" s="23" t="s">
        <v>55</v>
      </c>
      <c r="N56" s="23" t="s">
        <v>149</v>
      </c>
      <c r="O56" s="23" t="s">
        <v>146</v>
      </c>
      <c r="P56" s="23" t="s">
        <v>57</v>
      </c>
      <c r="Q56" s="23" t="s">
        <v>58</v>
      </c>
      <c r="R56" s="23" t="s">
        <v>59</v>
      </c>
      <c r="S56" s="23" t="s">
        <v>150</v>
      </c>
    </row>
    <row r="57" spans="1:19" s="25" customFormat="1" ht="32" x14ac:dyDescent="0.2">
      <c r="A57" s="27" t="s">
        <v>143</v>
      </c>
      <c r="B57" s="23" t="s">
        <v>128</v>
      </c>
      <c r="C57" s="23" t="s">
        <v>505</v>
      </c>
      <c r="D57" s="23" t="s">
        <v>52</v>
      </c>
      <c r="E57" s="23" t="s">
        <v>485</v>
      </c>
      <c r="F57" s="23" t="s">
        <v>31</v>
      </c>
      <c r="G57" s="23" t="s">
        <v>682</v>
      </c>
      <c r="H57" s="26">
        <v>26.95</v>
      </c>
      <c r="I57" s="26">
        <f>H57/11</f>
        <v>2.4499999999999997</v>
      </c>
      <c r="J57" s="23" t="s">
        <v>54</v>
      </c>
      <c r="K57" s="24" t="s">
        <v>55</v>
      </c>
      <c r="L57" s="23" t="s">
        <v>55</v>
      </c>
      <c r="M57" s="23" t="s">
        <v>55</v>
      </c>
      <c r="N57" s="23" t="s">
        <v>505</v>
      </c>
      <c r="O57" s="23" t="s">
        <v>506</v>
      </c>
      <c r="P57" s="23" t="s">
        <v>76</v>
      </c>
      <c r="Q57" s="23" t="s">
        <v>77</v>
      </c>
      <c r="R57" s="23" t="s">
        <v>59</v>
      </c>
      <c r="S57" s="23" t="s">
        <v>507</v>
      </c>
    </row>
    <row r="58" spans="1:19" s="25" customFormat="1" ht="32" x14ac:dyDescent="0.2">
      <c r="A58" s="27" t="s">
        <v>128</v>
      </c>
      <c r="B58" s="23" t="s">
        <v>128</v>
      </c>
      <c r="C58" s="23" t="s">
        <v>446</v>
      </c>
      <c r="D58" s="23" t="s">
        <v>52</v>
      </c>
      <c r="E58" s="23" t="s">
        <v>485</v>
      </c>
      <c r="F58" s="23" t="s">
        <v>31</v>
      </c>
      <c r="G58" s="23" t="s">
        <v>682</v>
      </c>
      <c r="H58" s="26">
        <v>44</v>
      </c>
      <c r="I58" s="26">
        <f>H58/11</f>
        <v>4</v>
      </c>
      <c r="J58" s="23" t="s">
        <v>54</v>
      </c>
      <c r="K58" s="24" t="s">
        <v>55</v>
      </c>
      <c r="L58" s="23" t="s">
        <v>55</v>
      </c>
      <c r="M58" s="23" t="s">
        <v>55</v>
      </c>
      <c r="N58" s="23" t="s">
        <v>446</v>
      </c>
      <c r="O58" s="23" t="s">
        <v>447</v>
      </c>
      <c r="P58" s="23" t="s">
        <v>244</v>
      </c>
      <c r="Q58" s="23" t="s">
        <v>240</v>
      </c>
      <c r="R58" s="23" t="s">
        <v>59</v>
      </c>
      <c r="S58" s="23" t="s">
        <v>486</v>
      </c>
    </row>
    <row r="59" spans="1:19" s="25" customFormat="1" x14ac:dyDescent="0.2">
      <c r="A59" s="7">
        <v>45775</v>
      </c>
      <c r="B59" s="9"/>
      <c r="C59" s="9" t="s">
        <v>623</v>
      </c>
      <c r="D59" s="10" t="s">
        <v>624</v>
      </c>
      <c r="E59" s="9" t="s">
        <v>625</v>
      </c>
      <c r="F59" s="9" t="s">
        <v>31</v>
      </c>
      <c r="G59" s="9" t="s">
        <v>41</v>
      </c>
      <c r="H59" s="11">
        <v>4.49</v>
      </c>
      <c r="I59" s="11"/>
      <c r="J59" s="9" t="s">
        <v>626</v>
      </c>
      <c r="K59" s="9"/>
      <c r="L59" s="9">
        <v>-4717.7</v>
      </c>
      <c r="M59" s="9" t="s">
        <v>627</v>
      </c>
      <c r="N59" s="9" t="s">
        <v>628</v>
      </c>
      <c r="O59" s="9"/>
      <c r="P59" s="9"/>
      <c r="Q59" s="9"/>
      <c r="R59" s="9"/>
      <c r="S59" s="9"/>
    </row>
    <row r="60" spans="1:19" s="25" customFormat="1" x14ac:dyDescent="0.2">
      <c r="A60" s="7">
        <v>45775</v>
      </c>
      <c r="B60" s="8"/>
      <c r="C60" s="9" t="s">
        <v>43</v>
      </c>
      <c r="D60" s="10">
        <v>465083897</v>
      </c>
      <c r="E60" s="9" t="s">
        <v>30</v>
      </c>
      <c r="F60" s="9" t="s">
        <v>31</v>
      </c>
      <c r="G60" s="9" t="s">
        <v>44</v>
      </c>
      <c r="H60" s="11">
        <v>625.63</v>
      </c>
      <c r="I60" s="26">
        <f>H60/11</f>
        <v>56.875454545454545</v>
      </c>
      <c r="J60" s="9" t="s">
        <v>39</v>
      </c>
      <c r="K60" s="9">
        <v>24887.040000000001</v>
      </c>
      <c r="L60" s="9" t="s">
        <v>33</v>
      </c>
      <c r="M60" s="9">
        <v>112879</v>
      </c>
      <c r="N60" s="9">
        <v>946</v>
      </c>
      <c r="O60" s="9"/>
      <c r="P60" s="9"/>
      <c r="Q60" s="9"/>
      <c r="R60" s="9"/>
      <c r="S60" s="9"/>
    </row>
    <row r="61" spans="1:19" s="25" customFormat="1" x14ac:dyDescent="0.2">
      <c r="A61" s="7">
        <v>45775</v>
      </c>
      <c r="B61" s="8"/>
      <c r="C61" s="9" t="s">
        <v>45</v>
      </c>
      <c r="D61" s="10">
        <v>465083897</v>
      </c>
      <c r="E61" s="9" t="s">
        <v>30</v>
      </c>
      <c r="F61" s="9" t="s">
        <v>31</v>
      </c>
      <c r="G61" s="9" t="s">
        <v>46</v>
      </c>
      <c r="H61" s="11">
        <v>2254.19</v>
      </c>
      <c r="I61" s="26">
        <f>H61/11</f>
        <v>204.92636363636365</v>
      </c>
      <c r="J61" s="9" t="s">
        <v>39</v>
      </c>
      <c r="K61" s="9">
        <v>22632.85</v>
      </c>
      <c r="L61" s="9" t="s">
        <v>33</v>
      </c>
      <c r="M61" s="9">
        <v>112879</v>
      </c>
      <c r="N61" s="9">
        <v>946</v>
      </c>
      <c r="O61" s="9"/>
      <c r="P61" s="9"/>
      <c r="Q61" s="9"/>
      <c r="R61" s="9"/>
      <c r="S61" s="9"/>
    </row>
    <row r="62" spans="1:19" s="25" customFormat="1" x14ac:dyDescent="0.2">
      <c r="A62" s="7">
        <v>45775</v>
      </c>
      <c r="B62" s="8"/>
      <c r="C62" s="9" t="s">
        <v>47</v>
      </c>
      <c r="D62" s="10">
        <v>465083897</v>
      </c>
      <c r="E62" s="9" t="s">
        <v>30</v>
      </c>
      <c r="F62" s="9" t="s">
        <v>31</v>
      </c>
      <c r="G62" s="9" t="s">
        <v>48</v>
      </c>
      <c r="H62" s="11">
        <v>4180</v>
      </c>
      <c r="I62" s="26">
        <f>H62/11</f>
        <v>380</v>
      </c>
      <c r="J62" s="9" t="s">
        <v>39</v>
      </c>
      <c r="K62" s="9">
        <v>18452.849999999999</v>
      </c>
      <c r="L62" s="9" t="s">
        <v>33</v>
      </c>
      <c r="M62" s="9">
        <v>112879</v>
      </c>
      <c r="N62" s="9">
        <v>946</v>
      </c>
      <c r="O62" s="9"/>
      <c r="P62" s="9"/>
      <c r="Q62" s="9"/>
      <c r="R62" s="9"/>
      <c r="S62" s="9"/>
    </row>
    <row r="63" spans="1:19" s="25" customFormat="1" ht="48" x14ac:dyDescent="0.2">
      <c r="A63" s="27" t="s">
        <v>115</v>
      </c>
      <c r="B63" s="23" t="s">
        <v>115</v>
      </c>
      <c r="C63" s="23" t="s">
        <v>97</v>
      </c>
      <c r="D63" s="23" t="s">
        <v>62</v>
      </c>
      <c r="E63" s="23" t="s">
        <v>63</v>
      </c>
      <c r="F63" s="23" t="s">
        <v>31</v>
      </c>
      <c r="G63" s="23" t="s">
        <v>688</v>
      </c>
      <c r="H63" s="26">
        <v>3.83</v>
      </c>
      <c r="I63" s="26">
        <f t="shared" ref="I63:I67" si="3">H63/11</f>
        <v>0.3481818181818182</v>
      </c>
      <c r="J63" s="23" t="s">
        <v>54</v>
      </c>
      <c r="K63" s="24" t="s">
        <v>55</v>
      </c>
      <c r="L63" s="23" t="s">
        <v>55</v>
      </c>
      <c r="M63" s="23" t="s">
        <v>55</v>
      </c>
      <c r="N63" s="23" t="s">
        <v>97</v>
      </c>
      <c r="O63" s="23" t="s">
        <v>98</v>
      </c>
      <c r="P63" s="23" t="s">
        <v>99</v>
      </c>
      <c r="Q63" s="23" t="s">
        <v>100</v>
      </c>
      <c r="R63" s="23" t="s">
        <v>59</v>
      </c>
      <c r="S63" s="23" t="s">
        <v>122</v>
      </c>
    </row>
    <row r="64" spans="1:19" s="25" customFormat="1" x14ac:dyDescent="0.2">
      <c r="A64" s="7">
        <v>45776</v>
      </c>
      <c r="B64" s="9"/>
      <c r="C64" s="9" t="s">
        <v>623</v>
      </c>
      <c r="D64" s="10" t="s">
        <v>624</v>
      </c>
      <c r="E64" s="9" t="s">
        <v>625</v>
      </c>
      <c r="F64" s="9" t="s">
        <v>31</v>
      </c>
      <c r="G64" s="9" t="s">
        <v>41</v>
      </c>
      <c r="H64" s="11">
        <v>5.99</v>
      </c>
      <c r="I64" s="26">
        <f t="shared" si="3"/>
        <v>0.54454545454545455</v>
      </c>
      <c r="J64" s="9" t="s">
        <v>626</v>
      </c>
      <c r="K64" s="9"/>
      <c r="L64" s="9">
        <v>-4802.67</v>
      </c>
      <c r="M64" s="9" t="s">
        <v>627</v>
      </c>
      <c r="N64" s="9" t="s">
        <v>628</v>
      </c>
      <c r="O64" s="9"/>
      <c r="P64" s="9"/>
      <c r="Q64" s="9"/>
      <c r="R64" s="9"/>
      <c r="S64" s="9"/>
    </row>
    <row r="65" spans="1:19" s="25" customFormat="1" ht="48" x14ac:dyDescent="0.2">
      <c r="A65" s="27" t="s">
        <v>91</v>
      </c>
      <c r="B65" s="23" t="s">
        <v>49</v>
      </c>
      <c r="C65" s="23" t="s">
        <v>97</v>
      </c>
      <c r="D65" s="23" t="s">
        <v>62</v>
      </c>
      <c r="E65" s="23" t="s">
        <v>63</v>
      </c>
      <c r="F65" s="23" t="s">
        <v>31</v>
      </c>
      <c r="G65" s="23" t="s">
        <v>688</v>
      </c>
      <c r="H65" s="26">
        <v>9.48</v>
      </c>
      <c r="I65" s="26">
        <f t="shared" si="3"/>
        <v>0.86181818181818182</v>
      </c>
      <c r="J65" s="23" t="s">
        <v>54</v>
      </c>
      <c r="K65" s="24" t="s">
        <v>55</v>
      </c>
      <c r="L65" s="23" t="s">
        <v>55</v>
      </c>
      <c r="M65" s="23" t="s">
        <v>55</v>
      </c>
      <c r="N65" s="23" t="s">
        <v>97</v>
      </c>
      <c r="O65" s="23" t="s">
        <v>98</v>
      </c>
      <c r="P65" s="23" t="s">
        <v>99</v>
      </c>
      <c r="Q65" s="23" t="s">
        <v>100</v>
      </c>
      <c r="R65" s="23" t="s">
        <v>59</v>
      </c>
      <c r="S65" s="23" t="s">
        <v>101</v>
      </c>
    </row>
    <row r="66" spans="1:19" s="25" customFormat="1" x14ac:dyDescent="0.2">
      <c r="A66" s="7">
        <v>45777</v>
      </c>
      <c r="B66" s="9"/>
      <c r="C66" s="9" t="s">
        <v>623</v>
      </c>
      <c r="D66" s="10" t="s">
        <v>624</v>
      </c>
      <c r="E66" s="9" t="s">
        <v>625</v>
      </c>
      <c r="F66" s="9" t="s">
        <v>31</v>
      </c>
      <c r="G66" s="9" t="s">
        <v>41</v>
      </c>
      <c r="H66" s="11">
        <v>59.99</v>
      </c>
      <c r="I66" s="26">
        <f t="shared" si="3"/>
        <v>5.4536363636363641</v>
      </c>
      <c r="J66" s="9" t="s">
        <v>727</v>
      </c>
      <c r="K66" s="9"/>
      <c r="L66" s="9">
        <v>-5132.25</v>
      </c>
      <c r="M66" s="9" t="s">
        <v>627</v>
      </c>
      <c r="N66" s="9" t="s">
        <v>628</v>
      </c>
      <c r="O66" s="9"/>
      <c r="P66" s="9"/>
      <c r="Q66" s="9"/>
      <c r="R66" s="9"/>
      <c r="S66" s="9"/>
    </row>
    <row r="67" spans="1:19" s="25" customFormat="1" ht="32" x14ac:dyDescent="0.2">
      <c r="A67" s="27" t="s">
        <v>49</v>
      </c>
      <c r="B67" s="23" t="s">
        <v>50</v>
      </c>
      <c r="C67" s="23" t="s">
        <v>61</v>
      </c>
      <c r="D67" s="23" t="s">
        <v>62</v>
      </c>
      <c r="E67" s="23" t="s">
        <v>63</v>
      </c>
      <c r="F67" s="23" t="s">
        <v>31</v>
      </c>
      <c r="G67" s="23" t="s">
        <v>679</v>
      </c>
      <c r="H67" s="26">
        <v>450</v>
      </c>
      <c r="I67" s="26">
        <f t="shared" si="3"/>
        <v>40.909090909090907</v>
      </c>
      <c r="J67" s="23" t="s">
        <v>54</v>
      </c>
      <c r="K67" s="24" t="s">
        <v>55</v>
      </c>
      <c r="L67" s="23" t="s">
        <v>55</v>
      </c>
      <c r="M67" s="23" t="s">
        <v>55</v>
      </c>
      <c r="N67" s="23" t="s">
        <v>61</v>
      </c>
      <c r="O67" s="23" t="s">
        <v>64</v>
      </c>
      <c r="P67" s="23" t="s">
        <v>57</v>
      </c>
      <c r="Q67" s="23" t="s">
        <v>58</v>
      </c>
      <c r="R67" s="23" t="s">
        <v>59</v>
      </c>
      <c r="S67" s="23" t="s">
        <v>65</v>
      </c>
    </row>
    <row r="68" spans="1:19" s="25" customFormat="1" x14ac:dyDescent="0.2">
      <c r="A68" s="7">
        <v>45749</v>
      </c>
      <c r="B68" s="9"/>
      <c r="C68" s="9" t="s">
        <v>635</v>
      </c>
      <c r="D68" s="10" t="s">
        <v>624</v>
      </c>
      <c r="E68" s="9" t="s">
        <v>625</v>
      </c>
      <c r="F68" s="9" t="s">
        <v>35</v>
      </c>
      <c r="G68" s="9" t="s">
        <v>690</v>
      </c>
      <c r="H68" s="11">
        <v>1.1299999999999999</v>
      </c>
      <c r="I68" s="11">
        <v>0</v>
      </c>
      <c r="J68" s="9" t="s">
        <v>636</v>
      </c>
      <c r="K68" s="9"/>
      <c r="L68" s="9">
        <v>-625.5</v>
      </c>
      <c r="M68" s="9" t="s">
        <v>637</v>
      </c>
      <c r="N68" s="9"/>
      <c r="O68" s="9"/>
      <c r="P68" s="9"/>
      <c r="Q68" s="9"/>
      <c r="R68" s="9"/>
      <c r="S68" s="9"/>
    </row>
    <row r="69" spans="1:19" s="25" customFormat="1" x14ac:dyDescent="0.2">
      <c r="A69" s="7">
        <v>45754</v>
      </c>
      <c r="B69" s="9"/>
      <c r="C69" s="9" t="s">
        <v>616</v>
      </c>
      <c r="D69" s="10" t="s">
        <v>587</v>
      </c>
      <c r="E69" s="9" t="s">
        <v>588</v>
      </c>
      <c r="F69" s="32" t="s">
        <v>35</v>
      </c>
      <c r="G69" s="32" t="s">
        <v>41</v>
      </c>
      <c r="H69" s="11">
        <v>33.049999999999997</v>
      </c>
      <c r="I69" s="11">
        <v>0</v>
      </c>
      <c r="J69" s="9"/>
      <c r="K69" s="9"/>
      <c r="L69" s="9"/>
      <c r="M69" s="9"/>
      <c r="N69" s="9"/>
      <c r="O69" s="9"/>
      <c r="P69" s="9"/>
      <c r="Q69" s="9"/>
      <c r="R69" s="9"/>
      <c r="S69" s="9"/>
    </row>
    <row r="70" spans="1:19" s="25" customFormat="1" x14ac:dyDescent="0.2">
      <c r="A70" s="7">
        <v>45755</v>
      </c>
      <c r="B70" s="9"/>
      <c r="C70" s="9" t="s">
        <v>613</v>
      </c>
      <c r="D70" s="10" t="s">
        <v>587</v>
      </c>
      <c r="E70" s="9" t="s">
        <v>588</v>
      </c>
      <c r="F70" s="9" t="s">
        <v>35</v>
      </c>
      <c r="G70" s="9" t="s">
        <v>36</v>
      </c>
      <c r="H70" s="11">
        <v>15.93</v>
      </c>
      <c r="I70" s="11">
        <v>0</v>
      </c>
      <c r="J70" s="9"/>
      <c r="K70" s="9"/>
      <c r="L70" s="9"/>
      <c r="M70" s="9"/>
      <c r="N70" s="9"/>
      <c r="O70" s="9"/>
      <c r="P70" s="9"/>
      <c r="Q70" s="9"/>
      <c r="R70" s="9"/>
      <c r="S70" s="9"/>
    </row>
    <row r="71" spans="1:19" s="25" customFormat="1" ht="32" x14ac:dyDescent="0.2">
      <c r="A71" s="27" t="s">
        <v>392</v>
      </c>
      <c r="B71" s="23" t="s">
        <v>384</v>
      </c>
      <c r="C71" s="23" t="s">
        <v>408</v>
      </c>
      <c r="D71" s="23" t="s">
        <v>62</v>
      </c>
      <c r="E71" s="23" t="s">
        <v>63</v>
      </c>
      <c r="F71" s="23" t="s">
        <v>35</v>
      </c>
      <c r="G71" s="23" t="s">
        <v>682</v>
      </c>
      <c r="H71" s="26">
        <v>391.75</v>
      </c>
      <c r="I71" s="11">
        <v>0</v>
      </c>
      <c r="J71" s="23" t="s">
        <v>409</v>
      </c>
      <c r="K71" s="24">
        <v>11.41</v>
      </c>
      <c r="L71" s="23" t="s">
        <v>55</v>
      </c>
      <c r="M71" s="23" t="s">
        <v>55</v>
      </c>
      <c r="N71" s="23" t="s">
        <v>408</v>
      </c>
      <c r="O71" s="23" t="s">
        <v>410</v>
      </c>
      <c r="P71" s="23" t="s">
        <v>411</v>
      </c>
      <c r="Q71" s="23" t="s">
        <v>412</v>
      </c>
      <c r="R71" s="23" t="s">
        <v>84</v>
      </c>
      <c r="S71" s="23" t="s">
        <v>413</v>
      </c>
    </row>
    <row r="72" spans="1:19" s="25" customFormat="1" ht="64" x14ac:dyDescent="0.2">
      <c r="A72" s="27" t="s">
        <v>315</v>
      </c>
      <c r="B72" s="23" t="s">
        <v>306</v>
      </c>
      <c r="C72" s="23" t="s">
        <v>536</v>
      </c>
      <c r="D72" s="23" t="s">
        <v>52</v>
      </c>
      <c r="E72" s="23" t="s">
        <v>485</v>
      </c>
      <c r="F72" s="23" t="s">
        <v>35</v>
      </c>
      <c r="G72" s="23" t="s">
        <v>41</v>
      </c>
      <c r="H72" s="26">
        <v>96.99</v>
      </c>
      <c r="I72" s="11">
        <v>0</v>
      </c>
      <c r="J72" s="23" t="s">
        <v>54</v>
      </c>
      <c r="K72" s="24" t="s">
        <v>55</v>
      </c>
      <c r="L72" s="23" t="s">
        <v>55</v>
      </c>
      <c r="M72" s="23" t="s">
        <v>55</v>
      </c>
      <c r="N72" s="23" t="s">
        <v>536</v>
      </c>
      <c r="O72" s="23" t="s">
        <v>537</v>
      </c>
      <c r="P72" s="23" t="s">
        <v>55</v>
      </c>
      <c r="Q72" s="23" t="s">
        <v>538</v>
      </c>
      <c r="R72" s="23" t="s">
        <v>539</v>
      </c>
      <c r="S72" s="23" t="s">
        <v>540</v>
      </c>
    </row>
    <row r="73" spans="1:19" s="25" customFormat="1" x14ac:dyDescent="0.2">
      <c r="A73" s="7">
        <v>45761</v>
      </c>
      <c r="B73" s="8"/>
      <c r="C73" s="9" t="s">
        <v>37</v>
      </c>
      <c r="D73" s="10">
        <v>465083897</v>
      </c>
      <c r="E73" s="9" t="s">
        <v>30</v>
      </c>
      <c r="F73" s="9" t="s">
        <v>35</v>
      </c>
      <c r="G73" s="9" t="s">
        <v>38</v>
      </c>
      <c r="H73" s="11">
        <v>140</v>
      </c>
      <c r="I73" s="11">
        <v>0</v>
      </c>
      <c r="J73" s="9" t="s">
        <v>39</v>
      </c>
      <c r="K73" s="9">
        <v>19647.55</v>
      </c>
      <c r="L73" s="9" t="s">
        <v>33</v>
      </c>
      <c r="M73" s="9">
        <v>112879</v>
      </c>
      <c r="N73" s="9">
        <v>946</v>
      </c>
      <c r="O73" s="9"/>
      <c r="P73" s="9"/>
      <c r="Q73" s="9"/>
      <c r="R73" s="9"/>
      <c r="S73" s="9"/>
    </row>
    <row r="74" spans="1:19" s="25" customFormat="1" ht="32" x14ac:dyDescent="0.2">
      <c r="A74" s="27" t="s">
        <v>276</v>
      </c>
      <c r="B74" s="23" t="s">
        <v>276</v>
      </c>
      <c r="C74" s="23" t="s">
        <v>527</v>
      </c>
      <c r="D74" s="23" t="s">
        <v>52</v>
      </c>
      <c r="E74" s="23" t="s">
        <v>485</v>
      </c>
      <c r="F74" s="23" t="s">
        <v>35</v>
      </c>
      <c r="G74" s="23" t="s">
        <v>41</v>
      </c>
      <c r="H74" s="26">
        <v>36.03</v>
      </c>
      <c r="I74" s="11">
        <v>0</v>
      </c>
      <c r="J74" s="23" t="s">
        <v>528</v>
      </c>
      <c r="K74" s="24">
        <v>1.05</v>
      </c>
      <c r="L74" s="23" t="s">
        <v>55</v>
      </c>
      <c r="M74" s="23" t="s">
        <v>55</v>
      </c>
      <c r="N74" s="23" t="s">
        <v>527</v>
      </c>
      <c r="O74" s="23" t="s">
        <v>529</v>
      </c>
      <c r="P74" s="23" t="s">
        <v>55</v>
      </c>
      <c r="Q74" s="23" t="s">
        <v>530</v>
      </c>
      <c r="R74" s="23" t="s">
        <v>531</v>
      </c>
      <c r="S74" s="23" t="s">
        <v>532</v>
      </c>
    </row>
    <row r="75" spans="1:19" s="25" customFormat="1" ht="32" x14ac:dyDescent="0.2">
      <c r="A75" s="27" t="s">
        <v>260</v>
      </c>
      <c r="B75" s="23" t="s">
        <v>261</v>
      </c>
      <c r="C75" s="23" t="s">
        <v>262</v>
      </c>
      <c r="D75" s="23" t="s">
        <v>62</v>
      </c>
      <c r="E75" s="23" t="s">
        <v>63</v>
      </c>
      <c r="F75" s="23" t="s">
        <v>35</v>
      </c>
      <c r="G75" s="23" t="s">
        <v>41</v>
      </c>
      <c r="H75" s="26">
        <v>170.74</v>
      </c>
      <c r="I75" s="11">
        <v>0</v>
      </c>
      <c r="J75" s="23" t="s">
        <v>263</v>
      </c>
      <c r="K75" s="24">
        <v>4.97</v>
      </c>
      <c r="L75" s="23" t="s">
        <v>55</v>
      </c>
      <c r="M75" s="23" t="s">
        <v>55</v>
      </c>
      <c r="N75" s="23" t="s">
        <v>262</v>
      </c>
      <c r="O75" s="23" t="s">
        <v>264</v>
      </c>
      <c r="P75" s="23" t="s">
        <v>265</v>
      </c>
      <c r="Q75" s="23" t="s">
        <v>266</v>
      </c>
      <c r="R75" s="23" t="s">
        <v>267</v>
      </c>
      <c r="S75" s="23" t="s">
        <v>268</v>
      </c>
    </row>
    <row r="76" spans="1:19" s="25" customFormat="1" ht="32" x14ac:dyDescent="0.2">
      <c r="A76" s="27" t="s">
        <v>234</v>
      </c>
      <c r="B76" s="23" t="s">
        <v>211</v>
      </c>
      <c r="C76" s="23" t="s">
        <v>218</v>
      </c>
      <c r="D76" s="23" t="s">
        <v>67</v>
      </c>
      <c r="E76" s="23" t="s">
        <v>68</v>
      </c>
      <c r="F76" s="23" t="s">
        <v>35</v>
      </c>
      <c r="G76" s="23" t="s">
        <v>41</v>
      </c>
      <c r="H76" s="26">
        <v>35.590000000000003</v>
      </c>
      <c r="I76" s="11">
        <v>0</v>
      </c>
      <c r="J76" s="23" t="s">
        <v>80</v>
      </c>
      <c r="K76" s="24">
        <v>1.04</v>
      </c>
      <c r="L76" s="23" t="s">
        <v>55</v>
      </c>
      <c r="M76" s="23" t="s">
        <v>55</v>
      </c>
      <c r="N76" s="23" t="s">
        <v>218</v>
      </c>
      <c r="O76" s="23" t="s">
        <v>219</v>
      </c>
      <c r="P76" s="23" t="s">
        <v>82</v>
      </c>
      <c r="Q76" s="23" t="s">
        <v>220</v>
      </c>
      <c r="R76" s="23" t="s">
        <v>84</v>
      </c>
      <c r="S76" s="23" t="s">
        <v>236</v>
      </c>
    </row>
    <row r="77" spans="1:19" s="25" customFormat="1" ht="32" x14ac:dyDescent="0.2">
      <c r="A77" s="27" t="s">
        <v>211</v>
      </c>
      <c r="B77" s="23" t="s">
        <v>190</v>
      </c>
      <c r="C77" s="23" t="s">
        <v>218</v>
      </c>
      <c r="D77" s="23" t="s">
        <v>62</v>
      </c>
      <c r="E77" s="23" t="s">
        <v>63</v>
      </c>
      <c r="F77" s="23" t="s">
        <v>35</v>
      </c>
      <c r="G77" s="23" t="s">
        <v>41</v>
      </c>
      <c r="H77" s="26">
        <v>35.33</v>
      </c>
      <c r="I77" s="11">
        <v>0</v>
      </c>
      <c r="J77" s="23" t="s">
        <v>80</v>
      </c>
      <c r="K77" s="24">
        <v>1.03</v>
      </c>
      <c r="L77" s="23" t="s">
        <v>55</v>
      </c>
      <c r="M77" s="23" t="s">
        <v>55</v>
      </c>
      <c r="N77" s="23" t="s">
        <v>218</v>
      </c>
      <c r="O77" s="23" t="s">
        <v>219</v>
      </c>
      <c r="P77" s="23" t="s">
        <v>82</v>
      </c>
      <c r="Q77" s="23" t="s">
        <v>220</v>
      </c>
      <c r="R77" s="23" t="s">
        <v>84</v>
      </c>
      <c r="S77" s="23" t="s">
        <v>221</v>
      </c>
    </row>
    <row r="78" spans="1:19" s="25" customFormat="1" ht="48" x14ac:dyDescent="0.2">
      <c r="A78" s="27" t="s">
        <v>190</v>
      </c>
      <c r="B78" s="23" t="s">
        <v>178</v>
      </c>
      <c r="C78" s="23" t="s">
        <v>191</v>
      </c>
      <c r="D78" s="23" t="s">
        <v>52</v>
      </c>
      <c r="E78" s="23" t="s">
        <v>53</v>
      </c>
      <c r="F78" s="23" t="s">
        <v>35</v>
      </c>
      <c r="G78" s="23" t="s">
        <v>41</v>
      </c>
      <c r="H78" s="26">
        <v>64.239999999999995</v>
      </c>
      <c r="I78" s="11">
        <v>0</v>
      </c>
      <c r="J78" s="23" t="s">
        <v>192</v>
      </c>
      <c r="K78" s="24">
        <v>1.87</v>
      </c>
      <c r="L78" s="23" t="s">
        <v>55</v>
      </c>
      <c r="M78" s="23" t="s">
        <v>55</v>
      </c>
      <c r="N78" s="23" t="s">
        <v>191</v>
      </c>
      <c r="O78" s="23" t="s">
        <v>193</v>
      </c>
      <c r="P78" s="23" t="s">
        <v>55</v>
      </c>
      <c r="Q78" s="23" t="s">
        <v>194</v>
      </c>
      <c r="R78" s="23" t="s">
        <v>195</v>
      </c>
      <c r="S78" s="23" t="s">
        <v>196</v>
      </c>
    </row>
    <row r="79" spans="1:19" s="25" customFormat="1" x14ac:dyDescent="0.2">
      <c r="A79" s="7">
        <v>45770</v>
      </c>
      <c r="B79" s="9"/>
      <c r="C79" s="9" t="s">
        <v>638</v>
      </c>
      <c r="D79" s="10" t="s">
        <v>624</v>
      </c>
      <c r="E79" s="9" t="s">
        <v>625</v>
      </c>
      <c r="F79" s="9" t="s">
        <v>35</v>
      </c>
      <c r="G79" s="9" t="s">
        <v>675</v>
      </c>
      <c r="H79" s="11">
        <v>102</v>
      </c>
      <c r="I79" s="11">
        <v>0</v>
      </c>
      <c r="J79" s="9" t="s">
        <v>626</v>
      </c>
      <c r="K79" s="9"/>
      <c r="L79" s="9">
        <v>-4689.09</v>
      </c>
      <c r="M79" s="9" t="s">
        <v>639</v>
      </c>
      <c r="N79" s="9" t="s">
        <v>640</v>
      </c>
      <c r="O79" s="9"/>
      <c r="P79" s="9"/>
      <c r="Q79" s="9"/>
      <c r="R79" s="9"/>
      <c r="S79" s="9"/>
    </row>
    <row r="80" spans="1:19" s="25" customFormat="1" x14ac:dyDescent="0.2">
      <c r="A80" s="7">
        <v>45770</v>
      </c>
      <c r="B80" s="9"/>
      <c r="C80" s="9" t="s">
        <v>638</v>
      </c>
      <c r="D80" s="10" t="s">
        <v>624</v>
      </c>
      <c r="E80" s="9" t="s">
        <v>625</v>
      </c>
      <c r="F80" s="9" t="s">
        <v>35</v>
      </c>
      <c r="G80" s="9" t="s">
        <v>675</v>
      </c>
      <c r="H80" s="11">
        <v>102</v>
      </c>
      <c r="I80" s="11">
        <v>0</v>
      </c>
      <c r="J80" s="9" t="s">
        <v>626</v>
      </c>
      <c r="K80" s="9"/>
      <c r="L80" s="9">
        <v>-4587.09</v>
      </c>
      <c r="M80" s="9" t="s">
        <v>639</v>
      </c>
      <c r="N80" s="9" t="s">
        <v>640</v>
      </c>
      <c r="O80" s="9"/>
      <c r="P80" s="9"/>
      <c r="Q80" s="9"/>
      <c r="R80" s="9"/>
      <c r="S80" s="9"/>
    </row>
    <row r="81" spans="1:19" s="25" customFormat="1" x14ac:dyDescent="0.2">
      <c r="A81" s="7">
        <v>45770</v>
      </c>
      <c r="B81" s="9"/>
      <c r="C81" s="9" t="s">
        <v>638</v>
      </c>
      <c r="D81" s="10" t="s">
        <v>624</v>
      </c>
      <c r="E81" s="9" t="s">
        <v>625</v>
      </c>
      <c r="F81" s="9" t="s">
        <v>35</v>
      </c>
      <c r="G81" s="9" t="s">
        <v>675</v>
      </c>
      <c r="H81" s="11">
        <v>102</v>
      </c>
      <c r="I81" s="11">
        <v>0</v>
      </c>
      <c r="J81" s="9" t="s">
        <v>626</v>
      </c>
      <c r="K81" s="9"/>
      <c r="L81" s="9">
        <v>-4485.09</v>
      </c>
      <c r="M81" s="9" t="s">
        <v>639</v>
      </c>
      <c r="N81" s="9" t="s">
        <v>640</v>
      </c>
      <c r="O81" s="9"/>
      <c r="P81" s="9"/>
      <c r="Q81" s="9"/>
      <c r="R81" s="9"/>
      <c r="S81" s="9"/>
    </row>
    <row r="82" spans="1:19" s="25" customFormat="1" ht="32" x14ac:dyDescent="0.2">
      <c r="A82" s="27" t="s">
        <v>143</v>
      </c>
      <c r="B82" s="23" t="s">
        <v>128</v>
      </c>
      <c r="C82" s="23" t="s">
        <v>492</v>
      </c>
      <c r="D82" s="23" t="s">
        <v>52</v>
      </c>
      <c r="E82" s="23" t="s">
        <v>485</v>
      </c>
      <c r="F82" s="23" t="s">
        <v>35</v>
      </c>
      <c r="G82" s="23" t="s">
        <v>682</v>
      </c>
      <c r="H82" s="26">
        <v>40.89</v>
      </c>
      <c r="I82" s="11">
        <v>0</v>
      </c>
      <c r="J82" s="23" t="s">
        <v>493</v>
      </c>
      <c r="K82" s="24">
        <v>1.19</v>
      </c>
      <c r="L82" s="23" t="s">
        <v>55</v>
      </c>
      <c r="M82" s="23" t="s">
        <v>55</v>
      </c>
      <c r="N82" s="23" t="s">
        <v>492</v>
      </c>
      <c r="O82" s="23" t="s">
        <v>494</v>
      </c>
      <c r="P82" s="23" t="s">
        <v>495</v>
      </c>
      <c r="Q82" s="23" t="s">
        <v>496</v>
      </c>
      <c r="R82" s="23" t="s">
        <v>84</v>
      </c>
      <c r="S82" s="23" t="s">
        <v>497</v>
      </c>
    </row>
    <row r="83" spans="1:19" s="25" customFormat="1" ht="32" x14ac:dyDescent="0.2">
      <c r="A83" s="27" t="s">
        <v>143</v>
      </c>
      <c r="B83" s="23" t="s">
        <v>128</v>
      </c>
      <c r="C83" s="23" t="s">
        <v>498</v>
      </c>
      <c r="D83" s="23" t="s">
        <v>499</v>
      </c>
      <c r="E83" s="23" t="s">
        <v>500</v>
      </c>
      <c r="F83" s="23" t="s">
        <v>35</v>
      </c>
      <c r="G83" s="23" t="s">
        <v>41</v>
      </c>
      <c r="H83" s="26">
        <v>226.26</v>
      </c>
      <c r="I83" s="11">
        <v>0</v>
      </c>
      <c r="J83" s="23" t="s">
        <v>501</v>
      </c>
      <c r="K83" s="24">
        <v>6.59</v>
      </c>
      <c r="L83" s="23" t="s">
        <v>55</v>
      </c>
      <c r="M83" s="23" t="s">
        <v>55</v>
      </c>
      <c r="N83" s="23" t="s">
        <v>498</v>
      </c>
      <c r="O83" s="23" t="s">
        <v>502</v>
      </c>
      <c r="P83" s="23" t="s">
        <v>82</v>
      </c>
      <c r="Q83" s="23" t="s">
        <v>503</v>
      </c>
      <c r="R83" s="23" t="s">
        <v>84</v>
      </c>
      <c r="S83" s="23" t="s">
        <v>504</v>
      </c>
    </row>
    <row r="84" spans="1:19" s="25" customFormat="1" ht="32" x14ac:dyDescent="0.2">
      <c r="A84" s="27" t="s">
        <v>128</v>
      </c>
      <c r="B84" s="23" t="s">
        <v>115</v>
      </c>
      <c r="C84" s="23" t="s">
        <v>134</v>
      </c>
      <c r="D84" s="23" t="s">
        <v>62</v>
      </c>
      <c r="E84" s="23" t="s">
        <v>63</v>
      </c>
      <c r="F84" s="23" t="s">
        <v>35</v>
      </c>
      <c r="G84" s="23" t="s">
        <v>41</v>
      </c>
      <c r="H84" s="26">
        <v>24.24</v>
      </c>
      <c r="I84" s="11">
        <v>0</v>
      </c>
      <c r="J84" s="23" t="s">
        <v>135</v>
      </c>
      <c r="K84" s="24">
        <v>0.71</v>
      </c>
      <c r="L84" s="23" t="s">
        <v>55</v>
      </c>
      <c r="M84" s="23" t="s">
        <v>55</v>
      </c>
      <c r="N84" s="23" t="s">
        <v>134</v>
      </c>
      <c r="O84" s="23" t="s">
        <v>136</v>
      </c>
      <c r="P84" s="23" t="s">
        <v>137</v>
      </c>
      <c r="Q84" s="23" t="s">
        <v>138</v>
      </c>
      <c r="R84" s="23" t="s">
        <v>139</v>
      </c>
      <c r="S84" s="23" t="s">
        <v>140</v>
      </c>
    </row>
    <row r="85" spans="1:19" s="25" customFormat="1" ht="32" x14ac:dyDescent="0.2">
      <c r="A85" s="27" t="s">
        <v>115</v>
      </c>
      <c r="B85" s="23" t="s">
        <v>91</v>
      </c>
      <c r="C85" s="23" t="s">
        <v>116</v>
      </c>
      <c r="D85" s="23" t="s">
        <v>62</v>
      </c>
      <c r="E85" s="23" t="s">
        <v>63</v>
      </c>
      <c r="F85" s="23" t="s">
        <v>35</v>
      </c>
      <c r="G85" s="23" t="s">
        <v>41</v>
      </c>
      <c r="H85" s="26">
        <v>88.91</v>
      </c>
      <c r="I85" s="11">
        <v>0</v>
      </c>
      <c r="J85" s="23" t="s">
        <v>117</v>
      </c>
      <c r="K85" s="24">
        <v>2.59</v>
      </c>
      <c r="L85" s="23" t="s">
        <v>55</v>
      </c>
      <c r="M85" s="23" t="s">
        <v>55</v>
      </c>
      <c r="N85" s="23" t="s">
        <v>116</v>
      </c>
      <c r="O85" s="23" t="s">
        <v>118</v>
      </c>
      <c r="P85" s="23" t="s">
        <v>119</v>
      </c>
      <c r="Q85" s="23" t="s">
        <v>120</v>
      </c>
      <c r="R85" s="23" t="s">
        <v>84</v>
      </c>
      <c r="S85" s="23" t="s">
        <v>121</v>
      </c>
    </row>
    <row r="86" spans="1:19" s="25" customFormat="1" x14ac:dyDescent="0.2">
      <c r="A86" s="7">
        <v>45775</v>
      </c>
      <c r="B86" s="8"/>
      <c r="C86" s="9" t="s">
        <v>42</v>
      </c>
      <c r="D86" s="10">
        <v>465083897</v>
      </c>
      <c r="E86" s="9" t="s">
        <v>30</v>
      </c>
      <c r="F86" s="9" t="s">
        <v>35</v>
      </c>
      <c r="G86" s="9" t="s">
        <v>38</v>
      </c>
      <c r="H86" s="11">
        <v>140</v>
      </c>
      <c r="I86" s="11">
        <v>0</v>
      </c>
      <c r="J86" s="9" t="s">
        <v>39</v>
      </c>
      <c r="K86" s="9">
        <v>25512.67</v>
      </c>
      <c r="L86" s="9" t="s">
        <v>33</v>
      </c>
      <c r="M86" s="9">
        <v>112879</v>
      </c>
      <c r="N86" s="9">
        <v>946</v>
      </c>
      <c r="O86" s="9"/>
      <c r="P86" s="9"/>
      <c r="Q86" s="9"/>
      <c r="R86" s="9"/>
      <c r="S86" s="9"/>
    </row>
    <row r="87" spans="1:19" s="25" customFormat="1" x14ac:dyDescent="0.2">
      <c r="A87" s="7">
        <v>45775</v>
      </c>
      <c r="B87" s="9"/>
      <c r="C87" s="9" t="s">
        <v>635</v>
      </c>
      <c r="D87" s="10" t="s">
        <v>624</v>
      </c>
      <c r="E87" s="9" t="s">
        <v>625</v>
      </c>
      <c r="F87" s="9" t="s">
        <v>35</v>
      </c>
      <c r="G87" s="9" t="s">
        <v>690</v>
      </c>
      <c r="H87" s="11">
        <v>0.63</v>
      </c>
      <c r="I87" s="11">
        <v>0</v>
      </c>
      <c r="J87" s="9" t="s">
        <v>636</v>
      </c>
      <c r="K87" s="9"/>
      <c r="L87" s="9">
        <v>-4713.21</v>
      </c>
      <c r="M87" s="9" t="s">
        <v>637</v>
      </c>
      <c r="N87" s="9"/>
      <c r="O87" s="9"/>
      <c r="P87" s="9"/>
      <c r="Q87" s="9"/>
      <c r="R87" s="9"/>
      <c r="S87" s="9"/>
    </row>
    <row r="88" spans="1:19" s="25" customFormat="1" ht="64" x14ac:dyDescent="0.2">
      <c r="A88" s="27" t="s">
        <v>91</v>
      </c>
      <c r="B88" s="23" t="s">
        <v>49</v>
      </c>
      <c r="C88" s="23" t="s">
        <v>92</v>
      </c>
      <c r="D88" s="23" t="s">
        <v>62</v>
      </c>
      <c r="E88" s="23" t="s">
        <v>63</v>
      </c>
      <c r="F88" s="23" t="s">
        <v>35</v>
      </c>
      <c r="G88" s="23" t="s">
        <v>41</v>
      </c>
      <c r="H88" s="26">
        <v>126.83</v>
      </c>
      <c r="I88" s="11">
        <v>0</v>
      </c>
      <c r="J88" s="23" t="s">
        <v>54</v>
      </c>
      <c r="K88" s="24" t="s">
        <v>55</v>
      </c>
      <c r="L88" s="23" t="s">
        <v>55</v>
      </c>
      <c r="M88" s="23" t="s">
        <v>55</v>
      </c>
      <c r="N88" s="23" t="s">
        <v>92</v>
      </c>
      <c r="O88" s="23" t="s">
        <v>93</v>
      </c>
      <c r="P88" s="23" t="s">
        <v>55</v>
      </c>
      <c r="Q88" s="23" t="s">
        <v>94</v>
      </c>
      <c r="R88" s="23" t="s">
        <v>95</v>
      </c>
      <c r="S88" s="23" t="s">
        <v>96</v>
      </c>
    </row>
    <row r="89" spans="1:19" s="25" customFormat="1" ht="32" x14ac:dyDescent="0.2">
      <c r="A89" s="27" t="s">
        <v>49</v>
      </c>
      <c r="B89" s="23" t="s">
        <v>49</v>
      </c>
      <c r="C89" s="23" t="s">
        <v>66</v>
      </c>
      <c r="D89" s="23" t="s">
        <v>67</v>
      </c>
      <c r="E89" s="23" t="s">
        <v>68</v>
      </c>
      <c r="F89" s="23" t="s">
        <v>35</v>
      </c>
      <c r="G89" s="23" t="s">
        <v>686</v>
      </c>
      <c r="H89" s="26">
        <v>188.63</v>
      </c>
      <c r="I89" s="11">
        <v>0</v>
      </c>
      <c r="J89" s="23" t="s">
        <v>54</v>
      </c>
      <c r="K89" s="24" t="s">
        <v>55</v>
      </c>
      <c r="L89" s="23" t="s">
        <v>55</v>
      </c>
      <c r="M89" s="23" t="s">
        <v>55</v>
      </c>
      <c r="N89" s="23" t="s">
        <v>66</v>
      </c>
      <c r="O89" s="23" t="s">
        <v>69</v>
      </c>
      <c r="P89" s="23" t="s">
        <v>70</v>
      </c>
      <c r="Q89" s="23" t="s">
        <v>71</v>
      </c>
      <c r="R89" s="23" t="s">
        <v>59</v>
      </c>
      <c r="S89" s="23" t="s">
        <v>72</v>
      </c>
    </row>
    <row r="90" spans="1:19" s="25" customFormat="1" ht="32" x14ac:dyDescent="0.2">
      <c r="A90" s="27" t="s">
        <v>49</v>
      </c>
      <c r="B90" s="23" t="s">
        <v>49</v>
      </c>
      <c r="C90" s="23" t="s">
        <v>66</v>
      </c>
      <c r="D90" s="23" t="s">
        <v>67</v>
      </c>
      <c r="E90" s="23" t="s">
        <v>68</v>
      </c>
      <c r="F90" s="23" t="s">
        <v>35</v>
      </c>
      <c r="G90" s="23" t="s">
        <v>686</v>
      </c>
      <c r="H90" s="26">
        <v>620.05999999999995</v>
      </c>
      <c r="I90" s="11">
        <v>0</v>
      </c>
      <c r="J90" s="23" t="s">
        <v>54</v>
      </c>
      <c r="K90" s="24" t="s">
        <v>55</v>
      </c>
      <c r="L90" s="23" t="s">
        <v>55</v>
      </c>
      <c r="M90" s="23" t="s">
        <v>55</v>
      </c>
      <c r="N90" s="23" t="s">
        <v>66</v>
      </c>
      <c r="O90" s="23" t="s">
        <v>69</v>
      </c>
      <c r="P90" s="23" t="s">
        <v>70</v>
      </c>
      <c r="Q90" s="23" t="s">
        <v>71</v>
      </c>
      <c r="R90" s="23" t="s">
        <v>59</v>
      </c>
      <c r="S90" s="23" t="s">
        <v>73</v>
      </c>
    </row>
    <row r="91" spans="1:19" s="25" customFormat="1" ht="32" x14ac:dyDescent="0.2">
      <c r="A91" s="27" t="s">
        <v>49</v>
      </c>
      <c r="B91" s="23" t="s">
        <v>50</v>
      </c>
      <c r="C91" s="23" t="s">
        <v>79</v>
      </c>
      <c r="D91" s="23" t="s">
        <v>62</v>
      </c>
      <c r="E91" s="23" t="s">
        <v>63</v>
      </c>
      <c r="F91" s="23" t="s">
        <v>35</v>
      </c>
      <c r="G91" s="23" t="s">
        <v>41</v>
      </c>
      <c r="H91" s="26">
        <v>35.549999999999997</v>
      </c>
      <c r="I91" s="11">
        <v>0</v>
      </c>
      <c r="J91" s="23" t="s">
        <v>80</v>
      </c>
      <c r="K91" s="24">
        <v>1.04</v>
      </c>
      <c r="L91" s="23" t="s">
        <v>55</v>
      </c>
      <c r="M91" s="23" t="s">
        <v>55</v>
      </c>
      <c r="N91" s="23" t="s">
        <v>79</v>
      </c>
      <c r="O91" s="23" t="s">
        <v>81</v>
      </c>
      <c r="P91" s="23" t="s">
        <v>82</v>
      </c>
      <c r="Q91" s="23" t="s">
        <v>83</v>
      </c>
      <c r="R91" s="23" t="s">
        <v>84</v>
      </c>
      <c r="S91" s="23" t="s">
        <v>85</v>
      </c>
    </row>
    <row r="92" spans="1:19" s="25" customFormat="1" x14ac:dyDescent="0.2">
      <c r="A92" s="27"/>
      <c r="B92" s="23"/>
      <c r="C92" s="23"/>
      <c r="D92" s="23"/>
      <c r="E92" s="23"/>
      <c r="F92" s="23"/>
      <c r="G92" s="23"/>
      <c r="H92" s="26"/>
      <c r="I92" s="11"/>
      <c r="J92" s="23"/>
      <c r="K92" s="24"/>
      <c r="L92" s="23"/>
      <c r="M92" s="23"/>
      <c r="N92" s="23"/>
      <c r="O92" s="23"/>
      <c r="P92" s="23"/>
      <c r="Q92" s="23"/>
      <c r="R92" s="23"/>
      <c r="S92" s="23"/>
    </row>
    <row r="93" spans="1:19" s="25" customFormat="1" x14ac:dyDescent="0.2">
      <c r="A93" s="27"/>
      <c r="B93" s="23"/>
      <c r="C93" s="23"/>
      <c r="D93" s="23"/>
      <c r="E93" s="23"/>
      <c r="F93" s="23"/>
      <c r="G93" s="23"/>
      <c r="H93" s="26">
        <f>SUM(H2:H92)</f>
        <v>16856.089999999993</v>
      </c>
      <c r="I93" s="11">
        <f>SUM(I60:I92)</f>
        <v>689.91909090909087</v>
      </c>
      <c r="J93" s="23"/>
      <c r="K93" s="24"/>
      <c r="L93" s="23"/>
      <c r="M93" s="23"/>
      <c r="N93" s="23"/>
      <c r="O93" s="23"/>
      <c r="P93" s="23"/>
      <c r="Q93" s="23"/>
      <c r="R93" s="23"/>
      <c r="S93" s="23"/>
    </row>
    <row r="94" spans="1:19" s="25" customFormat="1" x14ac:dyDescent="0.2">
      <c r="A94" s="27"/>
      <c r="B94" s="23"/>
      <c r="C94" s="23"/>
      <c r="D94" s="23"/>
      <c r="E94" s="23"/>
      <c r="F94" s="23"/>
      <c r="G94" s="23"/>
      <c r="H94" s="26"/>
      <c r="I94" s="11"/>
      <c r="J94" s="23"/>
      <c r="K94" s="24"/>
      <c r="L94" s="23"/>
      <c r="M94" s="23"/>
      <c r="N94" s="23"/>
      <c r="O94" s="23"/>
      <c r="P94" s="23"/>
      <c r="Q94" s="23"/>
      <c r="R94" s="23"/>
      <c r="S94" s="23"/>
    </row>
    <row r="95" spans="1:19" s="25" customFormat="1" x14ac:dyDescent="0.2">
      <c r="A95" s="27"/>
      <c r="B95" s="23"/>
      <c r="C95" s="23"/>
      <c r="D95" s="23"/>
      <c r="E95" s="23"/>
      <c r="F95" s="23"/>
      <c r="G95" s="23"/>
      <c r="H95" s="26"/>
      <c r="I95" s="11"/>
      <c r="J95" s="23"/>
      <c r="K95" s="24"/>
      <c r="L95" s="23"/>
      <c r="M95" s="23"/>
      <c r="N95" s="23"/>
      <c r="O95" s="23"/>
      <c r="P95" s="23"/>
      <c r="Q95" s="23"/>
      <c r="R95" s="23"/>
      <c r="S95" s="23"/>
    </row>
    <row r="96" spans="1:19" s="25" customFormat="1" x14ac:dyDescent="0.2">
      <c r="A96" s="27"/>
      <c r="B96" s="23"/>
      <c r="C96" s="23"/>
      <c r="D96" s="23"/>
      <c r="E96" s="23"/>
      <c r="F96" s="23"/>
      <c r="G96" s="23"/>
      <c r="H96" s="26"/>
      <c r="I96" s="11"/>
      <c r="J96" s="23"/>
      <c r="K96" s="24"/>
      <c r="L96" s="23"/>
      <c r="M96" s="23"/>
      <c r="N96" s="23"/>
      <c r="O96" s="23"/>
      <c r="P96" s="23"/>
      <c r="Q96" s="23"/>
      <c r="R96" s="23"/>
      <c r="S96" s="23"/>
    </row>
    <row r="97" spans="1:19" s="25" customFormat="1" x14ac:dyDescent="0.2">
      <c r="A97" s="27"/>
      <c r="B97" s="23"/>
      <c r="C97" s="23"/>
      <c r="D97" s="23"/>
      <c r="E97" s="23"/>
      <c r="F97" s="23"/>
      <c r="G97" s="23"/>
      <c r="H97" s="26"/>
      <c r="I97" s="11"/>
      <c r="J97" s="23"/>
      <c r="K97" s="24"/>
      <c r="L97" s="23"/>
      <c r="M97" s="23"/>
      <c r="N97" s="23"/>
      <c r="O97" s="23"/>
      <c r="P97" s="23"/>
      <c r="Q97" s="23"/>
      <c r="R97" s="23"/>
      <c r="S97" s="23"/>
    </row>
    <row r="98" spans="1:19" s="25" customFormat="1" x14ac:dyDescent="0.2">
      <c r="A98" s="7">
        <v>45750</v>
      </c>
      <c r="B98" s="9"/>
      <c r="C98" s="9" t="s">
        <v>661</v>
      </c>
      <c r="D98" s="10" t="s">
        <v>624</v>
      </c>
      <c r="E98" s="9" t="s">
        <v>625</v>
      </c>
      <c r="F98" s="9" t="s">
        <v>676</v>
      </c>
      <c r="G98" s="9" t="s">
        <v>677</v>
      </c>
      <c r="H98" s="11">
        <v>1314.76</v>
      </c>
      <c r="I98" s="11"/>
      <c r="J98" s="9" t="s">
        <v>626</v>
      </c>
      <c r="K98" s="9"/>
      <c r="L98" s="9">
        <v>-3101.28</v>
      </c>
      <c r="M98" s="9" t="s">
        <v>656</v>
      </c>
      <c r="N98" s="9" t="s">
        <v>662</v>
      </c>
      <c r="O98" s="9"/>
      <c r="P98" s="9"/>
      <c r="Q98" s="9"/>
      <c r="R98" s="9"/>
      <c r="S98" s="9"/>
    </row>
    <row r="99" spans="1:19" s="25" customFormat="1" ht="32" x14ac:dyDescent="0.2">
      <c r="A99" s="27" t="s">
        <v>444</v>
      </c>
      <c r="B99" s="23" t="s">
        <v>438</v>
      </c>
      <c r="C99" s="23" t="s">
        <v>572</v>
      </c>
      <c r="D99" s="23" t="s">
        <v>52</v>
      </c>
      <c r="E99" s="23" t="s">
        <v>485</v>
      </c>
      <c r="F99" s="23" t="s">
        <v>676</v>
      </c>
      <c r="G99" s="23" t="s">
        <v>692</v>
      </c>
      <c r="H99" s="26">
        <v>227.44</v>
      </c>
      <c r="I99" s="26"/>
      <c r="J99" s="23" t="s">
        <v>54</v>
      </c>
      <c r="K99" s="24" t="s">
        <v>55</v>
      </c>
      <c r="L99" s="23" t="s">
        <v>55</v>
      </c>
      <c r="M99" s="23" t="s">
        <v>55</v>
      </c>
      <c r="N99" s="23" t="s">
        <v>572</v>
      </c>
      <c r="O99" s="23" t="s">
        <v>573</v>
      </c>
      <c r="P99" s="23" t="s">
        <v>574</v>
      </c>
      <c r="Q99" s="23" t="s">
        <v>575</v>
      </c>
      <c r="R99" s="23" t="s">
        <v>59</v>
      </c>
      <c r="S99" s="23" t="s">
        <v>576</v>
      </c>
    </row>
    <row r="100" spans="1:19" s="25" customFormat="1" ht="16" x14ac:dyDescent="0.2">
      <c r="A100" s="7">
        <v>45750</v>
      </c>
      <c r="B100" s="9"/>
      <c r="C100" s="9" t="s">
        <v>663</v>
      </c>
      <c r="D100" s="10" t="s">
        <v>624</v>
      </c>
      <c r="E100" s="9" t="s">
        <v>625</v>
      </c>
      <c r="F100" s="23" t="s">
        <v>676</v>
      </c>
      <c r="G100" s="23" t="s">
        <v>697</v>
      </c>
      <c r="H100" s="11">
        <v>944.46</v>
      </c>
      <c r="I100" s="11"/>
      <c r="J100" s="9" t="s">
        <v>626</v>
      </c>
      <c r="K100" s="9"/>
      <c r="L100" s="9">
        <v>-1786.52</v>
      </c>
      <c r="M100" s="9" t="s">
        <v>656</v>
      </c>
      <c r="N100" s="9" t="s">
        <v>664</v>
      </c>
      <c r="O100" s="9"/>
      <c r="P100" s="9"/>
      <c r="Q100" s="9"/>
      <c r="R100" s="9"/>
      <c r="S100" s="9"/>
    </row>
    <row r="101" spans="1:19" s="25" customFormat="1" ht="32" x14ac:dyDescent="0.2">
      <c r="A101" s="27" t="s">
        <v>438</v>
      </c>
      <c r="B101" s="23" t="s">
        <v>439</v>
      </c>
      <c r="C101" s="23" t="s">
        <v>508</v>
      </c>
      <c r="D101" s="23" t="s">
        <v>52</v>
      </c>
      <c r="E101" s="23" t="s">
        <v>485</v>
      </c>
      <c r="F101" s="23" t="s">
        <v>676</v>
      </c>
      <c r="G101" s="23" t="s">
        <v>693</v>
      </c>
      <c r="H101" s="26">
        <v>6.5</v>
      </c>
      <c r="I101" s="26"/>
      <c r="J101" s="23" t="s">
        <v>54</v>
      </c>
      <c r="K101" s="24" t="s">
        <v>55</v>
      </c>
      <c r="L101" s="23" t="s">
        <v>55</v>
      </c>
      <c r="M101" s="23" t="s">
        <v>55</v>
      </c>
      <c r="N101" s="23" t="s">
        <v>508</v>
      </c>
      <c r="O101" s="23" t="s">
        <v>509</v>
      </c>
      <c r="P101" s="23" t="s">
        <v>208</v>
      </c>
      <c r="Q101" s="23" t="s">
        <v>209</v>
      </c>
      <c r="R101" s="23" t="s">
        <v>59</v>
      </c>
      <c r="S101" s="23" t="s">
        <v>571</v>
      </c>
    </row>
    <row r="102" spans="1:19" s="25" customFormat="1" ht="32" x14ac:dyDescent="0.2">
      <c r="A102" s="27" t="s">
        <v>392</v>
      </c>
      <c r="B102" s="23" t="s">
        <v>392</v>
      </c>
      <c r="C102" s="23" t="s">
        <v>396</v>
      </c>
      <c r="D102" s="23" t="s">
        <v>62</v>
      </c>
      <c r="E102" s="23" t="s">
        <v>63</v>
      </c>
      <c r="F102" s="23" t="s">
        <v>676</v>
      </c>
      <c r="G102" s="23" t="s">
        <v>680</v>
      </c>
      <c r="H102" s="26">
        <v>160</v>
      </c>
      <c r="I102" s="26"/>
      <c r="J102" s="23" t="s">
        <v>54</v>
      </c>
      <c r="K102" s="24" t="s">
        <v>55</v>
      </c>
      <c r="L102" s="23" t="s">
        <v>55</v>
      </c>
      <c r="M102" s="23" t="s">
        <v>55</v>
      </c>
      <c r="N102" s="23" t="s">
        <v>396</v>
      </c>
      <c r="O102" s="23" t="s">
        <v>397</v>
      </c>
      <c r="P102" s="23" t="s">
        <v>398</v>
      </c>
      <c r="Q102" s="23" t="s">
        <v>399</v>
      </c>
      <c r="R102" s="23" t="s">
        <v>59</v>
      </c>
      <c r="S102" s="23" t="s">
        <v>400</v>
      </c>
    </row>
    <row r="103" spans="1:19" s="25" customFormat="1" ht="32" x14ac:dyDescent="0.2">
      <c r="A103" s="27" t="s">
        <v>392</v>
      </c>
      <c r="B103" s="23" t="s">
        <v>392</v>
      </c>
      <c r="C103" s="23" t="s">
        <v>401</v>
      </c>
      <c r="D103" s="23" t="s">
        <v>62</v>
      </c>
      <c r="E103" s="23" t="s">
        <v>63</v>
      </c>
      <c r="F103" s="23" t="s">
        <v>676</v>
      </c>
      <c r="G103" s="23" t="s">
        <v>681</v>
      </c>
      <c r="H103" s="26">
        <v>42.15</v>
      </c>
      <c r="I103" s="26"/>
      <c r="J103" s="23" t="s">
        <v>54</v>
      </c>
      <c r="K103" s="24" t="s">
        <v>55</v>
      </c>
      <c r="L103" s="23" t="s">
        <v>55</v>
      </c>
      <c r="M103" s="23" t="s">
        <v>55</v>
      </c>
      <c r="N103" s="23" t="s">
        <v>401</v>
      </c>
      <c r="O103" s="23" t="s">
        <v>402</v>
      </c>
      <c r="P103" s="23" t="s">
        <v>398</v>
      </c>
      <c r="Q103" s="23" t="s">
        <v>399</v>
      </c>
      <c r="R103" s="23" t="s">
        <v>59</v>
      </c>
      <c r="S103" s="23" t="s">
        <v>403</v>
      </c>
    </row>
    <row r="104" spans="1:19" s="25" customFormat="1" ht="16" x14ac:dyDescent="0.2">
      <c r="A104" s="7">
        <v>45755</v>
      </c>
      <c r="B104" s="9"/>
      <c r="C104" s="9" t="s">
        <v>655</v>
      </c>
      <c r="D104" s="10" t="s">
        <v>624</v>
      </c>
      <c r="E104" s="9" t="s">
        <v>625</v>
      </c>
      <c r="F104" s="23" t="s">
        <v>676</v>
      </c>
      <c r="G104" s="23" t="s">
        <v>677</v>
      </c>
      <c r="H104" s="11">
        <v>688.77</v>
      </c>
      <c r="I104" s="11"/>
      <c r="J104" s="9" t="s">
        <v>626</v>
      </c>
      <c r="K104" s="9"/>
      <c r="L104" s="9">
        <v>-3812.45</v>
      </c>
      <c r="M104" s="9" t="s">
        <v>656</v>
      </c>
      <c r="N104" s="9" t="s">
        <v>657</v>
      </c>
      <c r="O104" s="9"/>
      <c r="P104" s="9"/>
      <c r="Q104" s="9"/>
      <c r="R104" s="9"/>
      <c r="S104" s="9"/>
    </row>
    <row r="105" spans="1:19" s="25" customFormat="1" x14ac:dyDescent="0.2">
      <c r="A105" s="7">
        <v>45758</v>
      </c>
      <c r="B105" s="9"/>
      <c r="C105" s="9" t="s">
        <v>646</v>
      </c>
      <c r="D105" s="10" t="s">
        <v>624</v>
      </c>
      <c r="E105" s="9" t="s">
        <v>625</v>
      </c>
      <c r="F105" s="9" t="s">
        <v>676</v>
      </c>
      <c r="G105" s="9" t="s">
        <v>691</v>
      </c>
      <c r="H105" s="11">
        <v>120</v>
      </c>
      <c r="I105" s="11"/>
      <c r="J105" s="9" t="s">
        <v>626</v>
      </c>
      <c r="K105" s="9"/>
      <c r="L105" s="9">
        <v>-4253.16</v>
      </c>
      <c r="M105" s="9" t="s">
        <v>647</v>
      </c>
      <c r="N105" s="9"/>
      <c r="O105" s="9"/>
      <c r="P105" s="9"/>
      <c r="Q105" s="9"/>
      <c r="R105" s="9"/>
      <c r="S105" s="9"/>
    </row>
    <row r="106" spans="1:19" s="25" customFormat="1" ht="32" x14ac:dyDescent="0.2">
      <c r="A106" s="27" t="s">
        <v>339</v>
      </c>
      <c r="B106" s="23" t="s">
        <v>315</v>
      </c>
      <c r="C106" s="23" t="s">
        <v>508</v>
      </c>
      <c r="D106" s="23" t="s">
        <v>52</v>
      </c>
      <c r="E106" s="23" t="s">
        <v>485</v>
      </c>
      <c r="F106" s="23" t="s">
        <v>676</v>
      </c>
      <c r="G106" s="23" t="s">
        <v>693</v>
      </c>
      <c r="H106" s="26">
        <v>6.5</v>
      </c>
      <c r="I106" s="26"/>
      <c r="J106" s="23" t="s">
        <v>54</v>
      </c>
      <c r="K106" s="24" t="s">
        <v>55</v>
      </c>
      <c r="L106" s="23" t="s">
        <v>55</v>
      </c>
      <c r="M106" s="23" t="s">
        <v>55</v>
      </c>
      <c r="N106" s="23" t="s">
        <v>508</v>
      </c>
      <c r="O106" s="23" t="s">
        <v>509</v>
      </c>
      <c r="P106" s="23" t="s">
        <v>208</v>
      </c>
      <c r="Q106" s="23" t="s">
        <v>209</v>
      </c>
      <c r="R106" s="23" t="s">
        <v>59</v>
      </c>
      <c r="S106" s="23" t="s">
        <v>554</v>
      </c>
    </row>
    <row r="107" spans="1:19" s="25" customFormat="1" ht="32" x14ac:dyDescent="0.2">
      <c r="A107" s="27" t="s">
        <v>276</v>
      </c>
      <c r="B107" s="23" t="s">
        <v>271</v>
      </c>
      <c r="C107" s="23" t="s">
        <v>274</v>
      </c>
      <c r="D107" s="23" t="s">
        <v>62</v>
      </c>
      <c r="E107" s="23" t="s">
        <v>63</v>
      </c>
      <c r="F107" s="23" t="s">
        <v>676</v>
      </c>
      <c r="G107" s="23" t="s">
        <v>681</v>
      </c>
      <c r="H107" s="26">
        <v>395</v>
      </c>
      <c r="I107" s="26"/>
      <c r="J107" s="23" t="s">
        <v>54</v>
      </c>
      <c r="K107" s="24" t="s">
        <v>55</v>
      </c>
      <c r="L107" s="23" t="s">
        <v>55</v>
      </c>
      <c r="M107" s="23" t="s">
        <v>55</v>
      </c>
      <c r="N107" s="23" t="s">
        <v>274</v>
      </c>
      <c r="O107" s="23" t="s">
        <v>124</v>
      </c>
      <c r="P107" s="23" t="s">
        <v>125</v>
      </c>
      <c r="Q107" s="23" t="s">
        <v>126</v>
      </c>
      <c r="R107" s="23" t="s">
        <v>59</v>
      </c>
      <c r="S107" s="23" t="s">
        <v>280</v>
      </c>
    </row>
    <row r="108" spans="1:19" s="25" customFormat="1" ht="32" x14ac:dyDescent="0.2">
      <c r="A108" s="27" t="s">
        <v>271</v>
      </c>
      <c r="B108" s="23" t="s">
        <v>261</v>
      </c>
      <c r="C108" s="23" t="s">
        <v>274</v>
      </c>
      <c r="D108" s="23" t="s">
        <v>62</v>
      </c>
      <c r="E108" s="23" t="s">
        <v>63</v>
      </c>
      <c r="F108" s="23" t="s">
        <v>676</v>
      </c>
      <c r="G108" s="23" t="s">
        <v>681</v>
      </c>
      <c r="H108" s="26">
        <v>354.56</v>
      </c>
      <c r="I108" s="26"/>
      <c r="J108" s="23" t="s">
        <v>54</v>
      </c>
      <c r="K108" s="24" t="s">
        <v>55</v>
      </c>
      <c r="L108" s="23" t="s">
        <v>55</v>
      </c>
      <c r="M108" s="23" t="s">
        <v>55</v>
      </c>
      <c r="N108" s="23" t="s">
        <v>274</v>
      </c>
      <c r="O108" s="23" t="s">
        <v>124</v>
      </c>
      <c r="P108" s="23" t="s">
        <v>125</v>
      </c>
      <c r="Q108" s="23" t="s">
        <v>126</v>
      </c>
      <c r="R108" s="23" t="s">
        <v>59</v>
      </c>
      <c r="S108" s="23" t="s">
        <v>275</v>
      </c>
    </row>
    <row r="109" spans="1:19" s="25" customFormat="1" ht="32" x14ac:dyDescent="0.2">
      <c r="A109" s="27" t="s">
        <v>260</v>
      </c>
      <c r="B109" s="23" t="s">
        <v>261</v>
      </c>
      <c r="C109" s="23" t="s">
        <v>508</v>
      </c>
      <c r="D109" s="23" t="s">
        <v>52</v>
      </c>
      <c r="E109" s="23" t="s">
        <v>485</v>
      </c>
      <c r="F109" s="23" t="s">
        <v>676</v>
      </c>
      <c r="G109" s="23" t="s">
        <v>693</v>
      </c>
      <c r="H109" s="26">
        <v>6.5</v>
      </c>
      <c r="I109" s="26"/>
      <c r="J109" s="23" t="s">
        <v>54</v>
      </c>
      <c r="K109" s="24" t="s">
        <v>55</v>
      </c>
      <c r="L109" s="23" t="s">
        <v>55</v>
      </c>
      <c r="M109" s="23" t="s">
        <v>55</v>
      </c>
      <c r="N109" s="23" t="s">
        <v>508</v>
      </c>
      <c r="O109" s="23" t="s">
        <v>509</v>
      </c>
      <c r="P109" s="23" t="s">
        <v>208</v>
      </c>
      <c r="Q109" s="23" t="s">
        <v>209</v>
      </c>
      <c r="R109" s="23" t="s">
        <v>59</v>
      </c>
      <c r="S109" s="23" t="s">
        <v>522</v>
      </c>
    </row>
    <row r="110" spans="1:19" s="25" customFormat="1" ht="32" x14ac:dyDescent="0.2">
      <c r="A110" s="27" t="s">
        <v>144</v>
      </c>
      <c r="B110" s="23" t="s">
        <v>143</v>
      </c>
      <c r="C110" s="23" t="s">
        <v>508</v>
      </c>
      <c r="D110" s="23" t="s">
        <v>52</v>
      </c>
      <c r="E110" s="23" t="s">
        <v>485</v>
      </c>
      <c r="F110" s="23" t="s">
        <v>676</v>
      </c>
      <c r="G110" s="23" t="s">
        <v>693</v>
      </c>
      <c r="H110" s="26">
        <v>6.5</v>
      </c>
      <c r="I110" s="26"/>
      <c r="J110" s="23" t="s">
        <v>54</v>
      </c>
      <c r="K110" s="24" t="s">
        <v>55</v>
      </c>
      <c r="L110" s="23" t="s">
        <v>55</v>
      </c>
      <c r="M110" s="23" t="s">
        <v>55</v>
      </c>
      <c r="N110" s="23" t="s">
        <v>508</v>
      </c>
      <c r="O110" s="23" t="s">
        <v>509</v>
      </c>
      <c r="P110" s="23" t="s">
        <v>208</v>
      </c>
      <c r="Q110" s="23" t="s">
        <v>209</v>
      </c>
      <c r="R110" s="23" t="s">
        <v>59</v>
      </c>
      <c r="S110" s="23" t="s">
        <v>510</v>
      </c>
    </row>
    <row r="111" spans="1:19" s="25" customFormat="1" ht="32" x14ac:dyDescent="0.2">
      <c r="A111" s="27" t="s">
        <v>115</v>
      </c>
      <c r="B111" s="23" t="s">
        <v>91</v>
      </c>
      <c r="C111" s="23" t="s">
        <v>123</v>
      </c>
      <c r="D111" s="23" t="s">
        <v>62</v>
      </c>
      <c r="E111" s="23" t="s">
        <v>63</v>
      </c>
      <c r="F111" s="23" t="s">
        <v>676</v>
      </c>
      <c r="G111" s="23" t="s">
        <v>689</v>
      </c>
      <c r="H111" s="26">
        <v>40</v>
      </c>
      <c r="I111" s="26"/>
      <c r="J111" s="23" t="s">
        <v>54</v>
      </c>
      <c r="K111" s="24" t="s">
        <v>55</v>
      </c>
      <c r="L111" s="23" t="s">
        <v>55</v>
      </c>
      <c r="M111" s="23" t="s">
        <v>55</v>
      </c>
      <c r="N111" s="23" t="s">
        <v>123</v>
      </c>
      <c r="O111" s="23" t="s">
        <v>124</v>
      </c>
      <c r="P111" s="23" t="s">
        <v>125</v>
      </c>
      <c r="Q111" s="23" t="s">
        <v>126</v>
      </c>
      <c r="R111" s="23" t="s">
        <v>59</v>
      </c>
      <c r="S111" s="23" t="s">
        <v>127</v>
      </c>
    </row>
    <row r="112" spans="1:19" s="25" customFormat="1" ht="32" x14ac:dyDescent="0.2">
      <c r="A112" s="27" t="s">
        <v>478</v>
      </c>
      <c r="B112" s="23" t="s">
        <v>465</v>
      </c>
      <c r="C112" s="23" t="s">
        <v>550</v>
      </c>
      <c r="D112" s="23" t="s">
        <v>52</v>
      </c>
      <c r="E112" s="23" t="s">
        <v>485</v>
      </c>
      <c r="F112" s="23" t="s">
        <v>670</v>
      </c>
      <c r="G112" s="23"/>
      <c r="H112" s="26">
        <v>34</v>
      </c>
      <c r="I112" s="26"/>
      <c r="J112" s="23" t="s">
        <v>54</v>
      </c>
      <c r="K112" s="24" t="s">
        <v>55</v>
      </c>
      <c r="L112" s="23" t="s">
        <v>55</v>
      </c>
      <c r="M112" s="23" t="s">
        <v>55</v>
      </c>
      <c r="N112" s="23" t="s">
        <v>550</v>
      </c>
      <c r="O112" s="23" t="s">
        <v>551</v>
      </c>
      <c r="P112" s="23" t="s">
        <v>55</v>
      </c>
      <c r="Q112" s="23" t="s">
        <v>552</v>
      </c>
      <c r="R112" s="23" t="s">
        <v>539</v>
      </c>
      <c r="S112" s="23" t="s">
        <v>579</v>
      </c>
    </row>
    <row r="113" spans="1:19" s="25" customFormat="1" x14ac:dyDescent="0.2">
      <c r="A113" s="7">
        <v>45749</v>
      </c>
      <c r="B113" s="9"/>
      <c r="C113" s="9" t="s">
        <v>622</v>
      </c>
      <c r="D113" s="10" t="s">
        <v>587</v>
      </c>
      <c r="E113" s="9" t="s">
        <v>588</v>
      </c>
      <c r="F113" s="9" t="s">
        <v>670</v>
      </c>
      <c r="G113" s="9"/>
      <c r="H113" s="11">
        <v>16.41</v>
      </c>
      <c r="I113" s="11"/>
      <c r="J113" s="9"/>
      <c r="K113" s="9"/>
      <c r="L113" s="9"/>
      <c r="M113" s="9"/>
      <c r="N113" s="9"/>
      <c r="O113" s="9"/>
      <c r="P113" s="9"/>
      <c r="Q113" s="9"/>
      <c r="R113" s="9"/>
      <c r="S113" s="9"/>
    </row>
    <row r="114" spans="1:19" s="25" customFormat="1" ht="16" x14ac:dyDescent="0.2">
      <c r="A114" s="27" t="s">
        <v>465</v>
      </c>
      <c r="B114" s="23" t="s">
        <v>444</v>
      </c>
      <c r="C114" s="23" t="s">
        <v>469</v>
      </c>
      <c r="D114" s="23" t="s">
        <v>52</v>
      </c>
      <c r="E114" s="23" t="s">
        <v>53</v>
      </c>
      <c r="F114" s="23" t="s">
        <v>670</v>
      </c>
      <c r="G114" s="23"/>
      <c r="H114" s="26">
        <v>9.25</v>
      </c>
      <c r="I114" s="26"/>
      <c r="J114" s="23" t="s">
        <v>54</v>
      </c>
      <c r="K114" s="24" t="s">
        <v>55</v>
      </c>
      <c r="L114" s="23" t="s">
        <v>55</v>
      </c>
      <c r="M114" s="23" t="s">
        <v>55</v>
      </c>
      <c r="N114" s="23" t="s">
        <v>469</v>
      </c>
      <c r="O114" s="23" t="s">
        <v>470</v>
      </c>
      <c r="P114" s="23" t="s">
        <v>471</v>
      </c>
      <c r="Q114" s="23" t="s">
        <v>472</v>
      </c>
      <c r="R114" s="23" t="s">
        <v>59</v>
      </c>
      <c r="S114" s="23" t="s">
        <v>473</v>
      </c>
    </row>
    <row r="115" spans="1:19" s="25" customFormat="1" x14ac:dyDescent="0.2">
      <c r="A115" s="7">
        <v>45749</v>
      </c>
      <c r="B115" s="9"/>
      <c r="C115" s="9" t="s">
        <v>632</v>
      </c>
      <c r="D115" s="10" t="s">
        <v>624</v>
      </c>
      <c r="E115" s="9" t="s">
        <v>625</v>
      </c>
      <c r="F115" s="9" t="s">
        <v>670</v>
      </c>
      <c r="G115" s="9"/>
      <c r="H115" s="11">
        <v>32.17</v>
      </c>
      <c r="I115" s="11"/>
      <c r="J115" s="9" t="s">
        <v>626</v>
      </c>
      <c r="K115" s="9"/>
      <c r="L115" s="9">
        <v>-657.67</v>
      </c>
      <c r="M115" s="9" t="s">
        <v>633</v>
      </c>
      <c r="N115" s="9" t="s">
        <v>634</v>
      </c>
      <c r="O115" s="9"/>
      <c r="P115" s="9"/>
      <c r="Q115" s="9"/>
      <c r="R115" s="9"/>
      <c r="S115" s="9"/>
    </row>
    <row r="116" spans="1:19" s="25" customFormat="1" ht="48" x14ac:dyDescent="0.2">
      <c r="A116" s="27" t="s">
        <v>465</v>
      </c>
      <c r="B116" s="23" t="s">
        <v>444</v>
      </c>
      <c r="C116" s="23" t="s">
        <v>102</v>
      </c>
      <c r="D116" s="23" t="s">
        <v>52</v>
      </c>
      <c r="E116" s="23" t="s">
        <v>53</v>
      </c>
      <c r="F116" s="23" t="s">
        <v>670</v>
      </c>
      <c r="G116" s="23"/>
      <c r="H116" s="26">
        <v>19.920000000000002</v>
      </c>
      <c r="I116" s="26"/>
      <c r="J116" s="23" t="s">
        <v>54</v>
      </c>
      <c r="K116" s="24" t="s">
        <v>55</v>
      </c>
      <c r="L116" s="23" t="s">
        <v>55</v>
      </c>
      <c r="M116" s="23" t="s">
        <v>103</v>
      </c>
      <c r="N116" s="23" t="s">
        <v>102</v>
      </c>
      <c r="O116" s="23" t="s">
        <v>104</v>
      </c>
      <c r="P116" s="23" t="s">
        <v>57</v>
      </c>
      <c r="Q116" s="23" t="s">
        <v>58</v>
      </c>
      <c r="R116" s="23" t="s">
        <v>59</v>
      </c>
      <c r="S116" s="23" t="s">
        <v>474</v>
      </c>
    </row>
    <row r="117" spans="1:19" s="25" customFormat="1" ht="48" x14ac:dyDescent="0.2">
      <c r="A117" s="27" t="s">
        <v>465</v>
      </c>
      <c r="B117" s="23" t="s">
        <v>444</v>
      </c>
      <c r="C117" s="23" t="s">
        <v>102</v>
      </c>
      <c r="D117" s="23" t="s">
        <v>62</v>
      </c>
      <c r="E117" s="23" t="s">
        <v>63</v>
      </c>
      <c r="F117" s="23" t="s">
        <v>670</v>
      </c>
      <c r="G117" s="23"/>
      <c r="H117" s="26">
        <v>22.23</v>
      </c>
      <c r="I117" s="26"/>
      <c r="J117" s="23" t="s">
        <v>54</v>
      </c>
      <c r="K117" s="24" t="s">
        <v>55</v>
      </c>
      <c r="L117" s="23" t="s">
        <v>55</v>
      </c>
      <c r="M117" s="23" t="s">
        <v>103</v>
      </c>
      <c r="N117" s="23" t="s">
        <v>102</v>
      </c>
      <c r="O117" s="23" t="s">
        <v>104</v>
      </c>
      <c r="P117" s="23" t="s">
        <v>57</v>
      </c>
      <c r="Q117" s="23" t="s">
        <v>58</v>
      </c>
      <c r="R117" s="23" t="s">
        <v>59</v>
      </c>
      <c r="S117" s="23" t="s">
        <v>475</v>
      </c>
    </row>
    <row r="118" spans="1:19" s="25" customFormat="1" ht="48" x14ac:dyDescent="0.2">
      <c r="A118" s="27" t="s">
        <v>465</v>
      </c>
      <c r="B118" s="23" t="s">
        <v>439</v>
      </c>
      <c r="C118" s="23" t="s">
        <v>197</v>
      </c>
      <c r="D118" s="23" t="s">
        <v>52</v>
      </c>
      <c r="E118" s="23" t="s">
        <v>53</v>
      </c>
      <c r="F118" s="23" t="s">
        <v>670</v>
      </c>
      <c r="G118" s="23"/>
      <c r="H118" s="26">
        <v>51.76</v>
      </c>
      <c r="I118" s="26"/>
      <c r="J118" s="23" t="s">
        <v>54</v>
      </c>
      <c r="K118" s="24" t="s">
        <v>55</v>
      </c>
      <c r="L118" s="23" t="s">
        <v>55</v>
      </c>
      <c r="M118" s="23" t="s">
        <v>198</v>
      </c>
      <c r="N118" s="23" t="s">
        <v>197</v>
      </c>
      <c r="O118" s="23" t="s">
        <v>199</v>
      </c>
      <c r="P118" s="23" t="s">
        <v>172</v>
      </c>
      <c r="Q118" s="23" t="s">
        <v>173</v>
      </c>
      <c r="R118" s="23" t="s">
        <v>59</v>
      </c>
      <c r="S118" s="23" t="s">
        <v>476</v>
      </c>
    </row>
    <row r="119" spans="1:19" s="25" customFormat="1" x14ac:dyDescent="0.2">
      <c r="A119" s="7">
        <v>45749</v>
      </c>
      <c r="B119" s="9"/>
      <c r="C119" s="9" t="s">
        <v>668</v>
      </c>
      <c r="D119" s="10" t="s">
        <v>624</v>
      </c>
      <c r="E119" s="9" t="s">
        <v>625</v>
      </c>
      <c r="F119" s="9" t="s">
        <v>670</v>
      </c>
      <c r="G119" s="9"/>
      <c r="H119" s="11">
        <v>178.31</v>
      </c>
      <c r="I119" s="11"/>
      <c r="J119" s="9" t="s">
        <v>626</v>
      </c>
      <c r="K119" s="9"/>
      <c r="L119" s="9">
        <v>-835.98</v>
      </c>
      <c r="M119" s="9" t="s">
        <v>656</v>
      </c>
      <c r="N119" s="9" t="s">
        <v>669</v>
      </c>
      <c r="O119" s="9"/>
      <c r="P119" s="9"/>
      <c r="Q119" s="9"/>
      <c r="R119" s="9"/>
      <c r="S119" s="9"/>
    </row>
    <row r="120" spans="1:19" s="25" customFormat="1" x14ac:dyDescent="0.2">
      <c r="A120" s="7">
        <v>45749</v>
      </c>
      <c r="B120" s="9"/>
      <c r="C120" s="9" t="s">
        <v>621</v>
      </c>
      <c r="D120" s="10" t="s">
        <v>587</v>
      </c>
      <c r="E120" s="9" t="s">
        <v>588</v>
      </c>
      <c r="F120" s="9" t="s">
        <v>670</v>
      </c>
      <c r="G120" s="9"/>
      <c r="H120" s="11">
        <v>2.46</v>
      </c>
      <c r="I120" s="11"/>
      <c r="J120" s="9"/>
      <c r="K120" s="9"/>
      <c r="L120" s="9"/>
      <c r="M120" s="9"/>
      <c r="N120" s="9"/>
      <c r="O120" s="9"/>
      <c r="P120" s="9"/>
      <c r="Q120" s="9"/>
      <c r="R120" s="9"/>
      <c r="S120" s="9"/>
    </row>
    <row r="121" spans="1:19" s="25" customFormat="1" x14ac:dyDescent="0.2">
      <c r="A121" s="7">
        <v>45749</v>
      </c>
      <c r="B121" s="9"/>
      <c r="C121" s="9" t="s">
        <v>620</v>
      </c>
      <c r="D121" s="10" t="s">
        <v>587</v>
      </c>
      <c r="E121" s="9" t="s">
        <v>588</v>
      </c>
      <c r="F121" s="32" t="s">
        <v>670</v>
      </c>
      <c r="G121" s="9"/>
      <c r="H121" s="11">
        <v>6.15</v>
      </c>
      <c r="I121" s="11"/>
      <c r="J121" s="9"/>
      <c r="K121" s="9"/>
      <c r="L121" s="9"/>
      <c r="M121" s="9"/>
      <c r="N121" s="9"/>
      <c r="O121" s="9"/>
      <c r="P121" s="9"/>
      <c r="Q121" s="9"/>
      <c r="R121" s="9"/>
      <c r="S121" s="9"/>
    </row>
    <row r="122" spans="1:19" s="25" customFormat="1" ht="32" x14ac:dyDescent="0.2">
      <c r="A122" s="27" t="s">
        <v>465</v>
      </c>
      <c r="B122" s="23" t="s">
        <v>444</v>
      </c>
      <c r="C122" s="23" t="s">
        <v>331</v>
      </c>
      <c r="D122" s="23" t="s">
        <v>52</v>
      </c>
      <c r="E122" s="23" t="s">
        <v>53</v>
      </c>
      <c r="F122" s="23" t="s">
        <v>670</v>
      </c>
      <c r="G122" s="23"/>
      <c r="H122" s="26">
        <v>23.99</v>
      </c>
      <c r="I122" s="26"/>
      <c r="J122" s="23" t="s">
        <v>54</v>
      </c>
      <c r="K122" s="24" t="s">
        <v>55</v>
      </c>
      <c r="L122" s="23" t="s">
        <v>55</v>
      </c>
      <c r="M122" s="23" t="s">
        <v>55</v>
      </c>
      <c r="N122" s="23" t="s">
        <v>331</v>
      </c>
      <c r="O122" s="23" t="s">
        <v>332</v>
      </c>
      <c r="P122" s="23" t="s">
        <v>333</v>
      </c>
      <c r="Q122" s="23" t="s">
        <v>334</v>
      </c>
      <c r="R122" s="23" t="s">
        <v>267</v>
      </c>
      <c r="S122" s="23" t="s">
        <v>477</v>
      </c>
    </row>
    <row r="123" spans="1:19" s="25" customFormat="1" ht="32" x14ac:dyDescent="0.2">
      <c r="A123" s="27" t="s">
        <v>444</v>
      </c>
      <c r="B123" s="23" t="s">
        <v>444</v>
      </c>
      <c r="C123" s="23" t="s">
        <v>164</v>
      </c>
      <c r="D123" s="23" t="s">
        <v>62</v>
      </c>
      <c r="E123" s="23" t="s">
        <v>63</v>
      </c>
      <c r="F123" s="23" t="s">
        <v>670</v>
      </c>
      <c r="G123" s="23"/>
      <c r="H123" s="26">
        <v>32.24</v>
      </c>
      <c r="I123" s="26"/>
      <c r="J123" s="23" t="s">
        <v>54</v>
      </c>
      <c r="K123" s="24" t="s">
        <v>55</v>
      </c>
      <c r="L123" s="23" t="s">
        <v>55</v>
      </c>
      <c r="M123" s="23" t="s">
        <v>55</v>
      </c>
      <c r="N123" s="23" t="s">
        <v>164</v>
      </c>
      <c r="O123" s="23" t="s">
        <v>165</v>
      </c>
      <c r="P123" s="23" t="s">
        <v>166</v>
      </c>
      <c r="Q123" s="23" t="s">
        <v>167</v>
      </c>
      <c r="R123" s="23" t="s">
        <v>59</v>
      </c>
      <c r="S123" s="23" t="s">
        <v>445</v>
      </c>
    </row>
    <row r="124" spans="1:19" s="25" customFormat="1" x14ac:dyDescent="0.2">
      <c r="A124" s="7">
        <v>45750</v>
      </c>
      <c r="B124" s="9"/>
      <c r="C124" s="9" t="s">
        <v>617</v>
      </c>
      <c r="D124" s="10" t="s">
        <v>587</v>
      </c>
      <c r="E124" s="9" t="s">
        <v>588</v>
      </c>
      <c r="F124" s="9" t="s">
        <v>670</v>
      </c>
      <c r="G124" s="9"/>
      <c r="H124" s="11">
        <v>18.22</v>
      </c>
      <c r="I124" s="11"/>
      <c r="J124" s="9"/>
      <c r="K124" s="9"/>
      <c r="L124" s="9"/>
      <c r="M124" s="9"/>
      <c r="N124" s="9"/>
      <c r="O124" s="9"/>
      <c r="P124" s="9"/>
      <c r="Q124" s="9"/>
      <c r="R124" s="9"/>
      <c r="S124" s="9"/>
    </row>
    <row r="125" spans="1:19" s="25" customFormat="1" ht="48" x14ac:dyDescent="0.2">
      <c r="A125" s="27" t="s">
        <v>444</v>
      </c>
      <c r="B125" s="23" t="s">
        <v>427</v>
      </c>
      <c r="C125" s="23" t="s">
        <v>197</v>
      </c>
      <c r="D125" s="23" t="s">
        <v>52</v>
      </c>
      <c r="E125" s="23" t="s">
        <v>53</v>
      </c>
      <c r="F125" s="23" t="s">
        <v>670</v>
      </c>
      <c r="G125" s="23"/>
      <c r="H125" s="26">
        <v>31.14</v>
      </c>
      <c r="I125" s="26"/>
      <c r="J125" s="23" t="s">
        <v>54</v>
      </c>
      <c r="K125" s="24" t="s">
        <v>55</v>
      </c>
      <c r="L125" s="23" t="s">
        <v>55</v>
      </c>
      <c r="M125" s="23" t="s">
        <v>198</v>
      </c>
      <c r="N125" s="23" t="s">
        <v>197</v>
      </c>
      <c r="O125" s="23" t="s">
        <v>199</v>
      </c>
      <c r="P125" s="23" t="s">
        <v>172</v>
      </c>
      <c r="Q125" s="23" t="s">
        <v>173</v>
      </c>
      <c r="R125" s="23" t="s">
        <v>59</v>
      </c>
      <c r="S125" s="23" t="s">
        <v>454</v>
      </c>
    </row>
    <row r="126" spans="1:19" s="25" customFormat="1" ht="32" x14ac:dyDescent="0.2">
      <c r="A126" s="27" t="s">
        <v>444</v>
      </c>
      <c r="B126" s="23" t="s">
        <v>438</v>
      </c>
      <c r="C126" s="23" t="s">
        <v>170</v>
      </c>
      <c r="D126" s="23" t="s">
        <v>62</v>
      </c>
      <c r="E126" s="23" t="s">
        <v>63</v>
      </c>
      <c r="F126" s="23" t="s">
        <v>670</v>
      </c>
      <c r="G126" s="23"/>
      <c r="H126" s="26">
        <v>50.5</v>
      </c>
      <c r="I126" s="26"/>
      <c r="J126" s="23" t="s">
        <v>54</v>
      </c>
      <c r="K126" s="24" t="s">
        <v>55</v>
      </c>
      <c r="L126" s="23" t="s">
        <v>55</v>
      </c>
      <c r="M126" s="23" t="s">
        <v>55</v>
      </c>
      <c r="N126" s="23" t="s">
        <v>170</v>
      </c>
      <c r="O126" s="23" t="s">
        <v>171</v>
      </c>
      <c r="P126" s="23" t="s">
        <v>172</v>
      </c>
      <c r="Q126" s="23" t="s">
        <v>173</v>
      </c>
      <c r="R126" s="23" t="s">
        <v>59</v>
      </c>
      <c r="S126" s="23" t="s">
        <v>455</v>
      </c>
    </row>
    <row r="127" spans="1:19" s="25" customFormat="1" ht="32" x14ac:dyDescent="0.2">
      <c r="A127" s="27" t="s">
        <v>444</v>
      </c>
      <c r="B127" s="23" t="s">
        <v>444</v>
      </c>
      <c r="C127" s="23" t="s">
        <v>456</v>
      </c>
      <c r="D127" s="23" t="s">
        <v>52</v>
      </c>
      <c r="E127" s="23" t="s">
        <v>53</v>
      </c>
      <c r="F127" s="23" t="s">
        <v>670</v>
      </c>
      <c r="G127" s="23"/>
      <c r="H127" s="26">
        <v>-7.14</v>
      </c>
      <c r="I127" s="26"/>
      <c r="J127" s="23" t="s">
        <v>54</v>
      </c>
      <c r="K127" s="24" t="s">
        <v>55</v>
      </c>
      <c r="L127" s="23" t="s">
        <v>55</v>
      </c>
      <c r="M127" s="23" t="s">
        <v>457</v>
      </c>
      <c r="N127" s="23" t="s">
        <v>456</v>
      </c>
      <c r="O127" s="23" t="s">
        <v>458</v>
      </c>
      <c r="P127" s="23" t="s">
        <v>451</v>
      </c>
      <c r="Q127" s="23" t="s">
        <v>452</v>
      </c>
      <c r="R127" s="23" t="s">
        <v>59</v>
      </c>
      <c r="S127" s="23" t="s">
        <v>459</v>
      </c>
    </row>
    <row r="128" spans="1:19" s="25" customFormat="1" ht="32" x14ac:dyDescent="0.2">
      <c r="A128" s="27" t="s">
        <v>438</v>
      </c>
      <c r="B128" s="23" t="s">
        <v>439</v>
      </c>
      <c r="C128" s="23" t="s">
        <v>440</v>
      </c>
      <c r="D128" s="23" t="s">
        <v>62</v>
      </c>
      <c r="E128" s="23" t="s">
        <v>63</v>
      </c>
      <c r="F128" s="23" t="s">
        <v>670</v>
      </c>
      <c r="G128" s="23"/>
      <c r="H128" s="26">
        <v>2.99</v>
      </c>
      <c r="I128" s="26"/>
      <c r="J128" s="23" t="s">
        <v>54</v>
      </c>
      <c r="K128" s="24" t="s">
        <v>55</v>
      </c>
      <c r="L128" s="23" t="s">
        <v>55</v>
      </c>
      <c r="M128" s="23" t="s">
        <v>55</v>
      </c>
      <c r="N128" s="23" t="s">
        <v>440</v>
      </c>
      <c r="O128" s="23" t="s">
        <v>441</v>
      </c>
      <c r="P128" s="23" t="s">
        <v>57</v>
      </c>
      <c r="Q128" s="23" t="s">
        <v>58</v>
      </c>
      <c r="R128" s="23" t="s">
        <v>59</v>
      </c>
      <c r="S128" s="23" t="s">
        <v>442</v>
      </c>
    </row>
    <row r="129" spans="1:19" s="25" customFormat="1" ht="32" x14ac:dyDescent="0.2">
      <c r="A129" s="27" t="s">
        <v>438</v>
      </c>
      <c r="B129" s="23" t="s">
        <v>427</v>
      </c>
      <c r="C129" s="23" t="s">
        <v>297</v>
      </c>
      <c r="D129" s="23" t="s">
        <v>52</v>
      </c>
      <c r="E129" s="23" t="s">
        <v>53</v>
      </c>
      <c r="F129" s="23" t="s">
        <v>670</v>
      </c>
      <c r="G129" s="23"/>
      <c r="H129" s="26">
        <v>9.32</v>
      </c>
      <c r="I129" s="26"/>
      <c r="J129" s="23" t="s">
        <v>54</v>
      </c>
      <c r="K129" s="24" t="s">
        <v>55</v>
      </c>
      <c r="L129" s="23" t="s">
        <v>55</v>
      </c>
      <c r="M129" s="23" t="s">
        <v>55</v>
      </c>
      <c r="N129" s="23" t="s">
        <v>297</v>
      </c>
      <c r="O129" s="23" t="s">
        <v>298</v>
      </c>
      <c r="P129" s="23" t="s">
        <v>125</v>
      </c>
      <c r="Q129" s="23" t="s">
        <v>126</v>
      </c>
      <c r="R129" s="23" t="s">
        <v>59</v>
      </c>
      <c r="S129" s="23" t="s">
        <v>443</v>
      </c>
    </row>
    <row r="130" spans="1:19" s="25" customFormat="1" ht="32" x14ac:dyDescent="0.2">
      <c r="A130" s="27" t="s">
        <v>427</v>
      </c>
      <c r="B130" s="23" t="s">
        <v>419</v>
      </c>
      <c r="C130" s="23" t="s">
        <v>51</v>
      </c>
      <c r="D130" s="23" t="s">
        <v>62</v>
      </c>
      <c r="E130" s="23" t="s">
        <v>63</v>
      </c>
      <c r="F130" s="23" t="s">
        <v>670</v>
      </c>
      <c r="G130" s="23"/>
      <c r="H130" s="26">
        <v>69.989999999999995</v>
      </c>
      <c r="I130" s="26"/>
      <c r="J130" s="23" t="s">
        <v>54</v>
      </c>
      <c r="K130" s="24" t="s">
        <v>55</v>
      </c>
      <c r="L130" s="23" t="s">
        <v>55</v>
      </c>
      <c r="M130" s="23" t="s">
        <v>55</v>
      </c>
      <c r="N130" s="23" t="s">
        <v>51</v>
      </c>
      <c r="O130" s="23" t="s">
        <v>56</v>
      </c>
      <c r="P130" s="23" t="s">
        <v>57</v>
      </c>
      <c r="Q130" s="23" t="s">
        <v>58</v>
      </c>
      <c r="R130" s="23" t="s">
        <v>59</v>
      </c>
      <c r="S130" s="23" t="s">
        <v>428</v>
      </c>
    </row>
    <row r="131" spans="1:19" s="25" customFormat="1" ht="32" x14ac:dyDescent="0.2">
      <c r="A131" s="27" t="s">
        <v>427</v>
      </c>
      <c r="B131" s="23" t="s">
        <v>419</v>
      </c>
      <c r="C131" s="23" t="s">
        <v>429</v>
      </c>
      <c r="D131" s="23" t="s">
        <v>52</v>
      </c>
      <c r="E131" s="23" t="s">
        <v>53</v>
      </c>
      <c r="F131" s="23" t="s">
        <v>670</v>
      </c>
      <c r="G131" s="23"/>
      <c r="H131" s="26">
        <v>35.56</v>
      </c>
      <c r="I131" s="26"/>
      <c r="J131" s="23" t="s">
        <v>54</v>
      </c>
      <c r="K131" s="24" t="s">
        <v>55</v>
      </c>
      <c r="L131" s="23" t="s">
        <v>55</v>
      </c>
      <c r="M131" s="23" t="s">
        <v>55</v>
      </c>
      <c r="N131" s="23" t="s">
        <v>429</v>
      </c>
      <c r="O131" s="23" t="s">
        <v>430</v>
      </c>
      <c r="P131" s="23" t="s">
        <v>239</v>
      </c>
      <c r="Q131" s="23" t="s">
        <v>240</v>
      </c>
      <c r="R131" s="23" t="s">
        <v>59</v>
      </c>
      <c r="S131" s="23" t="s">
        <v>431</v>
      </c>
    </row>
    <row r="132" spans="1:19" s="25" customFormat="1" ht="32" x14ac:dyDescent="0.2">
      <c r="A132" s="27" t="s">
        <v>427</v>
      </c>
      <c r="B132" s="23" t="s">
        <v>419</v>
      </c>
      <c r="C132" s="23" t="s">
        <v>432</v>
      </c>
      <c r="D132" s="23" t="s">
        <v>52</v>
      </c>
      <c r="E132" s="23" t="s">
        <v>53</v>
      </c>
      <c r="F132" s="23" t="s">
        <v>670</v>
      </c>
      <c r="G132" s="23"/>
      <c r="H132" s="26">
        <v>20.8</v>
      </c>
      <c r="I132" s="26"/>
      <c r="J132" s="23" t="s">
        <v>54</v>
      </c>
      <c r="K132" s="24" t="s">
        <v>55</v>
      </c>
      <c r="L132" s="23" t="s">
        <v>55</v>
      </c>
      <c r="M132" s="23" t="s">
        <v>55</v>
      </c>
      <c r="N132" s="23" t="s">
        <v>432</v>
      </c>
      <c r="O132" s="23" t="s">
        <v>433</v>
      </c>
      <c r="P132" s="23" t="s">
        <v>434</v>
      </c>
      <c r="Q132" s="23" t="s">
        <v>435</v>
      </c>
      <c r="R132" s="23" t="s">
        <v>59</v>
      </c>
      <c r="S132" s="23" t="s">
        <v>436</v>
      </c>
    </row>
    <row r="133" spans="1:19" s="25" customFormat="1" ht="32" x14ac:dyDescent="0.2">
      <c r="A133" s="27" t="s">
        <v>427</v>
      </c>
      <c r="B133" s="23" t="s">
        <v>419</v>
      </c>
      <c r="C133" s="23" t="s">
        <v>297</v>
      </c>
      <c r="D133" s="23" t="s">
        <v>52</v>
      </c>
      <c r="E133" s="23" t="s">
        <v>53</v>
      </c>
      <c r="F133" s="23" t="s">
        <v>670</v>
      </c>
      <c r="G133" s="23"/>
      <c r="H133" s="26">
        <v>22.19</v>
      </c>
      <c r="I133" s="26"/>
      <c r="J133" s="23" t="s">
        <v>54</v>
      </c>
      <c r="K133" s="24" t="s">
        <v>55</v>
      </c>
      <c r="L133" s="23" t="s">
        <v>55</v>
      </c>
      <c r="M133" s="23" t="s">
        <v>55</v>
      </c>
      <c r="N133" s="23" t="s">
        <v>297</v>
      </c>
      <c r="O133" s="23" t="s">
        <v>298</v>
      </c>
      <c r="P133" s="23" t="s">
        <v>125</v>
      </c>
      <c r="Q133" s="23" t="s">
        <v>126</v>
      </c>
      <c r="R133" s="23" t="s">
        <v>59</v>
      </c>
      <c r="S133" s="23" t="s">
        <v>437</v>
      </c>
    </row>
    <row r="134" spans="1:19" s="25" customFormat="1" x14ac:dyDescent="0.2">
      <c r="A134" s="7">
        <v>45754</v>
      </c>
      <c r="B134" s="9"/>
      <c r="C134" s="9" t="s">
        <v>617</v>
      </c>
      <c r="D134" s="10" t="s">
        <v>587</v>
      </c>
      <c r="E134" s="9" t="s">
        <v>588</v>
      </c>
      <c r="F134" s="9" t="s">
        <v>670</v>
      </c>
      <c r="G134" s="9"/>
      <c r="H134" s="11">
        <v>18.11</v>
      </c>
      <c r="I134" s="11"/>
      <c r="J134" s="9"/>
      <c r="K134" s="9"/>
      <c r="L134" s="9"/>
      <c r="M134" s="9"/>
      <c r="N134" s="9"/>
      <c r="O134" s="9"/>
      <c r="P134" s="9"/>
      <c r="Q134" s="9"/>
      <c r="R134" s="9"/>
      <c r="S134" s="9"/>
    </row>
    <row r="135" spans="1:19" s="25" customFormat="1" x14ac:dyDescent="0.2">
      <c r="A135" s="7">
        <v>45754</v>
      </c>
      <c r="B135" s="9"/>
      <c r="C135" s="9" t="s">
        <v>614</v>
      </c>
      <c r="D135" s="10" t="s">
        <v>587</v>
      </c>
      <c r="E135" s="9" t="s">
        <v>588</v>
      </c>
      <c r="F135" s="9" t="s">
        <v>670</v>
      </c>
      <c r="G135" s="9"/>
      <c r="H135" s="11">
        <v>44.67</v>
      </c>
      <c r="I135" s="11"/>
      <c r="J135" s="9"/>
      <c r="K135" s="9"/>
      <c r="L135" s="9"/>
      <c r="M135" s="9"/>
      <c r="N135" s="9"/>
      <c r="O135" s="9"/>
      <c r="P135" s="9"/>
      <c r="Q135" s="9"/>
      <c r="R135" s="9"/>
      <c r="S135" s="9"/>
    </row>
    <row r="136" spans="1:19" s="25" customFormat="1" x14ac:dyDescent="0.2">
      <c r="A136" s="7">
        <v>45754</v>
      </c>
      <c r="B136" s="9"/>
      <c r="C136" s="9" t="s">
        <v>615</v>
      </c>
      <c r="D136" s="10" t="s">
        <v>587</v>
      </c>
      <c r="E136" s="9" t="s">
        <v>588</v>
      </c>
      <c r="F136" s="9" t="s">
        <v>670</v>
      </c>
      <c r="G136" s="9"/>
      <c r="H136" s="11">
        <v>9.31</v>
      </c>
      <c r="I136" s="11"/>
      <c r="J136" s="9"/>
      <c r="K136" s="9"/>
      <c r="L136" s="9"/>
      <c r="M136" s="9"/>
      <c r="N136" s="9"/>
      <c r="O136" s="9"/>
      <c r="P136" s="9"/>
      <c r="Q136" s="9"/>
      <c r="R136" s="9"/>
      <c r="S136" s="9"/>
    </row>
    <row r="137" spans="1:19" s="25" customFormat="1" ht="32" x14ac:dyDescent="0.2">
      <c r="A137" s="27" t="s">
        <v>419</v>
      </c>
      <c r="B137" s="23" t="s">
        <v>392</v>
      </c>
      <c r="C137" s="23" t="s">
        <v>423</v>
      </c>
      <c r="D137" s="23" t="s">
        <v>62</v>
      </c>
      <c r="E137" s="23" t="s">
        <v>63</v>
      </c>
      <c r="F137" s="23" t="s">
        <v>670</v>
      </c>
      <c r="G137" s="23"/>
      <c r="H137" s="26">
        <v>4.5</v>
      </c>
      <c r="I137" s="26"/>
      <c r="J137" s="23" t="s">
        <v>54</v>
      </c>
      <c r="K137" s="24" t="s">
        <v>55</v>
      </c>
      <c r="L137" s="23" t="s">
        <v>55</v>
      </c>
      <c r="M137" s="23" t="s">
        <v>55</v>
      </c>
      <c r="N137" s="23" t="s">
        <v>423</v>
      </c>
      <c r="O137" s="23" t="s">
        <v>424</v>
      </c>
      <c r="P137" s="23" t="s">
        <v>57</v>
      </c>
      <c r="Q137" s="23" t="s">
        <v>58</v>
      </c>
      <c r="R137" s="23" t="s">
        <v>59</v>
      </c>
      <c r="S137" s="23" t="s">
        <v>425</v>
      </c>
    </row>
    <row r="138" spans="1:19" s="25" customFormat="1" ht="32" x14ac:dyDescent="0.2">
      <c r="A138" s="27" t="s">
        <v>419</v>
      </c>
      <c r="B138" s="23" t="s">
        <v>419</v>
      </c>
      <c r="C138" s="23" t="s">
        <v>206</v>
      </c>
      <c r="D138" s="23" t="s">
        <v>52</v>
      </c>
      <c r="E138" s="23" t="s">
        <v>53</v>
      </c>
      <c r="F138" s="23" t="s">
        <v>670</v>
      </c>
      <c r="G138" s="23"/>
      <c r="H138" s="26">
        <v>13.5</v>
      </c>
      <c r="I138" s="26"/>
      <c r="J138" s="23" t="s">
        <v>54</v>
      </c>
      <c r="K138" s="24" t="s">
        <v>55</v>
      </c>
      <c r="L138" s="23" t="s">
        <v>55</v>
      </c>
      <c r="M138" s="23" t="s">
        <v>55</v>
      </c>
      <c r="N138" s="23" t="s">
        <v>206</v>
      </c>
      <c r="O138" s="23" t="s">
        <v>207</v>
      </c>
      <c r="P138" s="23" t="s">
        <v>208</v>
      </c>
      <c r="Q138" s="23" t="s">
        <v>209</v>
      </c>
      <c r="R138" s="23" t="s">
        <v>59</v>
      </c>
      <c r="S138" s="23" t="s">
        <v>426</v>
      </c>
    </row>
    <row r="139" spans="1:19" s="25" customFormat="1" ht="32" x14ac:dyDescent="0.2">
      <c r="A139" s="27" t="s">
        <v>392</v>
      </c>
      <c r="B139" s="23" t="s">
        <v>392</v>
      </c>
      <c r="C139" s="23" t="s">
        <v>393</v>
      </c>
      <c r="D139" s="23" t="s">
        <v>52</v>
      </c>
      <c r="E139" s="23" t="s">
        <v>53</v>
      </c>
      <c r="F139" s="23" t="s">
        <v>670</v>
      </c>
      <c r="G139" s="23"/>
      <c r="H139" s="26">
        <v>15.1</v>
      </c>
      <c r="I139" s="26"/>
      <c r="J139" s="23" t="s">
        <v>54</v>
      </c>
      <c r="K139" s="24" t="s">
        <v>55</v>
      </c>
      <c r="L139" s="23" t="s">
        <v>55</v>
      </c>
      <c r="M139" s="23" t="s">
        <v>55</v>
      </c>
      <c r="N139" s="23" t="s">
        <v>393</v>
      </c>
      <c r="O139" s="23" t="s">
        <v>394</v>
      </c>
      <c r="P139" s="23" t="s">
        <v>57</v>
      </c>
      <c r="Q139" s="23" t="s">
        <v>58</v>
      </c>
      <c r="R139" s="23" t="s">
        <v>59</v>
      </c>
      <c r="S139" s="23" t="s">
        <v>395</v>
      </c>
    </row>
    <row r="140" spans="1:19" s="25" customFormat="1" ht="32" x14ac:dyDescent="0.2">
      <c r="A140" s="27" t="s">
        <v>392</v>
      </c>
      <c r="B140" s="23" t="s">
        <v>392</v>
      </c>
      <c r="C140" s="23" t="s">
        <v>405</v>
      </c>
      <c r="D140" s="23" t="s">
        <v>62</v>
      </c>
      <c r="E140" s="23" t="s">
        <v>63</v>
      </c>
      <c r="F140" s="23" t="s">
        <v>670</v>
      </c>
      <c r="G140" s="23"/>
      <c r="H140" s="26">
        <v>22.5</v>
      </c>
      <c r="I140" s="26"/>
      <c r="J140" s="23" t="s">
        <v>54</v>
      </c>
      <c r="K140" s="24" t="s">
        <v>55</v>
      </c>
      <c r="L140" s="23" t="s">
        <v>55</v>
      </c>
      <c r="M140" s="23" t="s">
        <v>55</v>
      </c>
      <c r="N140" s="23" t="s">
        <v>405</v>
      </c>
      <c r="O140" s="23" t="s">
        <v>406</v>
      </c>
      <c r="P140" s="23" t="s">
        <v>244</v>
      </c>
      <c r="Q140" s="23" t="s">
        <v>240</v>
      </c>
      <c r="R140" s="23" t="s">
        <v>59</v>
      </c>
      <c r="S140" s="23" t="s">
        <v>407</v>
      </c>
    </row>
    <row r="141" spans="1:19" s="25" customFormat="1" ht="32" x14ac:dyDescent="0.2">
      <c r="A141" s="27" t="s">
        <v>392</v>
      </c>
      <c r="B141" s="23" t="s">
        <v>384</v>
      </c>
      <c r="C141" s="23" t="s">
        <v>414</v>
      </c>
      <c r="D141" s="23" t="s">
        <v>52</v>
      </c>
      <c r="E141" s="23" t="s">
        <v>53</v>
      </c>
      <c r="F141" s="23" t="s">
        <v>670</v>
      </c>
      <c r="G141" s="23"/>
      <c r="H141" s="26">
        <v>39</v>
      </c>
      <c r="I141" s="26"/>
      <c r="J141" s="23" t="s">
        <v>54</v>
      </c>
      <c r="K141" s="24" t="s">
        <v>55</v>
      </c>
      <c r="L141" s="23" t="s">
        <v>55</v>
      </c>
      <c r="M141" s="23" t="s">
        <v>55</v>
      </c>
      <c r="N141" s="23" t="s">
        <v>414</v>
      </c>
      <c r="O141" s="23" t="s">
        <v>415</v>
      </c>
      <c r="P141" s="23" t="s">
        <v>125</v>
      </c>
      <c r="Q141" s="23" t="s">
        <v>126</v>
      </c>
      <c r="R141" s="23" t="s">
        <v>59</v>
      </c>
      <c r="S141" s="23" t="s">
        <v>416</v>
      </c>
    </row>
    <row r="142" spans="1:19" s="25" customFormat="1" ht="48" x14ac:dyDescent="0.2">
      <c r="A142" s="27" t="s">
        <v>392</v>
      </c>
      <c r="B142" s="23" t="s">
        <v>339</v>
      </c>
      <c r="C142" s="23" t="s">
        <v>197</v>
      </c>
      <c r="D142" s="23" t="s">
        <v>52</v>
      </c>
      <c r="E142" s="23" t="s">
        <v>53</v>
      </c>
      <c r="F142" s="23" t="s">
        <v>670</v>
      </c>
      <c r="G142" s="23"/>
      <c r="H142" s="26">
        <v>2.27</v>
      </c>
      <c r="I142" s="26"/>
      <c r="J142" s="23" t="s">
        <v>54</v>
      </c>
      <c r="K142" s="24" t="s">
        <v>55</v>
      </c>
      <c r="L142" s="23" t="s">
        <v>55</v>
      </c>
      <c r="M142" s="23" t="s">
        <v>198</v>
      </c>
      <c r="N142" s="23" t="s">
        <v>197</v>
      </c>
      <c r="O142" s="23" t="s">
        <v>199</v>
      </c>
      <c r="P142" s="23" t="s">
        <v>172</v>
      </c>
      <c r="Q142" s="23" t="s">
        <v>173</v>
      </c>
      <c r="R142" s="23" t="s">
        <v>59</v>
      </c>
      <c r="S142" s="23" t="s">
        <v>417</v>
      </c>
    </row>
    <row r="143" spans="1:19" s="25" customFormat="1" ht="48" x14ac:dyDescent="0.2">
      <c r="A143" s="27" t="s">
        <v>392</v>
      </c>
      <c r="B143" s="23" t="s">
        <v>339</v>
      </c>
      <c r="C143" s="23" t="s">
        <v>197</v>
      </c>
      <c r="D143" s="23" t="s">
        <v>52</v>
      </c>
      <c r="E143" s="23" t="s">
        <v>53</v>
      </c>
      <c r="F143" s="23" t="s">
        <v>670</v>
      </c>
      <c r="G143" s="23"/>
      <c r="H143" s="26">
        <v>162.33000000000001</v>
      </c>
      <c r="I143" s="26"/>
      <c r="J143" s="23" t="s">
        <v>54</v>
      </c>
      <c r="K143" s="24" t="s">
        <v>55</v>
      </c>
      <c r="L143" s="23" t="s">
        <v>55</v>
      </c>
      <c r="M143" s="23" t="s">
        <v>198</v>
      </c>
      <c r="N143" s="23" t="s">
        <v>197</v>
      </c>
      <c r="O143" s="23" t="s">
        <v>199</v>
      </c>
      <c r="P143" s="23" t="s">
        <v>172</v>
      </c>
      <c r="Q143" s="23" t="s">
        <v>173</v>
      </c>
      <c r="R143" s="23" t="s">
        <v>59</v>
      </c>
      <c r="S143" s="23" t="s">
        <v>418</v>
      </c>
    </row>
    <row r="144" spans="1:19" s="25" customFormat="1" ht="48" x14ac:dyDescent="0.2">
      <c r="A144" s="27" t="s">
        <v>384</v>
      </c>
      <c r="B144" s="23" t="s">
        <v>362</v>
      </c>
      <c r="C144" s="23" t="s">
        <v>102</v>
      </c>
      <c r="D144" s="23" t="s">
        <v>52</v>
      </c>
      <c r="E144" s="23" t="s">
        <v>53</v>
      </c>
      <c r="F144" s="23" t="s">
        <v>670</v>
      </c>
      <c r="G144" s="23"/>
      <c r="H144" s="26">
        <v>14.33</v>
      </c>
      <c r="I144" s="26"/>
      <c r="J144" s="23" t="s">
        <v>54</v>
      </c>
      <c r="K144" s="24" t="s">
        <v>55</v>
      </c>
      <c r="L144" s="23" t="s">
        <v>55</v>
      </c>
      <c r="M144" s="23" t="s">
        <v>103</v>
      </c>
      <c r="N144" s="23" t="s">
        <v>102</v>
      </c>
      <c r="O144" s="23" t="s">
        <v>104</v>
      </c>
      <c r="P144" s="23" t="s">
        <v>57</v>
      </c>
      <c r="Q144" s="23" t="s">
        <v>58</v>
      </c>
      <c r="R144" s="23" t="s">
        <v>59</v>
      </c>
      <c r="S144" s="23" t="s">
        <v>386</v>
      </c>
    </row>
    <row r="145" spans="1:19" s="25" customFormat="1" ht="48" x14ac:dyDescent="0.2">
      <c r="A145" s="27" t="s">
        <v>384</v>
      </c>
      <c r="B145" s="23" t="s">
        <v>315</v>
      </c>
      <c r="C145" s="23" t="s">
        <v>197</v>
      </c>
      <c r="D145" s="23" t="s">
        <v>52</v>
      </c>
      <c r="E145" s="23" t="s">
        <v>53</v>
      </c>
      <c r="F145" s="23" t="s">
        <v>670</v>
      </c>
      <c r="G145" s="23"/>
      <c r="H145" s="26">
        <v>6.77</v>
      </c>
      <c r="I145" s="26"/>
      <c r="J145" s="23" t="s">
        <v>54</v>
      </c>
      <c r="K145" s="24" t="s">
        <v>55</v>
      </c>
      <c r="L145" s="23" t="s">
        <v>55</v>
      </c>
      <c r="M145" s="23" t="s">
        <v>198</v>
      </c>
      <c r="N145" s="23" t="s">
        <v>197</v>
      </c>
      <c r="O145" s="23" t="s">
        <v>199</v>
      </c>
      <c r="P145" s="23" t="s">
        <v>172</v>
      </c>
      <c r="Q145" s="23" t="s">
        <v>173</v>
      </c>
      <c r="R145" s="23" t="s">
        <v>59</v>
      </c>
      <c r="S145" s="23" t="s">
        <v>387</v>
      </c>
    </row>
    <row r="146" spans="1:19" s="25" customFormat="1" ht="48" x14ac:dyDescent="0.2">
      <c r="A146" s="27" t="s">
        <v>384</v>
      </c>
      <c r="B146" s="23" t="s">
        <v>315</v>
      </c>
      <c r="C146" s="23" t="s">
        <v>197</v>
      </c>
      <c r="D146" s="23" t="s">
        <v>52</v>
      </c>
      <c r="E146" s="23" t="s">
        <v>53</v>
      </c>
      <c r="F146" s="23" t="s">
        <v>670</v>
      </c>
      <c r="G146" s="23"/>
      <c r="H146" s="26">
        <v>8.61</v>
      </c>
      <c r="I146" s="26"/>
      <c r="J146" s="23" t="s">
        <v>54</v>
      </c>
      <c r="K146" s="24" t="s">
        <v>55</v>
      </c>
      <c r="L146" s="23" t="s">
        <v>55</v>
      </c>
      <c r="M146" s="23" t="s">
        <v>198</v>
      </c>
      <c r="N146" s="23" t="s">
        <v>197</v>
      </c>
      <c r="O146" s="23" t="s">
        <v>199</v>
      </c>
      <c r="P146" s="23" t="s">
        <v>172</v>
      </c>
      <c r="Q146" s="23" t="s">
        <v>173</v>
      </c>
      <c r="R146" s="23" t="s">
        <v>59</v>
      </c>
      <c r="S146" s="23" t="s">
        <v>388</v>
      </c>
    </row>
    <row r="147" spans="1:19" s="25" customFormat="1" ht="32" x14ac:dyDescent="0.2">
      <c r="A147" s="27" t="s">
        <v>384</v>
      </c>
      <c r="B147" s="23" t="s">
        <v>362</v>
      </c>
      <c r="C147" s="23" t="s">
        <v>389</v>
      </c>
      <c r="D147" s="23" t="s">
        <v>52</v>
      </c>
      <c r="E147" s="23" t="s">
        <v>53</v>
      </c>
      <c r="F147" s="23" t="s">
        <v>670</v>
      </c>
      <c r="G147" s="23"/>
      <c r="H147" s="26">
        <v>38.369999999999997</v>
      </c>
      <c r="I147" s="26"/>
      <c r="J147" s="23" t="s">
        <v>54</v>
      </c>
      <c r="K147" s="24" t="s">
        <v>55</v>
      </c>
      <c r="L147" s="23" t="s">
        <v>55</v>
      </c>
      <c r="M147" s="23" t="s">
        <v>55</v>
      </c>
      <c r="N147" s="23" t="s">
        <v>389</v>
      </c>
      <c r="O147" s="23" t="s">
        <v>390</v>
      </c>
      <c r="P147" s="23" t="s">
        <v>125</v>
      </c>
      <c r="Q147" s="23" t="s">
        <v>126</v>
      </c>
      <c r="R147" s="23" t="s">
        <v>59</v>
      </c>
      <c r="S147" s="23" t="s">
        <v>391</v>
      </c>
    </row>
    <row r="148" spans="1:19" s="25" customFormat="1" x14ac:dyDescent="0.2">
      <c r="A148" s="7">
        <v>45757</v>
      </c>
      <c r="B148" s="9"/>
      <c r="C148" s="9" t="s">
        <v>611</v>
      </c>
      <c r="D148" s="10" t="s">
        <v>587</v>
      </c>
      <c r="E148" s="9" t="s">
        <v>588</v>
      </c>
      <c r="F148" s="9" t="s">
        <v>670</v>
      </c>
      <c r="G148" s="9"/>
      <c r="H148" s="11">
        <v>126.66</v>
      </c>
      <c r="I148" s="11"/>
      <c r="J148" s="9"/>
      <c r="K148" s="9"/>
      <c r="L148" s="9"/>
      <c r="M148" s="9"/>
      <c r="N148" s="9"/>
      <c r="O148" s="9"/>
      <c r="P148" s="9"/>
      <c r="Q148" s="9"/>
      <c r="R148" s="9"/>
      <c r="S148" s="9"/>
    </row>
    <row r="149" spans="1:19" s="25" customFormat="1" ht="32" x14ac:dyDescent="0.2">
      <c r="A149" s="27" t="s">
        <v>362</v>
      </c>
      <c r="B149" s="23" t="s">
        <v>362</v>
      </c>
      <c r="C149" s="23" t="s">
        <v>164</v>
      </c>
      <c r="D149" s="23" t="s">
        <v>62</v>
      </c>
      <c r="E149" s="23" t="s">
        <v>63</v>
      </c>
      <c r="F149" s="23" t="s">
        <v>670</v>
      </c>
      <c r="G149" s="23"/>
      <c r="H149" s="26">
        <v>32.24</v>
      </c>
      <c r="I149" s="26"/>
      <c r="J149" s="23" t="s">
        <v>54</v>
      </c>
      <c r="K149" s="24" t="s">
        <v>55</v>
      </c>
      <c r="L149" s="23" t="s">
        <v>55</v>
      </c>
      <c r="M149" s="23" t="s">
        <v>55</v>
      </c>
      <c r="N149" s="23" t="s">
        <v>164</v>
      </c>
      <c r="O149" s="23" t="s">
        <v>165</v>
      </c>
      <c r="P149" s="23" t="s">
        <v>166</v>
      </c>
      <c r="Q149" s="23" t="s">
        <v>167</v>
      </c>
      <c r="R149" s="23" t="s">
        <v>59</v>
      </c>
      <c r="S149" s="23" t="s">
        <v>364</v>
      </c>
    </row>
    <row r="150" spans="1:19" s="25" customFormat="1" x14ac:dyDescent="0.2">
      <c r="A150" s="7">
        <v>45757</v>
      </c>
      <c r="B150" s="9"/>
      <c r="C150" s="9" t="s">
        <v>612</v>
      </c>
      <c r="D150" s="10" t="s">
        <v>587</v>
      </c>
      <c r="E150" s="9" t="s">
        <v>588</v>
      </c>
      <c r="F150" s="9" t="s">
        <v>670</v>
      </c>
      <c r="G150" s="9"/>
      <c r="H150" s="11">
        <v>40</v>
      </c>
      <c r="I150" s="11"/>
      <c r="J150" s="9"/>
      <c r="K150" s="9"/>
      <c r="L150" s="9"/>
      <c r="M150" s="9"/>
      <c r="N150" s="9"/>
      <c r="O150" s="9"/>
      <c r="P150" s="9"/>
      <c r="Q150" s="9"/>
      <c r="R150" s="9"/>
      <c r="S150" s="9"/>
    </row>
    <row r="151" spans="1:19" s="25" customFormat="1" ht="32" x14ac:dyDescent="0.2">
      <c r="A151" s="27" t="s">
        <v>362</v>
      </c>
      <c r="B151" s="23" t="s">
        <v>339</v>
      </c>
      <c r="C151" s="23" t="s">
        <v>370</v>
      </c>
      <c r="D151" s="23" t="s">
        <v>52</v>
      </c>
      <c r="E151" s="23" t="s">
        <v>53</v>
      </c>
      <c r="F151" s="23" t="s">
        <v>670</v>
      </c>
      <c r="G151" s="23"/>
      <c r="H151" s="26">
        <v>37.85</v>
      </c>
      <c r="I151" s="26"/>
      <c r="J151" s="23" t="s">
        <v>54</v>
      </c>
      <c r="K151" s="24" t="s">
        <v>55</v>
      </c>
      <c r="L151" s="23" t="s">
        <v>55</v>
      </c>
      <c r="M151" s="23" t="s">
        <v>55</v>
      </c>
      <c r="N151" s="23" t="s">
        <v>370</v>
      </c>
      <c r="O151" s="23" t="s">
        <v>371</v>
      </c>
      <c r="P151" s="23" t="s">
        <v>57</v>
      </c>
      <c r="Q151" s="23" t="s">
        <v>58</v>
      </c>
      <c r="R151" s="23" t="s">
        <v>59</v>
      </c>
      <c r="S151" s="23" t="s">
        <v>372</v>
      </c>
    </row>
    <row r="152" spans="1:19" s="25" customFormat="1" ht="32" x14ac:dyDescent="0.2">
      <c r="A152" s="27" t="s">
        <v>362</v>
      </c>
      <c r="B152" s="23" t="s">
        <v>339</v>
      </c>
      <c r="C152" s="23" t="s">
        <v>370</v>
      </c>
      <c r="D152" s="23" t="s">
        <v>52</v>
      </c>
      <c r="E152" s="23" t="s">
        <v>53</v>
      </c>
      <c r="F152" s="23" t="s">
        <v>670</v>
      </c>
      <c r="G152" s="23"/>
      <c r="H152" s="26">
        <v>72.849999999999994</v>
      </c>
      <c r="I152" s="26"/>
      <c r="J152" s="23" t="s">
        <v>54</v>
      </c>
      <c r="K152" s="24" t="s">
        <v>55</v>
      </c>
      <c r="L152" s="23" t="s">
        <v>55</v>
      </c>
      <c r="M152" s="23" t="s">
        <v>55</v>
      </c>
      <c r="N152" s="23" t="s">
        <v>370</v>
      </c>
      <c r="O152" s="23" t="s">
        <v>371</v>
      </c>
      <c r="P152" s="23" t="s">
        <v>57</v>
      </c>
      <c r="Q152" s="23" t="s">
        <v>58</v>
      </c>
      <c r="R152" s="23" t="s">
        <v>59</v>
      </c>
      <c r="S152" s="23" t="s">
        <v>373</v>
      </c>
    </row>
    <row r="153" spans="1:19" s="25" customFormat="1" ht="16" x14ac:dyDescent="0.2">
      <c r="A153" s="7">
        <v>45757</v>
      </c>
      <c r="B153" s="9"/>
      <c r="C153" s="9" t="s">
        <v>609</v>
      </c>
      <c r="D153" s="10" t="s">
        <v>587</v>
      </c>
      <c r="E153" s="9" t="s">
        <v>588</v>
      </c>
      <c r="F153" s="23" t="s">
        <v>670</v>
      </c>
      <c r="G153" s="9"/>
      <c r="H153" s="11">
        <v>6</v>
      </c>
      <c r="I153" s="11"/>
      <c r="J153" s="9"/>
      <c r="K153" s="9"/>
      <c r="L153" s="9"/>
      <c r="M153" s="9"/>
      <c r="N153" s="9"/>
      <c r="O153" s="9"/>
      <c r="P153" s="9"/>
      <c r="Q153" s="9"/>
      <c r="R153" s="9"/>
      <c r="S153" s="9"/>
    </row>
    <row r="154" spans="1:19" s="25" customFormat="1" ht="16" x14ac:dyDescent="0.2">
      <c r="A154" s="7">
        <v>45757</v>
      </c>
      <c r="B154" s="9"/>
      <c r="C154" s="9" t="s">
        <v>610</v>
      </c>
      <c r="D154" s="10" t="s">
        <v>587</v>
      </c>
      <c r="E154" s="9" t="s">
        <v>588</v>
      </c>
      <c r="F154" s="23" t="s">
        <v>670</v>
      </c>
      <c r="G154" s="9"/>
      <c r="H154" s="11">
        <v>4.0599999999999996</v>
      </c>
      <c r="I154" s="11"/>
      <c r="J154" s="9"/>
      <c r="K154" s="9"/>
      <c r="L154" s="9"/>
      <c r="M154" s="9"/>
      <c r="N154" s="9"/>
      <c r="O154" s="9"/>
      <c r="P154" s="9"/>
      <c r="Q154" s="9"/>
      <c r="R154" s="9"/>
      <c r="S154" s="9"/>
    </row>
    <row r="155" spans="1:19" s="25" customFormat="1" ht="32" x14ac:dyDescent="0.2">
      <c r="A155" s="27" t="s">
        <v>339</v>
      </c>
      <c r="B155" s="23" t="s">
        <v>315</v>
      </c>
      <c r="C155" s="23" t="s">
        <v>340</v>
      </c>
      <c r="D155" s="23" t="s">
        <v>52</v>
      </c>
      <c r="E155" s="23" t="s">
        <v>53</v>
      </c>
      <c r="F155" s="23" t="s">
        <v>670</v>
      </c>
      <c r="G155" s="23"/>
      <c r="H155" s="26">
        <v>5.95</v>
      </c>
      <c r="I155" s="26"/>
      <c r="J155" s="23" t="s">
        <v>54</v>
      </c>
      <c r="K155" s="24" t="s">
        <v>55</v>
      </c>
      <c r="L155" s="23" t="s">
        <v>55</v>
      </c>
      <c r="M155" s="23" t="s">
        <v>55</v>
      </c>
      <c r="N155" s="23" t="s">
        <v>340</v>
      </c>
      <c r="O155" s="23" t="s">
        <v>341</v>
      </c>
      <c r="P155" s="23" t="s">
        <v>342</v>
      </c>
      <c r="Q155" s="23" t="s">
        <v>343</v>
      </c>
      <c r="R155" s="23" t="s">
        <v>59</v>
      </c>
      <c r="S155" s="23" t="s">
        <v>344</v>
      </c>
    </row>
    <row r="156" spans="1:19" s="25" customFormat="1" ht="32" x14ac:dyDescent="0.2">
      <c r="A156" s="27" t="s">
        <v>339</v>
      </c>
      <c r="B156" s="23" t="s">
        <v>300</v>
      </c>
      <c r="C156" s="23" t="s">
        <v>345</v>
      </c>
      <c r="D156" s="23" t="s">
        <v>52</v>
      </c>
      <c r="E156" s="23" t="s">
        <v>53</v>
      </c>
      <c r="F156" s="23" t="s">
        <v>670</v>
      </c>
      <c r="G156" s="23"/>
      <c r="H156" s="26">
        <v>7.5</v>
      </c>
      <c r="I156" s="26"/>
      <c r="J156" s="23" t="s">
        <v>54</v>
      </c>
      <c r="K156" s="24" t="s">
        <v>55</v>
      </c>
      <c r="L156" s="23" t="s">
        <v>55</v>
      </c>
      <c r="M156" s="23" t="s">
        <v>55</v>
      </c>
      <c r="N156" s="23" t="s">
        <v>345</v>
      </c>
      <c r="O156" s="23" t="s">
        <v>346</v>
      </c>
      <c r="P156" s="23" t="s">
        <v>342</v>
      </c>
      <c r="Q156" s="23" t="s">
        <v>343</v>
      </c>
      <c r="R156" s="23" t="s">
        <v>59</v>
      </c>
      <c r="S156" s="23" t="s">
        <v>347</v>
      </c>
    </row>
    <row r="157" spans="1:19" s="25" customFormat="1" ht="32" x14ac:dyDescent="0.2">
      <c r="A157" s="27" t="s">
        <v>339</v>
      </c>
      <c r="B157" s="23" t="s">
        <v>300</v>
      </c>
      <c r="C157" s="23" t="s">
        <v>345</v>
      </c>
      <c r="D157" s="23" t="s">
        <v>52</v>
      </c>
      <c r="E157" s="23" t="s">
        <v>53</v>
      </c>
      <c r="F157" s="23" t="s">
        <v>670</v>
      </c>
      <c r="G157" s="23"/>
      <c r="H157" s="26">
        <v>16.7</v>
      </c>
      <c r="I157" s="26"/>
      <c r="J157" s="23" t="s">
        <v>54</v>
      </c>
      <c r="K157" s="24" t="s">
        <v>55</v>
      </c>
      <c r="L157" s="23" t="s">
        <v>55</v>
      </c>
      <c r="M157" s="23" t="s">
        <v>55</v>
      </c>
      <c r="N157" s="23" t="s">
        <v>345</v>
      </c>
      <c r="O157" s="23" t="s">
        <v>346</v>
      </c>
      <c r="P157" s="23" t="s">
        <v>342</v>
      </c>
      <c r="Q157" s="23" t="s">
        <v>343</v>
      </c>
      <c r="R157" s="23" t="s">
        <v>59</v>
      </c>
      <c r="S157" s="23" t="s">
        <v>348</v>
      </c>
    </row>
    <row r="158" spans="1:19" s="25" customFormat="1" ht="32" x14ac:dyDescent="0.2">
      <c r="A158" s="27" t="s">
        <v>339</v>
      </c>
      <c r="B158" s="23" t="s">
        <v>300</v>
      </c>
      <c r="C158" s="23" t="s">
        <v>345</v>
      </c>
      <c r="D158" s="23" t="s">
        <v>52</v>
      </c>
      <c r="E158" s="23" t="s">
        <v>485</v>
      </c>
      <c r="F158" s="23" t="s">
        <v>670</v>
      </c>
      <c r="G158" s="23"/>
      <c r="H158" s="26">
        <v>32.4</v>
      </c>
      <c r="I158" s="26"/>
      <c r="J158" s="23" t="s">
        <v>54</v>
      </c>
      <c r="K158" s="24" t="s">
        <v>55</v>
      </c>
      <c r="L158" s="23" t="s">
        <v>55</v>
      </c>
      <c r="M158" s="23" t="s">
        <v>55</v>
      </c>
      <c r="N158" s="23" t="s">
        <v>345</v>
      </c>
      <c r="O158" s="23" t="s">
        <v>346</v>
      </c>
      <c r="P158" s="23" t="s">
        <v>342</v>
      </c>
      <c r="Q158" s="23" t="s">
        <v>343</v>
      </c>
      <c r="R158" s="23" t="s">
        <v>59</v>
      </c>
      <c r="S158" s="23" t="s">
        <v>546</v>
      </c>
    </row>
    <row r="159" spans="1:19" s="25" customFormat="1" ht="32" x14ac:dyDescent="0.2">
      <c r="A159" s="27" t="s">
        <v>339</v>
      </c>
      <c r="B159" s="23" t="s">
        <v>315</v>
      </c>
      <c r="C159" s="23" t="s">
        <v>547</v>
      </c>
      <c r="D159" s="23" t="s">
        <v>52</v>
      </c>
      <c r="E159" s="23" t="s">
        <v>485</v>
      </c>
      <c r="F159" s="23" t="s">
        <v>670</v>
      </c>
      <c r="G159" s="23"/>
      <c r="H159" s="26">
        <v>16.45</v>
      </c>
      <c r="I159" s="26"/>
      <c r="J159" s="23" t="s">
        <v>54</v>
      </c>
      <c r="K159" s="24" t="s">
        <v>55</v>
      </c>
      <c r="L159" s="23" t="s">
        <v>55</v>
      </c>
      <c r="M159" s="23" t="s">
        <v>55</v>
      </c>
      <c r="N159" s="23" t="s">
        <v>547</v>
      </c>
      <c r="O159" s="23" t="s">
        <v>441</v>
      </c>
      <c r="P159" s="23" t="s">
        <v>548</v>
      </c>
      <c r="Q159" s="23" t="s">
        <v>58</v>
      </c>
      <c r="R159" s="23" t="s">
        <v>59</v>
      </c>
      <c r="S159" s="23" t="s">
        <v>549</v>
      </c>
    </row>
    <row r="160" spans="1:19" s="25" customFormat="1" ht="48" x14ac:dyDescent="0.2">
      <c r="A160" s="27" t="s">
        <v>339</v>
      </c>
      <c r="B160" s="23" t="s">
        <v>315</v>
      </c>
      <c r="C160" s="23" t="s">
        <v>349</v>
      </c>
      <c r="D160" s="23" t="s">
        <v>52</v>
      </c>
      <c r="E160" s="23" t="s">
        <v>53</v>
      </c>
      <c r="F160" s="23" t="s">
        <v>670</v>
      </c>
      <c r="G160" s="23"/>
      <c r="H160" s="26">
        <v>10.6</v>
      </c>
      <c r="I160" s="26"/>
      <c r="J160" s="23" t="s">
        <v>54</v>
      </c>
      <c r="K160" s="24" t="s">
        <v>55</v>
      </c>
      <c r="L160" s="23" t="s">
        <v>55</v>
      </c>
      <c r="M160" s="23" t="s">
        <v>55</v>
      </c>
      <c r="N160" s="23" t="s">
        <v>349</v>
      </c>
      <c r="O160" s="23" t="s">
        <v>350</v>
      </c>
      <c r="P160" s="23" t="s">
        <v>351</v>
      </c>
      <c r="Q160" s="23" t="s">
        <v>352</v>
      </c>
      <c r="R160" s="23" t="s">
        <v>59</v>
      </c>
      <c r="S160" s="23" t="s">
        <v>353</v>
      </c>
    </row>
    <row r="161" spans="1:19" s="25" customFormat="1" ht="32" x14ac:dyDescent="0.2">
      <c r="A161" s="27" t="s">
        <v>339</v>
      </c>
      <c r="B161" s="23" t="s">
        <v>315</v>
      </c>
      <c r="C161" s="23" t="s">
        <v>550</v>
      </c>
      <c r="D161" s="23" t="s">
        <v>52</v>
      </c>
      <c r="E161" s="23" t="s">
        <v>485</v>
      </c>
      <c r="F161" s="23" t="s">
        <v>670</v>
      </c>
      <c r="G161" s="23"/>
      <c r="H161" s="26">
        <v>17.600000000000001</v>
      </c>
      <c r="I161" s="26"/>
      <c r="J161" s="23" t="s">
        <v>54</v>
      </c>
      <c r="K161" s="24" t="s">
        <v>55</v>
      </c>
      <c r="L161" s="23" t="s">
        <v>55</v>
      </c>
      <c r="M161" s="23" t="s">
        <v>55</v>
      </c>
      <c r="N161" s="23" t="s">
        <v>550</v>
      </c>
      <c r="O161" s="23" t="s">
        <v>551</v>
      </c>
      <c r="P161" s="23" t="s">
        <v>55</v>
      </c>
      <c r="Q161" s="23" t="s">
        <v>552</v>
      </c>
      <c r="R161" s="23" t="s">
        <v>539</v>
      </c>
      <c r="S161" s="23" t="s">
        <v>553</v>
      </c>
    </row>
    <row r="162" spans="1:19" s="25" customFormat="1" x14ac:dyDescent="0.2">
      <c r="A162" s="7">
        <v>45758</v>
      </c>
      <c r="B162" s="9"/>
      <c r="C162" s="9" t="s">
        <v>605</v>
      </c>
      <c r="D162" s="10" t="s">
        <v>587</v>
      </c>
      <c r="E162" s="9" t="s">
        <v>588</v>
      </c>
      <c r="F162" s="9" t="s">
        <v>670</v>
      </c>
      <c r="G162" s="9"/>
      <c r="H162" s="11">
        <v>60.53</v>
      </c>
      <c r="I162" s="11"/>
      <c r="J162" s="9"/>
      <c r="K162" s="9"/>
      <c r="L162" s="9"/>
      <c r="M162" s="9"/>
      <c r="N162" s="9"/>
      <c r="O162" s="9"/>
      <c r="P162" s="9"/>
      <c r="Q162" s="9"/>
      <c r="R162" s="9"/>
      <c r="S162" s="9"/>
    </row>
    <row r="163" spans="1:19" s="25" customFormat="1" x14ac:dyDescent="0.2">
      <c r="A163" s="7">
        <v>45758</v>
      </c>
      <c r="B163" s="9"/>
      <c r="C163" s="9" t="s">
        <v>648</v>
      </c>
      <c r="D163" s="10" t="s">
        <v>624</v>
      </c>
      <c r="E163" s="9" t="s">
        <v>625</v>
      </c>
      <c r="F163" s="9" t="s">
        <v>670</v>
      </c>
      <c r="G163" s="9"/>
      <c r="H163" s="11">
        <v>15.75</v>
      </c>
      <c r="I163" s="11"/>
      <c r="J163" s="9" t="s">
        <v>626</v>
      </c>
      <c r="K163" s="9"/>
      <c r="L163" s="9">
        <v>-4133.16</v>
      </c>
      <c r="M163" s="9" t="s">
        <v>649</v>
      </c>
      <c r="N163" s="9" t="s">
        <v>650</v>
      </c>
      <c r="O163" s="9"/>
      <c r="P163" s="9"/>
      <c r="Q163" s="9"/>
      <c r="R163" s="9"/>
      <c r="S163" s="9"/>
    </row>
    <row r="164" spans="1:19" s="25" customFormat="1" x14ac:dyDescent="0.2">
      <c r="A164" s="7">
        <v>45758</v>
      </c>
      <c r="B164" s="9"/>
      <c r="C164" s="9" t="s">
        <v>606</v>
      </c>
      <c r="D164" s="10" t="s">
        <v>587</v>
      </c>
      <c r="E164" s="9" t="s">
        <v>588</v>
      </c>
      <c r="F164" s="9" t="s">
        <v>670</v>
      </c>
      <c r="G164" s="9"/>
      <c r="H164" s="11">
        <v>28.57</v>
      </c>
      <c r="I164" s="11"/>
      <c r="J164" s="9"/>
      <c r="K164" s="9"/>
      <c r="L164" s="9"/>
      <c r="M164" s="9"/>
      <c r="N164" s="9"/>
      <c r="O164" s="9"/>
      <c r="P164" s="9"/>
      <c r="Q164" s="9"/>
      <c r="R164" s="9"/>
      <c r="S164" s="9"/>
    </row>
    <row r="165" spans="1:19" s="25" customFormat="1" x14ac:dyDescent="0.2">
      <c r="A165" s="7">
        <v>45758</v>
      </c>
      <c r="B165" s="9"/>
      <c r="C165" s="9" t="s">
        <v>606</v>
      </c>
      <c r="D165" s="10" t="s">
        <v>587</v>
      </c>
      <c r="E165" s="9" t="s">
        <v>588</v>
      </c>
      <c r="F165" s="9" t="s">
        <v>670</v>
      </c>
      <c r="G165" s="9"/>
      <c r="H165" s="11">
        <v>28.57</v>
      </c>
      <c r="I165" s="11"/>
      <c r="J165" s="9"/>
      <c r="K165" s="9"/>
      <c r="L165" s="9"/>
      <c r="M165" s="9"/>
      <c r="N165" s="9"/>
      <c r="O165" s="9"/>
      <c r="P165" s="9"/>
      <c r="Q165" s="9"/>
      <c r="R165" s="9"/>
      <c r="S165" s="9"/>
    </row>
    <row r="166" spans="1:19" s="25" customFormat="1" x14ac:dyDescent="0.2">
      <c r="A166" s="7">
        <v>45758</v>
      </c>
      <c r="B166" s="9"/>
      <c r="C166" s="9" t="s">
        <v>607</v>
      </c>
      <c r="D166" s="10" t="s">
        <v>587</v>
      </c>
      <c r="E166" s="9" t="s">
        <v>588</v>
      </c>
      <c r="F166" s="9" t="s">
        <v>670</v>
      </c>
      <c r="G166" s="9"/>
      <c r="H166" s="11">
        <v>8.66</v>
      </c>
      <c r="I166" s="11"/>
      <c r="J166" s="9"/>
      <c r="K166" s="9"/>
      <c r="L166" s="9"/>
      <c r="M166" s="9"/>
      <c r="N166" s="9"/>
      <c r="O166" s="9"/>
      <c r="P166" s="9"/>
      <c r="Q166" s="9"/>
      <c r="R166" s="9"/>
      <c r="S166" s="9"/>
    </row>
    <row r="167" spans="1:19" s="25" customFormat="1" x14ac:dyDescent="0.2">
      <c r="A167" s="7">
        <v>45758</v>
      </c>
      <c r="B167" s="9"/>
      <c r="C167" s="9" t="s">
        <v>608</v>
      </c>
      <c r="D167" s="10" t="s">
        <v>587</v>
      </c>
      <c r="E167" s="9" t="s">
        <v>588</v>
      </c>
      <c r="F167" s="9" t="s">
        <v>670</v>
      </c>
      <c r="G167" s="9"/>
      <c r="H167" s="11">
        <v>11.42</v>
      </c>
      <c r="I167" s="11"/>
      <c r="J167" s="9"/>
      <c r="K167" s="9"/>
      <c r="L167" s="9"/>
      <c r="M167" s="9"/>
      <c r="N167" s="9"/>
      <c r="O167" s="9"/>
      <c r="P167" s="9"/>
      <c r="Q167" s="9"/>
      <c r="R167" s="9"/>
      <c r="S167" s="9"/>
    </row>
    <row r="168" spans="1:19" s="25" customFormat="1" ht="48" x14ac:dyDescent="0.2">
      <c r="A168" s="27" t="s">
        <v>339</v>
      </c>
      <c r="B168" s="23" t="s">
        <v>315</v>
      </c>
      <c r="C168" s="23" t="s">
        <v>102</v>
      </c>
      <c r="D168" s="23" t="s">
        <v>52</v>
      </c>
      <c r="E168" s="23" t="s">
        <v>53</v>
      </c>
      <c r="F168" s="23" t="s">
        <v>670</v>
      </c>
      <c r="G168" s="23"/>
      <c r="H168" s="26">
        <v>19.88</v>
      </c>
      <c r="I168" s="26"/>
      <c r="J168" s="23" t="s">
        <v>54</v>
      </c>
      <c r="K168" s="24" t="s">
        <v>55</v>
      </c>
      <c r="L168" s="23" t="s">
        <v>55</v>
      </c>
      <c r="M168" s="23" t="s">
        <v>103</v>
      </c>
      <c r="N168" s="23" t="s">
        <v>102</v>
      </c>
      <c r="O168" s="23" t="s">
        <v>104</v>
      </c>
      <c r="P168" s="23" t="s">
        <v>57</v>
      </c>
      <c r="Q168" s="23" t="s">
        <v>58</v>
      </c>
      <c r="R168" s="23" t="s">
        <v>59</v>
      </c>
      <c r="S168" s="23" t="s">
        <v>355</v>
      </c>
    </row>
    <row r="169" spans="1:19" s="25" customFormat="1" ht="32" x14ac:dyDescent="0.2">
      <c r="A169" s="27" t="s">
        <v>315</v>
      </c>
      <c r="B169" s="23" t="s">
        <v>306</v>
      </c>
      <c r="C169" s="23" t="s">
        <v>316</v>
      </c>
      <c r="D169" s="23" t="s">
        <v>52</v>
      </c>
      <c r="E169" s="23" t="s">
        <v>53</v>
      </c>
      <c r="F169" s="23" t="s">
        <v>670</v>
      </c>
      <c r="G169" s="23"/>
      <c r="H169" s="26">
        <v>14.14</v>
      </c>
      <c r="I169" s="26"/>
      <c r="J169" s="23" t="s">
        <v>54</v>
      </c>
      <c r="K169" s="24" t="s">
        <v>55</v>
      </c>
      <c r="L169" s="23" t="s">
        <v>55</v>
      </c>
      <c r="M169" s="23" t="s">
        <v>55</v>
      </c>
      <c r="N169" s="23" t="s">
        <v>316</v>
      </c>
      <c r="O169" s="23" t="s">
        <v>317</v>
      </c>
      <c r="P169" s="23" t="s">
        <v>318</v>
      </c>
      <c r="Q169" s="23" t="s">
        <v>319</v>
      </c>
      <c r="R169" s="23" t="s">
        <v>59</v>
      </c>
      <c r="S169" s="23" t="s">
        <v>320</v>
      </c>
    </row>
    <row r="170" spans="1:19" s="25" customFormat="1" ht="32" x14ac:dyDescent="0.2">
      <c r="A170" s="27" t="s">
        <v>315</v>
      </c>
      <c r="B170" s="23" t="s">
        <v>315</v>
      </c>
      <c r="C170" s="23" t="s">
        <v>321</v>
      </c>
      <c r="D170" s="23" t="s">
        <v>62</v>
      </c>
      <c r="E170" s="23" t="s">
        <v>63</v>
      </c>
      <c r="F170" s="23" t="s">
        <v>670</v>
      </c>
      <c r="G170" s="23"/>
      <c r="H170" s="26">
        <v>8</v>
      </c>
      <c r="I170" s="26"/>
      <c r="J170" s="23" t="s">
        <v>54</v>
      </c>
      <c r="K170" s="24" t="s">
        <v>55</v>
      </c>
      <c r="L170" s="23" t="s">
        <v>55</v>
      </c>
      <c r="M170" s="23" t="s">
        <v>55</v>
      </c>
      <c r="N170" s="23" t="s">
        <v>321</v>
      </c>
      <c r="O170" s="23" t="s">
        <v>322</v>
      </c>
      <c r="P170" s="23" t="s">
        <v>303</v>
      </c>
      <c r="Q170" s="23" t="s">
        <v>304</v>
      </c>
      <c r="R170" s="23" t="s">
        <v>59</v>
      </c>
      <c r="S170" s="23" t="s">
        <v>323</v>
      </c>
    </row>
    <row r="171" spans="1:19" s="25" customFormat="1" ht="32" x14ac:dyDescent="0.2">
      <c r="A171" s="27" t="s">
        <v>315</v>
      </c>
      <c r="B171" s="23" t="s">
        <v>315</v>
      </c>
      <c r="C171" s="23" t="s">
        <v>324</v>
      </c>
      <c r="D171" s="23" t="s">
        <v>52</v>
      </c>
      <c r="E171" s="23" t="s">
        <v>53</v>
      </c>
      <c r="F171" s="23" t="s">
        <v>670</v>
      </c>
      <c r="G171" s="23"/>
      <c r="H171" s="26">
        <v>39.5</v>
      </c>
      <c r="I171" s="26"/>
      <c r="J171" s="23" t="s">
        <v>54</v>
      </c>
      <c r="K171" s="24" t="s">
        <v>55</v>
      </c>
      <c r="L171" s="23" t="s">
        <v>55</v>
      </c>
      <c r="M171" s="23" t="s">
        <v>55</v>
      </c>
      <c r="N171" s="23" t="s">
        <v>324</v>
      </c>
      <c r="O171" s="23" t="s">
        <v>325</v>
      </c>
      <c r="P171" s="23" t="s">
        <v>303</v>
      </c>
      <c r="Q171" s="23" t="s">
        <v>304</v>
      </c>
      <c r="R171" s="23" t="s">
        <v>59</v>
      </c>
      <c r="S171" s="23" t="s">
        <v>326</v>
      </c>
    </row>
    <row r="172" spans="1:19" s="25" customFormat="1" ht="32" x14ac:dyDescent="0.2">
      <c r="A172" s="27" t="s">
        <v>315</v>
      </c>
      <c r="B172" s="23" t="s">
        <v>315</v>
      </c>
      <c r="C172" s="23" t="s">
        <v>327</v>
      </c>
      <c r="D172" s="23" t="s">
        <v>52</v>
      </c>
      <c r="E172" s="23" t="s">
        <v>53</v>
      </c>
      <c r="F172" s="23" t="s">
        <v>670</v>
      </c>
      <c r="G172" s="23"/>
      <c r="H172" s="26">
        <v>11</v>
      </c>
      <c r="I172" s="26"/>
      <c r="J172" s="23" t="s">
        <v>54</v>
      </c>
      <c r="K172" s="24" t="s">
        <v>55</v>
      </c>
      <c r="L172" s="23" t="s">
        <v>55</v>
      </c>
      <c r="M172" s="23" t="s">
        <v>55</v>
      </c>
      <c r="N172" s="23" t="s">
        <v>327</v>
      </c>
      <c r="O172" s="23" t="s">
        <v>328</v>
      </c>
      <c r="P172" s="23" t="s">
        <v>303</v>
      </c>
      <c r="Q172" s="23" t="s">
        <v>304</v>
      </c>
      <c r="R172" s="23" t="s">
        <v>59</v>
      </c>
      <c r="S172" s="23" t="s">
        <v>329</v>
      </c>
    </row>
    <row r="173" spans="1:19" s="25" customFormat="1" ht="32" x14ac:dyDescent="0.2">
      <c r="A173" s="27" t="s">
        <v>315</v>
      </c>
      <c r="B173" s="23" t="s">
        <v>315</v>
      </c>
      <c r="C173" s="23" t="s">
        <v>327</v>
      </c>
      <c r="D173" s="23" t="s">
        <v>52</v>
      </c>
      <c r="E173" s="23" t="s">
        <v>53</v>
      </c>
      <c r="F173" s="23" t="s">
        <v>670</v>
      </c>
      <c r="G173" s="23"/>
      <c r="H173" s="26">
        <v>11</v>
      </c>
      <c r="I173" s="26"/>
      <c r="J173" s="23" t="s">
        <v>54</v>
      </c>
      <c r="K173" s="24" t="s">
        <v>55</v>
      </c>
      <c r="L173" s="23" t="s">
        <v>55</v>
      </c>
      <c r="M173" s="23" t="s">
        <v>55</v>
      </c>
      <c r="N173" s="23" t="s">
        <v>327</v>
      </c>
      <c r="O173" s="23" t="s">
        <v>328</v>
      </c>
      <c r="P173" s="23" t="s">
        <v>303</v>
      </c>
      <c r="Q173" s="23" t="s">
        <v>304</v>
      </c>
      <c r="R173" s="23" t="s">
        <v>59</v>
      </c>
      <c r="S173" s="23" t="s">
        <v>330</v>
      </c>
    </row>
    <row r="174" spans="1:19" s="25" customFormat="1" ht="32" x14ac:dyDescent="0.2">
      <c r="A174" s="27" t="s">
        <v>315</v>
      </c>
      <c r="B174" s="23" t="s">
        <v>300</v>
      </c>
      <c r="C174" s="23" t="s">
        <v>541</v>
      </c>
      <c r="D174" s="23" t="s">
        <v>52</v>
      </c>
      <c r="E174" s="23" t="s">
        <v>485</v>
      </c>
      <c r="F174" s="23" t="s">
        <v>670</v>
      </c>
      <c r="G174" s="23"/>
      <c r="H174" s="26">
        <v>110.03</v>
      </c>
      <c r="I174" s="26"/>
      <c r="J174" s="23" t="s">
        <v>54</v>
      </c>
      <c r="K174" s="24" t="s">
        <v>55</v>
      </c>
      <c r="L174" s="23" t="s">
        <v>55</v>
      </c>
      <c r="M174" s="23" t="s">
        <v>55</v>
      </c>
      <c r="N174" s="23" t="s">
        <v>541</v>
      </c>
      <c r="O174" s="23" t="s">
        <v>542</v>
      </c>
      <c r="P174" s="23" t="s">
        <v>543</v>
      </c>
      <c r="Q174" s="23" t="s">
        <v>544</v>
      </c>
      <c r="R174" s="23" t="s">
        <v>84</v>
      </c>
      <c r="S174" s="23" t="s">
        <v>545</v>
      </c>
    </row>
    <row r="175" spans="1:19" s="25" customFormat="1" ht="32" x14ac:dyDescent="0.2">
      <c r="A175" s="27" t="s">
        <v>315</v>
      </c>
      <c r="B175" s="23" t="s">
        <v>300</v>
      </c>
      <c r="C175" s="23" t="s">
        <v>331</v>
      </c>
      <c r="D175" s="23" t="s">
        <v>52</v>
      </c>
      <c r="E175" s="23" t="s">
        <v>53</v>
      </c>
      <c r="F175" s="23" t="s">
        <v>670</v>
      </c>
      <c r="G175" s="23"/>
      <c r="H175" s="26">
        <v>13.99</v>
      </c>
      <c r="I175" s="26"/>
      <c r="J175" s="23" t="s">
        <v>54</v>
      </c>
      <c r="K175" s="24" t="s">
        <v>55</v>
      </c>
      <c r="L175" s="23" t="s">
        <v>55</v>
      </c>
      <c r="M175" s="23" t="s">
        <v>55</v>
      </c>
      <c r="N175" s="23" t="s">
        <v>331</v>
      </c>
      <c r="O175" s="23" t="s">
        <v>332</v>
      </c>
      <c r="P175" s="23" t="s">
        <v>333</v>
      </c>
      <c r="Q175" s="23" t="s">
        <v>334</v>
      </c>
      <c r="R175" s="23" t="s">
        <v>267</v>
      </c>
      <c r="S175" s="23" t="s">
        <v>335</v>
      </c>
    </row>
    <row r="176" spans="1:19" s="25" customFormat="1" ht="32" x14ac:dyDescent="0.2">
      <c r="A176" s="27" t="s">
        <v>315</v>
      </c>
      <c r="B176" s="23" t="s">
        <v>306</v>
      </c>
      <c r="C176" s="23" t="s">
        <v>336</v>
      </c>
      <c r="D176" s="23" t="s">
        <v>52</v>
      </c>
      <c r="E176" s="23" t="s">
        <v>53</v>
      </c>
      <c r="F176" s="23" t="s">
        <v>670</v>
      </c>
      <c r="G176" s="23"/>
      <c r="H176" s="26">
        <v>36.4</v>
      </c>
      <c r="I176" s="26"/>
      <c r="J176" s="23" t="s">
        <v>54</v>
      </c>
      <c r="K176" s="24" t="s">
        <v>55</v>
      </c>
      <c r="L176" s="23" t="s">
        <v>55</v>
      </c>
      <c r="M176" s="23" t="s">
        <v>55</v>
      </c>
      <c r="N176" s="23" t="s">
        <v>336</v>
      </c>
      <c r="O176" s="23" t="s">
        <v>337</v>
      </c>
      <c r="P176" s="23" t="s">
        <v>303</v>
      </c>
      <c r="Q176" s="23" t="s">
        <v>304</v>
      </c>
      <c r="R176" s="23" t="s">
        <v>59</v>
      </c>
      <c r="S176" s="23" t="s">
        <v>338</v>
      </c>
    </row>
    <row r="177" spans="1:19" s="25" customFormat="1" ht="32" x14ac:dyDescent="0.2">
      <c r="A177" s="27" t="s">
        <v>300</v>
      </c>
      <c r="B177" s="23" t="s">
        <v>306</v>
      </c>
      <c r="C177" s="23" t="s">
        <v>307</v>
      </c>
      <c r="D177" s="23" t="s">
        <v>52</v>
      </c>
      <c r="E177" s="23" t="s">
        <v>53</v>
      </c>
      <c r="F177" s="23" t="s">
        <v>670</v>
      </c>
      <c r="G177" s="23"/>
      <c r="H177" s="26">
        <v>26.38</v>
      </c>
      <c r="I177" s="26"/>
      <c r="J177" s="23" t="s">
        <v>54</v>
      </c>
      <c r="K177" s="24" t="s">
        <v>55</v>
      </c>
      <c r="L177" s="23" t="s">
        <v>55</v>
      </c>
      <c r="M177" s="23" t="s">
        <v>55</v>
      </c>
      <c r="N177" s="23" t="s">
        <v>307</v>
      </c>
      <c r="O177" s="23" t="s">
        <v>308</v>
      </c>
      <c r="P177" s="23" t="s">
        <v>309</v>
      </c>
      <c r="Q177" s="23" t="s">
        <v>240</v>
      </c>
      <c r="R177" s="23" t="s">
        <v>59</v>
      </c>
      <c r="S177" s="23" t="s">
        <v>310</v>
      </c>
    </row>
    <row r="178" spans="1:19" s="25" customFormat="1" ht="48" x14ac:dyDescent="0.2">
      <c r="A178" s="27" t="s">
        <v>300</v>
      </c>
      <c r="B178" s="23" t="s">
        <v>306</v>
      </c>
      <c r="C178" s="23" t="s">
        <v>102</v>
      </c>
      <c r="D178" s="23" t="s">
        <v>52</v>
      </c>
      <c r="E178" s="23" t="s">
        <v>53</v>
      </c>
      <c r="F178" s="23" t="s">
        <v>670</v>
      </c>
      <c r="G178" s="23"/>
      <c r="H178" s="26">
        <v>8.51</v>
      </c>
      <c r="I178" s="26"/>
      <c r="J178" s="23" t="s">
        <v>54</v>
      </c>
      <c r="K178" s="24" t="s">
        <v>55</v>
      </c>
      <c r="L178" s="23" t="s">
        <v>55</v>
      </c>
      <c r="M178" s="23" t="s">
        <v>103</v>
      </c>
      <c r="N178" s="23" t="s">
        <v>102</v>
      </c>
      <c r="O178" s="23" t="s">
        <v>104</v>
      </c>
      <c r="P178" s="23" t="s">
        <v>57</v>
      </c>
      <c r="Q178" s="23" t="s">
        <v>58</v>
      </c>
      <c r="R178" s="23" t="s">
        <v>59</v>
      </c>
      <c r="S178" s="23" t="s">
        <v>311</v>
      </c>
    </row>
    <row r="179" spans="1:19" s="25" customFormat="1" ht="48" x14ac:dyDescent="0.2">
      <c r="A179" s="27" t="s">
        <v>300</v>
      </c>
      <c r="B179" s="23" t="s">
        <v>306</v>
      </c>
      <c r="C179" s="23" t="s">
        <v>102</v>
      </c>
      <c r="D179" s="23" t="s">
        <v>52</v>
      </c>
      <c r="E179" s="23" t="s">
        <v>53</v>
      </c>
      <c r="F179" s="23" t="s">
        <v>670</v>
      </c>
      <c r="G179" s="23"/>
      <c r="H179" s="26">
        <v>18.73</v>
      </c>
      <c r="I179" s="26"/>
      <c r="J179" s="23" t="s">
        <v>54</v>
      </c>
      <c r="K179" s="24" t="s">
        <v>55</v>
      </c>
      <c r="L179" s="23" t="s">
        <v>55</v>
      </c>
      <c r="M179" s="23" t="s">
        <v>103</v>
      </c>
      <c r="N179" s="23" t="s">
        <v>102</v>
      </c>
      <c r="O179" s="23" t="s">
        <v>104</v>
      </c>
      <c r="P179" s="23" t="s">
        <v>57</v>
      </c>
      <c r="Q179" s="23" t="s">
        <v>58</v>
      </c>
      <c r="R179" s="23" t="s">
        <v>59</v>
      </c>
      <c r="S179" s="23" t="s">
        <v>312</v>
      </c>
    </row>
    <row r="180" spans="1:19" s="25" customFormat="1" ht="48" x14ac:dyDescent="0.2">
      <c r="A180" s="27" t="s">
        <v>300</v>
      </c>
      <c r="B180" s="23" t="s">
        <v>276</v>
      </c>
      <c r="C180" s="23" t="s">
        <v>197</v>
      </c>
      <c r="D180" s="23" t="s">
        <v>52</v>
      </c>
      <c r="E180" s="23" t="s">
        <v>53</v>
      </c>
      <c r="F180" s="23" t="s">
        <v>670</v>
      </c>
      <c r="G180" s="23"/>
      <c r="H180" s="26">
        <v>35.56</v>
      </c>
      <c r="I180" s="26"/>
      <c r="J180" s="23" t="s">
        <v>54</v>
      </c>
      <c r="K180" s="24" t="s">
        <v>55</v>
      </c>
      <c r="L180" s="23" t="s">
        <v>55</v>
      </c>
      <c r="M180" s="23" t="s">
        <v>198</v>
      </c>
      <c r="N180" s="23" t="s">
        <v>197</v>
      </c>
      <c r="O180" s="23" t="s">
        <v>199</v>
      </c>
      <c r="P180" s="23" t="s">
        <v>172</v>
      </c>
      <c r="Q180" s="23" t="s">
        <v>173</v>
      </c>
      <c r="R180" s="23" t="s">
        <v>59</v>
      </c>
      <c r="S180" s="23" t="s">
        <v>313</v>
      </c>
    </row>
    <row r="181" spans="1:19" s="25" customFormat="1" ht="48" x14ac:dyDescent="0.2">
      <c r="A181" s="27" t="s">
        <v>300</v>
      </c>
      <c r="B181" s="23" t="s">
        <v>276</v>
      </c>
      <c r="C181" s="23" t="s">
        <v>197</v>
      </c>
      <c r="D181" s="23" t="s">
        <v>52</v>
      </c>
      <c r="E181" s="23" t="s">
        <v>53</v>
      </c>
      <c r="F181" s="23" t="s">
        <v>670</v>
      </c>
      <c r="G181" s="23"/>
      <c r="H181" s="26">
        <v>75.97</v>
      </c>
      <c r="I181" s="26"/>
      <c r="J181" s="23" t="s">
        <v>54</v>
      </c>
      <c r="K181" s="24" t="s">
        <v>55</v>
      </c>
      <c r="L181" s="23" t="s">
        <v>55</v>
      </c>
      <c r="M181" s="23" t="s">
        <v>198</v>
      </c>
      <c r="N181" s="23" t="s">
        <v>197</v>
      </c>
      <c r="O181" s="23" t="s">
        <v>199</v>
      </c>
      <c r="P181" s="23" t="s">
        <v>172</v>
      </c>
      <c r="Q181" s="23" t="s">
        <v>173</v>
      </c>
      <c r="R181" s="23" t="s">
        <v>59</v>
      </c>
      <c r="S181" s="23" t="s">
        <v>314</v>
      </c>
    </row>
    <row r="182" spans="1:19" s="25" customFormat="1" x14ac:dyDescent="0.2">
      <c r="A182" s="7">
        <v>45761</v>
      </c>
      <c r="B182" s="9"/>
      <c r="C182" s="9" t="s">
        <v>602</v>
      </c>
      <c r="D182" s="10" t="s">
        <v>587</v>
      </c>
      <c r="E182" s="9" t="s">
        <v>588</v>
      </c>
      <c r="F182" s="9" t="s">
        <v>670</v>
      </c>
      <c r="G182" s="9"/>
      <c r="H182" s="11">
        <v>183.88</v>
      </c>
      <c r="I182" s="11"/>
      <c r="J182" s="9"/>
      <c r="K182" s="9"/>
      <c r="L182" s="9"/>
      <c r="M182" s="9"/>
      <c r="N182" s="9"/>
      <c r="O182" s="9"/>
      <c r="P182" s="9"/>
      <c r="Q182" s="9"/>
      <c r="R182" s="9"/>
      <c r="S182" s="9"/>
    </row>
    <row r="183" spans="1:19" s="25" customFormat="1" x14ac:dyDescent="0.2">
      <c r="A183" s="7">
        <v>45761</v>
      </c>
      <c r="B183" s="9"/>
      <c r="C183" s="9" t="s">
        <v>603</v>
      </c>
      <c r="D183" s="10" t="s">
        <v>587</v>
      </c>
      <c r="E183" s="9" t="s">
        <v>588</v>
      </c>
      <c r="F183" s="9" t="s">
        <v>670</v>
      </c>
      <c r="G183" s="9"/>
      <c r="H183" s="11">
        <v>18.97</v>
      </c>
      <c r="I183" s="11"/>
      <c r="J183" s="9"/>
      <c r="K183" s="9"/>
      <c r="L183" s="9"/>
      <c r="M183" s="9"/>
      <c r="N183" s="9"/>
      <c r="O183" s="9"/>
      <c r="P183" s="9"/>
      <c r="Q183" s="9"/>
      <c r="R183" s="9"/>
      <c r="S183" s="9"/>
    </row>
    <row r="184" spans="1:19" s="25" customFormat="1" x14ac:dyDescent="0.2">
      <c r="A184" s="7">
        <v>45761</v>
      </c>
      <c r="B184" s="9"/>
      <c r="C184" s="9" t="s">
        <v>601</v>
      </c>
      <c r="D184" s="10" t="s">
        <v>587</v>
      </c>
      <c r="E184" s="9" t="s">
        <v>588</v>
      </c>
      <c r="F184" s="9" t="s">
        <v>670</v>
      </c>
      <c r="G184" s="9"/>
      <c r="H184" s="11">
        <v>21.99</v>
      </c>
      <c r="I184" s="11"/>
      <c r="J184" s="9"/>
      <c r="K184" s="9"/>
      <c r="L184" s="9"/>
      <c r="M184" s="9"/>
      <c r="N184" s="9"/>
      <c r="O184" s="9"/>
      <c r="P184" s="9"/>
      <c r="Q184" s="9"/>
      <c r="R184" s="9"/>
      <c r="S184" s="9"/>
    </row>
    <row r="185" spans="1:19" s="25" customFormat="1" x14ac:dyDescent="0.2">
      <c r="A185" s="7">
        <v>45761</v>
      </c>
      <c r="B185" s="9"/>
      <c r="C185" s="9" t="s">
        <v>604</v>
      </c>
      <c r="D185" s="10" t="s">
        <v>587</v>
      </c>
      <c r="E185" s="9" t="s">
        <v>588</v>
      </c>
      <c r="F185" s="9" t="s">
        <v>670</v>
      </c>
      <c r="G185" s="9"/>
      <c r="H185" s="11">
        <v>12.06</v>
      </c>
      <c r="I185" s="11"/>
      <c r="J185" s="9"/>
      <c r="K185" s="9"/>
      <c r="L185" s="9"/>
      <c r="M185" s="9"/>
      <c r="N185" s="9"/>
      <c r="O185" s="9"/>
      <c r="P185" s="9"/>
      <c r="Q185" s="9"/>
      <c r="R185" s="9"/>
      <c r="S185" s="9"/>
    </row>
    <row r="186" spans="1:19" s="25" customFormat="1" x14ac:dyDescent="0.2">
      <c r="A186" s="7">
        <v>45762</v>
      </c>
      <c r="B186" s="9"/>
      <c r="C186" s="9" t="s">
        <v>600</v>
      </c>
      <c r="D186" s="10" t="s">
        <v>587</v>
      </c>
      <c r="E186" s="9" t="s">
        <v>588</v>
      </c>
      <c r="F186" s="9" t="s">
        <v>670</v>
      </c>
      <c r="G186" s="9"/>
      <c r="H186" s="11">
        <v>6</v>
      </c>
      <c r="I186" s="11"/>
      <c r="J186" s="9"/>
      <c r="K186" s="9"/>
      <c r="L186" s="9"/>
      <c r="M186" s="9"/>
      <c r="N186" s="9"/>
      <c r="O186" s="9"/>
      <c r="P186" s="9"/>
      <c r="Q186" s="9"/>
      <c r="R186" s="9"/>
      <c r="S186" s="9"/>
    </row>
    <row r="187" spans="1:19" s="25" customFormat="1" ht="48" x14ac:dyDescent="0.2">
      <c r="A187" s="27" t="s">
        <v>288</v>
      </c>
      <c r="B187" s="23" t="s">
        <v>276</v>
      </c>
      <c r="C187" s="23" t="s">
        <v>102</v>
      </c>
      <c r="D187" s="23" t="s">
        <v>52</v>
      </c>
      <c r="E187" s="23" t="s">
        <v>53</v>
      </c>
      <c r="F187" s="23" t="s">
        <v>670</v>
      </c>
      <c r="G187" s="23"/>
      <c r="H187" s="26">
        <v>22.75</v>
      </c>
      <c r="I187" s="26"/>
      <c r="J187" s="23" t="s">
        <v>54</v>
      </c>
      <c r="K187" s="24" t="s">
        <v>55</v>
      </c>
      <c r="L187" s="23" t="s">
        <v>55</v>
      </c>
      <c r="M187" s="23" t="s">
        <v>103</v>
      </c>
      <c r="N187" s="23" t="s">
        <v>102</v>
      </c>
      <c r="O187" s="23" t="s">
        <v>104</v>
      </c>
      <c r="P187" s="23" t="s">
        <v>57</v>
      </c>
      <c r="Q187" s="23" t="s">
        <v>58</v>
      </c>
      <c r="R187" s="23" t="s">
        <v>59</v>
      </c>
      <c r="S187" s="23" t="s">
        <v>292</v>
      </c>
    </row>
    <row r="188" spans="1:19" ht="48" x14ac:dyDescent="0.2">
      <c r="A188" s="28" t="s">
        <v>288</v>
      </c>
      <c r="B188" s="29" t="s">
        <v>260</v>
      </c>
      <c r="C188" s="29" t="s">
        <v>197</v>
      </c>
      <c r="D188" s="29" t="s">
        <v>52</v>
      </c>
      <c r="E188" s="29" t="s">
        <v>53</v>
      </c>
      <c r="F188" s="23" t="s">
        <v>670</v>
      </c>
      <c r="G188" s="33"/>
      <c r="H188" s="30">
        <v>20.85</v>
      </c>
      <c r="I188" s="30"/>
      <c r="J188" s="29" t="s">
        <v>54</v>
      </c>
      <c r="K188" s="31" t="s">
        <v>55</v>
      </c>
      <c r="L188" s="29" t="s">
        <v>55</v>
      </c>
      <c r="M188" s="29" t="s">
        <v>198</v>
      </c>
      <c r="N188" s="29" t="s">
        <v>197</v>
      </c>
      <c r="O188" s="29" t="s">
        <v>199</v>
      </c>
      <c r="P188" s="29" t="s">
        <v>172</v>
      </c>
      <c r="Q188" s="29" t="s">
        <v>173</v>
      </c>
      <c r="R188" s="29" t="s">
        <v>59</v>
      </c>
      <c r="S188" s="29" t="s">
        <v>293</v>
      </c>
    </row>
    <row r="189" spans="1:19" ht="48" x14ac:dyDescent="0.2">
      <c r="A189" s="28" t="s">
        <v>288</v>
      </c>
      <c r="B189" s="29" t="s">
        <v>271</v>
      </c>
      <c r="C189" s="29" t="s">
        <v>197</v>
      </c>
      <c r="D189" s="29" t="s">
        <v>52</v>
      </c>
      <c r="E189" s="29" t="s">
        <v>53</v>
      </c>
      <c r="F189" s="23" t="s">
        <v>670</v>
      </c>
      <c r="G189" s="33"/>
      <c r="H189" s="30">
        <v>22.23</v>
      </c>
      <c r="I189" s="30"/>
      <c r="J189" s="29" t="s">
        <v>54</v>
      </c>
      <c r="K189" s="31" t="s">
        <v>55</v>
      </c>
      <c r="L189" s="29" t="s">
        <v>55</v>
      </c>
      <c r="M189" s="29" t="s">
        <v>198</v>
      </c>
      <c r="N189" s="29" t="s">
        <v>197</v>
      </c>
      <c r="O189" s="29" t="s">
        <v>199</v>
      </c>
      <c r="P189" s="29" t="s">
        <v>172</v>
      </c>
      <c r="Q189" s="29" t="s">
        <v>173</v>
      </c>
      <c r="R189" s="29" t="s">
        <v>59</v>
      </c>
      <c r="S189" s="29" t="s">
        <v>294</v>
      </c>
    </row>
    <row r="190" spans="1:19" ht="48" x14ac:dyDescent="0.2">
      <c r="A190" s="28" t="s">
        <v>288</v>
      </c>
      <c r="B190" s="29" t="s">
        <v>260</v>
      </c>
      <c r="C190" s="29" t="s">
        <v>197</v>
      </c>
      <c r="D190" s="29" t="s">
        <v>52</v>
      </c>
      <c r="E190" s="29" t="s">
        <v>53</v>
      </c>
      <c r="F190" s="23" t="s">
        <v>670</v>
      </c>
      <c r="G190" s="33"/>
      <c r="H190" s="30">
        <v>53.22</v>
      </c>
      <c r="I190" s="30"/>
      <c r="J190" s="29" t="s">
        <v>54</v>
      </c>
      <c r="K190" s="31" t="s">
        <v>55</v>
      </c>
      <c r="L190" s="29" t="s">
        <v>55</v>
      </c>
      <c r="M190" s="29" t="s">
        <v>198</v>
      </c>
      <c r="N190" s="29" t="s">
        <v>197</v>
      </c>
      <c r="O190" s="29" t="s">
        <v>199</v>
      </c>
      <c r="P190" s="29" t="s">
        <v>172</v>
      </c>
      <c r="Q190" s="29" t="s">
        <v>173</v>
      </c>
      <c r="R190" s="29" t="s">
        <v>59</v>
      </c>
      <c r="S190" s="29" t="s">
        <v>295</v>
      </c>
    </row>
    <row r="191" spans="1:19" ht="32" x14ac:dyDescent="0.2">
      <c r="A191" s="28" t="s">
        <v>288</v>
      </c>
      <c r="B191" s="29" t="s">
        <v>276</v>
      </c>
      <c r="C191" s="29" t="s">
        <v>106</v>
      </c>
      <c r="D191" s="29" t="s">
        <v>62</v>
      </c>
      <c r="E191" s="29" t="s">
        <v>63</v>
      </c>
      <c r="F191" s="29" t="s">
        <v>670</v>
      </c>
      <c r="G191" s="29"/>
      <c r="H191" s="30">
        <v>100</v>
      </c>
      <c r="I191" s="30"/>
      <c r="J191" s="29" t="s">
        <v>54</v>
      </c>
      <c r="K191" s="31" t="s">
        <v>55</v>
      </c>
      <c r="L191" s="29" t="s">
        <v>55</v>
      </c>
      <c r="M191" s="29" t="s">
        <v>55</v>
      </c>
      <c r="N191" s="29" t="s">
        <v>106</v>
      </c>
      <c r="O191" s="29" t="s">
        <v>107</v>
      </c>
      <c r="P191" s="29" t="s">
        <v>108</v>
      </c>
      <c r="Q191" s="29" t="s">
        <v>109</v>
      </c>
      <c r="R191" s="29" t="s">
        <v>59</v>
      </c>
      <c r="S191" s="29" t="s">
        <v>296</v>
      </c>
    </row>
    <row r="192" spans="1:19" ht="32" x14ac:dyDescent="0.2">
      <c r="A192" s="28" t="s">
        <v>288</v>
      </c>
      <c r="B192" s="29" t="s">
        <v>271</v>
      </c>
      <c r="C192" s="29" t="s">
        <v>297</v>
      </c>
      <c r="D192" s="29" t="s">
        <v>52</v>
      </c>
      <c r="E192" s="29" t="s">
        <v>53</v>
      </c>
      <c r="F192" s="29" t="s">
        <v>670</v>
      </c>
      <c r="G192" s="29"/>
      <c r="H192" s="30">
        <v>31.93</v>
      </c>
      <c r="I192" s="30"/>
      <c r="J192" s="29" t="s">
        <v>54</v>
      </c>
      <c r="K192" s="31" t="s">
        <v>55</v>
      </c>
      <c r="L192" s="29" t="s">
        <v>55</v>
      </c>
      <c r="M192" s="29" t="s">
        <v>55</v>
      </c>
      <c r="N192" s="29" t="s">
        <v>297</v>
      </c>
      <c r="O192" s="29" t="s">
        <v>298</v>
      </c>
      <c r="P192" s="29" t="s">
        <v>125</v>
      </c>
      <c r="Q192" s="29" t="s">
        <v>126</v>
      </c>
      <c r="R192" s="29" t="s">
        <v>59</v>
      </c>
      <c r="S192" s="29" t="s">
        <v>299</v>
      </c>
    </row>
    <row r="193" spans="1:19" ht="32" x14ac:dyDescent="0.2">
      <c r="A193" s="28" t="s">
        <v>276</v>
      </c>
      <c r="B193" s="29" t="s">
        <v>276</v>
      </c>
      <c r="C193" s="29" t="s">
        <v>170</v>
      </c>
      <c r="D193" s="29" t="s">
        <v>62</v>
      </c>
      <c r="E193" s="29" t="s">
        <v>63</v>
      </c>
      <c r="F193" s="33" t="s">
        <v>670</v>
      </c>
      <c r="G193" s="29"/>
      <c r="H193" s="30">
        <v>1.55</v>
      </c>
      <c r="I193" s="30"/>
      <c r="J193" s="29" t="s">
        <v>54</v>
      </c>
      <c r="K193" s="31" t="s">
        <v>55</v>
      </c>
      <c r="L193" s="29" t="s">
        <v>55</v>
      </c>
      <c r="M193" s="29" t="s">
        <v>55</v>
      </c>
      <c r="N193" s="29" t="s">
        <v>170</v>
      </c>
      <c r="O193" s="29" t="s">
        <v>171</v>
      </c>
      <c r="P193" s="29" t="s">
        <v>172</v>
      </c>
      <c r="Q193" s="29" t="s">
        <v>173</v>
      </c>
      <c r="R193" s="29" t="s">
        <v>59</v>
      </c>
      <c r="S193" s="29" t="s">
        <v>281</v>
      </c>
    </row>
    <row r="194" spans="1:19" ht="32" x14ac:dyDescent="0.2">
      <c r="A194" s="28" t="s">
        <v>276</v>
      </c>
      <c r="B194" s="29" t="s">
        <v>276</v>
      </c>
      <c r="C194" s="29" t="s">
        <v>170</v>
      </c>
      <c r="D194" s="29" t="s">
        <v>62</v>
      </c>
      <c r="E194" s="29" t="s">
        <v>63</v>
      </c>
      <c r="F194" s="29" t="s">
        <v>670</v>
      </c>
      <c r="G194" s="29"/>
      <c r="H194" s="30">
        <v>9.83</v>
      </c>
      <c r="I194" s="30"/>
      <c r="J194" s="29" t="s">
        <v>54</v>
      </c>
      <c r="K194" s="31" t="s">
        <v>55</v>
      </c>
      <c r="L194" s="29" t="s">
        <v>55</v>
      </c>
      <c r="M194" s="29" t="s">
        <v>55</v>
      </c>
      <c r="N194" s="29" t="s">
        <v>170</v>
      </c>
      <c r="O194" s="29" t="s">
        <v>171</v>
      </c>
      <c r="P194" s="29" t="s">
        <v>172</v>
      </c>
      <c r="Q194" s="29" t="s">
        <v>173</v>
      </c>
      <c r="R194" s="29" t="s">
        <v>59</v>
      </c>
      <c r="S194" s="29" t="s">
        <v>282</v>
      </c>
    </row>
    <row r="195" spans="1:19" ht="32" x14ac:dyDescent="0.2">
      <c r="A195" s="28" t="s">
        <v>276</v>
      </c>
      <c r="B195" s="29" t="s">
        <v>276</v>
      </c>
      <c r="C195" s="29" t="s">
        <v>170</v>
      </c>
      <c r="D195" s="29" t="s">
        <v>62</v>
      </c>
      <c r="E195" s="29" t="s">
        <v>63</v>
      </c>
      <c r="F195" s="29" t="s">
        <v>670</v>
      </c>
      <c r="G195" s="29"/>
      <c r="H195" s="30">
        <v>18.149999999999999</v>
      </c>
      <c r="I195" s="30"/>
      <c r="J195" s="29" t="s">
        <v>54</v>
      </c>
      <c r="K195" s="31" t="s">
        <v>55</v>
      </c>
      <c r="L195" s="29" t="s">
        <v>55</v>
      </c>
      <c r="M195" s="29" t="s">
        <v>55</v>
      </c>
      <c r="N195" s="29" t="s">
        <v>170</v>
      </c>
      <c r="O195" s="29" t="s">
        <v>171</v>
      </c>
      <c r="P195" s="29" t="s">
        <v>172</v>
      </c>
      <c r="Q195" s="29" t="s">
        <v>173</v>
      </c>
      <c r="R195" s="29" t="s">
        <v>59</v>
      </c>
      <c r="S195" s="29" t="s">
        <v>283</v>
      </c>
    </row>
    <row r="196" spans="1:19" ht="32" x14ac:dyDescent="0.2">
      <c r="A196" s="28" t="s">
        <v>276</v>
      </c>
      <c r="B196" s="29" t="s">
        <v>276</v>
      </c>
      <c r="C196" s="29" t="s">
        <v>170</v>
      </c>
      <c r="D196" s="29" t="s">
        <v>62</v>
      </c>
      <c r="E196" s="29" t="s">
        <v>63</v>
      </c>
      <c r="F196" s="29" t="s">
        <v>670</v>
      </c>
      <c r="G196" s="29"/>
      <c r="H196" s="30">
        <v>20.74</v>
      </c>
      <c r="I196" s="30"/>
      <c r="J196" s="29" t="s">
        <v>54</v>
      </c>
      <c r="K196" s="31" t="s">
        <v>55</v>
      </c>
      <c r="L196" s="29" t="s">
        <v>55</v>
      </c>
      <c r="M196" s="29" t="s">
        <v>55</v>
      </c>
      <c r="N196" s="29" t="s">
        <v>170</v>
      </c>
      <c r="O196" s="29" t="s">
        <v>171</v>
      </c>
      <c r="P196" s="29" t="s">
        <v>172</v>
      </c>
      <c r="Q196" s="29" t="s">
        <v>173</v>
      </c>
      <c r="R196" s="29" t="s">
        <v>59</v>
      </c>
      <c r="S196" s="29" t="s">
        <v>284</v>
      </c>
    </row>
    <row r="197" spans="1:19" ht="32" x14ac:dyDescent="0.2">
      <c r="A197" s="28" t="s">
        <v>276</v>
      </c>
      <c r="B197" s="29" t="s">
        <v>271</v>
      </c>
      <c r="C197" s="29" t="s">
        <v>285</v>
      </c>
      <c r="D197" s="29" t="s">
        <v>52</v>
      </c>
      <c r="E197" s="29" t="s">
        <v>53</v>
      </c>
      <c r="F197" s="29" t="s">
        <v>670</v>
      </c>
      <c r="G197" s="29"/>
      <c r="H197" s="30">
        <v>24.4</v>
      </c>
      <c r="I197" s="30"/>
      <c r="J197" s="29" t="s">
        <v>54</v>
      </c>
      <c r="K197" s="31" t="s">
        <v>55</v>
      </c>
      <c r="L197" s="29" t="s">
        <v>55</v>
      </c>
      <c r="M197" s="29" t="s">
        <v>55</v>
      </c>
      <c r="N197" s="29" t="s">
        <v>285</v>
      </c>
      <c r="O197" s="29" t="s">
        <v>286</v>
      </c>
      <c r="P197" s="29" t="s">
        <v>125</v>
      </c>
      <c r="Q197" s="29" t="s">
        <v>126</v>
      </c>
      <c r="R197" s="29" t="s">
        <v>59</v>
      </c>
      <c r="S197" s="29" t="s">
        <v>287</v>
      </c>
    </row>
    <row r="198" spans="1:19" ht="32" x14ac:dyDescent="0.2">
      <c r="A198" s="28" t="s">
        <v>271</v>
      </c>
      <c r="B198" s="29" t="s">
        <v>260</v>
      </c>
      <c r="C198" s="29" t="s">
        <v>164</v>
      </c>
      <c r="D198" s="29" t="s">
        <v>62</v>
      </c>
      <c r="E198" s="29" t="s">
        <v>63</v>
      </c>
      <c r="F198" s="33" t="s">
        <v>670</v>
      </c>
      <c r="G198" s="33"/>
      <c r="H198" s="30">
        <v>32.24</v>
      </c>
      <c r="I198" s="30"/>
      <c r="J198" s="29" t="s">
        <v>54</v>
      </c>
      <c r="K198" s="31" t="s">
        <v>55</v>
      </c>
      <c r="L198" s="29" t="s">
        <v>55</v>
      </c>
      <c r="M198" s="29" t="s">
        <v>55</v>
      </c>
      <c r="N198" s="29" t="s">
        <v>164</v>
      </c>
      <c r="O198" s="29" t="s">
        <v>165</v>
      </c>
      <c r="P198" s="29" t="s">
        <v>166</v>
      </c>
      <c r="Q198" s="29" t="s">
        <v>167</v>
      </c>
      <c r="R198" s="29" t="s">
        <v>59</v>
      </c>
      <c r="S198" s="29" t="s">
        <v>273</v>
      </c>
    </row>
    <row r="199" spans="1:19" ht="32" x14ac:dyDescent="0.2">
      <c r="A199" s="28" t="s">
        <v>271</v>
      </c>
      <c r="B199" s="29" t="s">
        <v>260</v>
      </c>
      <c r="C199" s="29" t="s">
        <v>523</v>
      </c>
      <c r="D199" s="29" t="s">
        <v>52</v>
      </c>
      <c r="E199" s="29" t="s">
        <v>485</v>
      </c>
      <c r="F199" s="33" t="s">
        <v>670</v>
      </c>
      <c r="G199" s="29"/>
      <c r="H199" s="30">
        <v>41.29</v>
      </c>
      <c r="I199" s="30"/>
      <c r="J199" s="29" t="s">
        <v>54</v>
      </c>
      <c r="K199" s="31" t="s">
        <v>55</v>
      </c>
      <c r="L199" s="29" t="s">
        <v>55</v>
      </c>
      <c r="M199" s="29" t="s">
        <v>55</v>
      </c>
      <c r="N199" s="29" t="s">
        <v>523</v>
      </c>
      <c r="O199" s="29" t="s">
        <v>524</v>
      </c>
      <c r="P199" s="29" t="s">
        <v>525</v>
      </c>
      <c r="Q199" s="29" t="s">
        <v>58</v>
      </c>
      <c r="R199" s="29" t="s">
        <v>59</v>
      </c>
      <c r="S199" s="29" t="s">
        <v>526</v>
      </c>
    </row>
    <row r="200" spans="1:19" ht="32" x14ac:dyDescent="0.2">
      <c r="A200" s="28" t="s">
        <v>260</v>
      </c>
      <c r="B200" s="29" t="s">
        <v>261</v>
      </c>
      <c r="C200" s="29" t="s">
        <v>170</v>
      </c>
      <c r="D200" s="29" t="s">
        <v>62</v>
      </c>
      <c r="E200" s="29" t="s">
        <v>63</v>
      </c>
      <c r="F200" s="29" t="s">
        <v>670</v>
      </c>
      <c r="G200" s="29"/>
      <c r="H200" s="30">
        <v>28.74</v>
      </c>
      <c r="I200" s="30"/>
      <c r="J200" s="29" t="s">
        <v>54</v>
      </c>
      <c r="K200" s="31" t="s">
        <v>55</v>
      </c>
      <c r="L200" s="29" t="s">
        <v>55</v>
      </c>
      <c r="M200" s="29" t="s">
        <v>55</v>
      </c>
      <c r="N200" s="29" t="s">
        <v>170</v>
      </c>
      <c r="O200" s="29" t="s">
        <v>171</v>
      </c>
      <c r="P200" s="29" t="s">
        <v>172</v>
      </c>
      <c r="Q200" s="29" t="s">
        <v>173</v>
      </c>
      <c r="R200" s="29" t="s">
        <v>59</v>
      </c>
      <c r="S200" s="29" t="s">
        <v>269</v>
      </c>
    </row>
    <row r="201" spans="1:19" ht="32" x14ac:dyDescent="0.2">
      <c r="A201" s="28" t="s">
        <v>260</v>
      </c>
      <c r="B201" s="29" t="s">
        <v>261</v>
      </c>
      <c r="C201" s="29" t="s">
        <v>170</v>
      </c>
      <c r="D201" s="29" t="s">
        <v>62</v>
      </c>
      <c r="E201" s="29" t="s">
        <v>63</v>
      </c>
      <c r="F201" s="29" t="s">
        <v>670</v>
      </c>
      <c r="G201" s="29"/>
      <c r="H201" s="30">
        <v>35.47</v>
      </c>
      <c r="I201" s="30"/>
      <c r="J201" s="29" t="s">
        <v>54</v>
      </c>
      <c r="K201" s="31" t="s">
        <v>55</v>
      </c>
      <c r="L201" s="29" t="s">
        <v>55</v>
      </c>
      <c r="M201" s="29" t="s">
        <v>55</v>
      </c>
      <c r="N201" s="29" t="s">
        <v>170</v>
      </c>
      <c r="O201" s="29" t="s">
        <v>171</v>
      </c>
      <c r="P201" s="29" t="s">
        <v>172</v>
      </c>
      <c r="Q201" s="29" t="s">
        <v>173</v>
      </c>
      <c r="R201" s="29" t="s">
        <v>59</v>
      </c>
      <c r="S201" s="29" t="s">
        <v>270</v>
      </c>
    </row>
    <row r="202" spans="1:19" ht="32" x14ac:dyDescent="0.2">
      <c r="A202" s="28" t="s">
        <v>234</v>
      </c>
      <c r="B202" s="29" t="s">
        <v>211</v>
      </c>
      <c r="C202" s="29" t="s">
        <v>51</v>
      </c>
      <c r="D202" s="29" t="s">
        <v>62</v>
      </c>
      <c r="E202" s="29" t="s">
        <v>63</v>
      </c>
      <c r="F202" s="29" t="s">
        <v>670</v>
      </c>
      <c r="G202" s="29"/>
      <c r="H202" s="30">
        <v>9.99</v>
      </c>
      <c r="I202" s="30"/>
      <c r="J202" s="29" t="s">
        <v>54</v>
      </c>
      <c r="K202" s="31" t="s">
        <v>55</v>
      </c>
      <c r="L202" s="29" t="s">
        <v>55</v>
      </c>
      <c r="M202" s="29" t="s">
        <v>55</v>
      </c>
      <c r="N202" s="29" t="s">
        <v>51</v>
      </c>
      <c r="O202" s="29" t="s">
        <v>56</v>
      </c>
      <c r="P202" s="29" t="s">
        <v>57</v>
      </c>
      <c r="Q202" s="29" t="s">
        <v>58</v>
      </c>
      <c r="R202" s="29" t="s">
        <v>59</v>
      </c>
      <c r="S202" s="29" t="s">
        <v>235</v>
      </c>
    </row>
    <row r="203" spans="1:19" ht="32" x14ac:dyDescent="0.2">
      <c r="A203" s="28" t="s">
        <v>234</v>
      </c>
      <c r="B203" s="29" t="s">
        <v>190</v>
      </c>
      <c r="C203" s="29" t="s">
        <v>237</v>
      </c>
      <c r="D203" s="29" t="s">
        <v>62</v>
      </c>
      <c r="E203" s="29" t="s">
        <v>63</v>
      </c>
      <c r="F203" s="29" t="s">
        <v>670</v>
      </c>
      <c r="G203" s="29"/>
      <c r="H203" s="30">
        <v>25.35</v>
      </c>
      <c r="I203" s="30"/>
      <c r="J203" s="29" t="s">
        <v>54</v>
      </c>
      <c r="K203" s="31" t="s">
        <v>55</v>
      </c>
      <c r="L203" s="29" t="s">
        <v>55</v>
      </c>
      <c r="M203" s="29" t="s">
        <v>55</v>
      </c>
      <c r="N203" s="29" t="s">
        <v>237</v>
      </c>
      <c r="O203" s="29" t="s">
        <v>238</v>
      </c>
      <c r="P203" s="29" t="s">
        <v>239</v>
      </c>
      <c r="Q203" s="29" t="s">
        <v>240</v>
      </c>
      <c r="R203" s="29" t="s">
        <v>59</v>
      </c>
      <c r="S203" s="29" t="s">
        <v>241</v>
      </c>
    </row>
    <row r="204" spans="1:19" ht="32" x14ac:dyDescent="0.2">
      <c r="A204" s="28" t="s">
        <v>234</v>
      </c>
      <c r="B204" s="29" t="s">
        <v>211</v>
      </c>
      <c r="C204" s="29" t="s">
        <v>242</v>
      </c>
      <c r="D204" s="29" t="s">
        <v>52</v>
      </c>
      <c r="E204" s="29" t="s">
        <v>53</v>
      </c>
      <c r="F204" s="29" t="s">
        <v>670</v>
      </c>
      <c r="G204" s="29"/>
      <c r="H204" s="30">
        <v>4.0599999999999996</v>
      </c>
      <c r="I204" s="30"/>
      <c r="J204" s="29" t="s">
        <v>54</v>
      </c>
      <c r="K204" s="31" t="s">
        <v>55</v>
      </c>
      <c r="L204" s="29" t="s">
        <v>55</v>
      </c>
      <c r="M204" s="29" t="s">
        <v>55</v>
      </c>
      <c r="N204" s="29" t="s">
        <v>242</v>
      </c>
      <c r="O204" s="29" t="s">
        <v>243</v>
      </c>
      <c r="P204" s="29" t="s">
        <v>244</v>
      </c>
      <c r="Q204" s="29" t="s">
        <v>240</v>
      </c>
      <c r="R204" s="29" t="s">
        <v>59</v>
      </c>
      <c r="S204" s="29" t="s">
        <v>245</v>
      </c>
    </row>
    <row r="205" spans="1:19" ht="32" x14ac:dyDescent="0.2">
      <c r="A205" s="28" t="s">
        <v>234</v>
      </c>
      <c r="B205" s="29" t="s">
        <v>211</v>
      </c>
      <c r="C205" s="29" t="s">
        <v>246</v>
      </c>
      <c r="D205" s="29" t="s">
        <v>52</v>
      </c>
      <c r="E205" s="29" t="s">
        <v>53</v>
      </c>
      <c r="F205" s="29" t="s">
        <v>670</v>
      </c>
      <c r="G205" s="29"/>
      <c r="H205" s="30">
        <v>135</v>
      </c>
      <c r="I205" s="30"/>
      <c r="J205" s="29" t="s">
        <v>54</v>
      </c>
      <c r="K205" s="31" t="s">
        <v>55</v>
      </c>
      <c r="L205" s="29" t="s">
        <v>55</v>
      </c>
      <c r="M205" s="29" t="s">
        <v>55</v>
      </c>
      <c r="N205" s="29" t="s">
        <v>246</v>
      </c>
      <c r="O205" s="29" t="s">
        <v>247</v>
      </c>
      <c r="P205" s="29" t="s">
        <v>248</v>
      </c>
      <c r="Q205" s="29" t="s">
        <v>249</v>
      </c>
      <c r="R205" s="29" t="s">
        <v>59</v>
      </c>
      <c r="S205" s="29" t="s">
        <v>250</v>
      </c>
    </row>
    <row r="206" spans="1:19" ht="32" x14ac:dyDescent="0.2">
      <c r="A206" s="28" t="s">
        <v>234</v>
      </c>
      <c r="B206" s="29" t="s">
        <v>190</v>
      </c>
      <c r="C206" s="29" t="s">
        <v>251</v>
      </c>
      <c r="D206" s="29" t="s">
        <v>52</v>
      </c>
      <c r="E206" s="29" t="s">
        <v>53</v>
      </c>
      <c r="F206" s="29" t="s">
        <v>670</v>
      </c>
      <c r="G206" s="29"/>
      <c r="H206" s="30">
        <v>28.28</v>
      </c>
      <c r="I206" s="30"/>
      <c r="J206" s="29" t="s">
        <v>54</v>
      </c>
      <c r="K206" s="31" t="s">
        <v>55</v>
      </c>
      <c r="L206" s="29" t="s">
        <v>55</v>
      </c>
      <c r="M206" s="29" t="s">
        <v>55</v>
      </c>
      <c r="N206" s="29" t="s">
        <v>251</v>
      </c>
      <c r="O206" s="29" t="s">
        <v>252</v>
      </c>
      <c r="P206" s="29" t="s">
        <v>239</v>
      </c>
      <c r="Q206" s="29" t="s">
        <v>240</v>
      </c>
      <c r="R206" s="29" t="s">
        <v>59</v>
      </c>
      <c r="S206" s="29" t="s">
        <v>253</v>
      </c>
    </row>
    <row r="207" spans="1:19" ht="32" x14ac:dyDescent="0.2">
      <c r="A207" s="28" t="s">
        <v>234</v>
      </c>
      <c r="B207" s="29" t="s">
        <v>190</v>
      </c>
      <c r="C207" s="29" t="s">
        <v>254</v>
      </c>
      <c r="D207" s="29" t="s">
        <v>52</v>
      </c>
      <c r="E207" s="29" t="s">
        <v>53</v>
      </c>
      <c r="F207" s="29" t="s">
        <v>670</v>
      </c>
      <c r="G207" s="29"/>
      <c r="H207" s="30">
        <v>5.8</v>
      </c>
      <c r="I207" s="30"/>
      <c r="J207" s="29" t="s">
        <v>54</v>
      </c>
      <c r="K207" s="31" t="s">
        <v>55</v>
      </c>
      <c r="L207" s="29" t="s">
        <v>55</v>
      </c>
      <c r="M207" s="29" t="s">
        <v>55</v>
      </c>
      <c r="N207" s="29" t="s">
        <v>254</v>
      </c>
      <c r="O207" s="29" t="s">
        <v>247</v>
      </c>
      <c r="P207" s="29" t="s">
        <v>248</v>
      </c>
      <c r="Q207" s="29" t="s">
        <v>249</v>
      </c>
      <c r="R207" s="29" t="s">
        <v>59</v>
      </c>
      <c r="S207" s="29" t="s">
        <v>255</v>
      </c>
    </row>
    <row r="208" spans="1:19" ht="32" x14ac:dyDescent="0.2">
      <c r="A208" s="28" t="s">
        <v>234</v>
      </c>
      <c r="B208" s="29" t="s">
        <v>190</v>
      </c>
      <c r="C208" s="29" t="s">
        <v>254</v>
      </c>
      <c r="D208" s="29" t="s">
        <v>52</v>
      </c>
      <c r="E208" s="29" t="s">
        <v>53</v>
      </c>
      <c r="F208" s="29" t="s">
        <v>670</v>
      </c>
      <c r="G208" s="29"/>
      <c r="H208" s="30">
        <v>6.9</v>
      </c>
      <c r="I208" s="30"/>
      <c r="J208" s="29" t="s">
        <v>54</v>
      </c>
      <c r="K208" s="31" t="s">
        <v>55</v>
      </c>
      <c r="L208" s="29" t="s">
        <v>55</v>
      </c>
      <c r="M208" s="29" t="s">
        <v>55</v>
      </c>
      <c r="N208" s="29" t="s">
        <v>254</v>
      </c>
      <c r="O208" s="29" t="s">
        <v>247</v>
      </c>
      <c r="P208" s="29" t="s">
        <v>248</v>
      </c>
      <c r="Q208" s="29" t="s">
        <v>249</v>
      </c>
      <c r="R208" s="29" t="s">
        <v>59</v>
      </c>
      <c r="S208" s="29" t="s">
        <v>256</v>
      </c>
    </row>
    <row r="209" spans="1:19" ht="32" x14ac:dyDescent="0.2">
      <c r="A209" s="28" t="s">
        <v>234</v>
      </c>
      <c r="B209" s="29" t="s">
        <v>190</v>
      </c>
      <c r="C209" s="29" t="s">
        <v>254</v>
      </c>
      <c r="D209" s="29" t="s">
        <v>52</v>
      </c>
      <c r="E209" s="29" t="s">
        <v>53</v>
      </c>
      <c r="F209" s="29" t="s">
        <v>670</v>
      </c>
      <c r="G209" s="29"/>
      <c r="H209" s="30">
        <v>12</v>
      </c>
      <c r="I209" s="30"/>
      <c r="J209" s="29" t="s">
        <v>54</v>
      </c>
      <c r="K209" s="31" t="s">
        <v>55</v>
      </c>
      <c r="L209" s="29" t="s">
        <v>55</v>
      </c>
      <c r="M209" s="29" t="s">
        <v>55</v>
      </c>
      <c r="N209" s="29" t="s">
        <v>254</v>
      </c>
      <c r="O209" s="29" t="s">
        <v>247</v>
      </c>
      <c r="P209" s="29" t="s">
        <v>248</v>
      </c>
      <c r="Q209" s="29" t="s">
        <v>249</v>
      </c>
      <c r="R209" s="29" t="s">
        <v>59</v>
      </c>
      <c r="S209" s="29" t="s">
        <v>257</v>
      </c>
    </row>
    <row r="210" spans="1:19" ht="32" x14ac:dyDescent="0.2">
      <c r="A210" s="28" t="s">
        <v>234</v>
      </c>
      <c r="B210" s="29" t="s">
        <v>190</v>
      </c>
      <c r="C210" s="29" t="s">
        <v>254</v>
      </c>
      <c r="D210" s="29" t="s">
        <v>52</v>
      </c>
      <c r="E210" s="29" t="s">
        <v>53</v>
      </c>
      <c r="F210" s="29" t="s">
        <v>670</v>
      </c>
      <c r="G210" s="29"/>
      <c r="H210" s="30">
        <v>12</v>
      </c>
      <c r="I210" s="30"/>
      <c r="J210" s="29" t="s">
        <v>54</v>
      </c>
      <c r="K210" s="31" t="s">
        <v>55</v>
      </c>
      <c r="L210" s="29" t="s">
        <v>55</v>
      </c>
      <c r="M210" s="29" t="s">
        <v>55</v>
      </c>
      <c r="N210" s="29" t="s">
        <v>254</v>
      </c>
      <c r="O210" s="29" t="s">
        <v>247</v>
      </c>
      <c r="P210" s="29" t="s">
        <v>248</v>
      </c>
      <c r="Q210" s="29" t="s">
        <v>249</v>
      </c>
      <c r="R210" s="29" t="s">
        <v>59</v>
      </c>
      <c r="S210" s="29" t="s">
        <v>258</v>
      </c>
    </row>
    <row r="211" spans="1:19" ht="32" x14ac:dyDescent="0.2">
      <c r="A211" s="28" t="s">
        <v>234</v>
      </c>
      <c r="B211" s="29" t="s">
        <v>190</v>
      </c>
      <c r="C211" s="29" t="s">
        <v>254</v>
      </c>
      <c r="D211" s="29" t="s">
        <v>52</v>
      </c>
      <c r="E211" s="29" t="s">
        <v>53</v>
      </c>
      <c r="F211" s="29" t="s">
        <v>670</v>
      </c>
      <c r="G211" s="29"/>
      <c r="H211" s="30">
        <v>16.7</v>
      </c>
      <c r="I211" s="30"/>
      <c r="J211" s="29" t="s">
        <v>54</v>
      </c>
      <c r="K211" s="31" t="s">
        <v>55</v>
      </c>
      <c r="L211" s="29" t="s">
        <v>55</v>
      </c>
      <c r="M211" s="29" t="s">
        <v>55</v>
      </c>
      <c r="N211" s="29" t="s">
        <v>254</v>
      </c>
      <c r="O211" s="29" t="s">
        <v>247</v>
      </c>
      <c r="P211" s="29" t="s">
        <v>248</v>
      </c>
      <c r="Q211" s="29" t="s">
        <v>249</v>
      </c>
      <c r="R211" s="29" t="s">
        <v>59</v>
      </c>
      <c r="S211" s="29" t="s">
        <v>259</v>
      </c>
    </row>
    <row r="212" spans="1:19" ht="32" x14ac:dyDescent="0.2">
      <c r="A212" s="28" t="s">
        <v>211</v>
      </c>
      <c r="B212" s="29" t="s">
        <v>190</v>
      </c>
      <c r="C212" s="29" t="s">
        <v>212</v>
      </c>
      <c r="D212" s="29" t="s">
        <v>52</v>
      </c>
      <c r="E212" s="29" t="s">
        <v>53</v>
      </c>
      <c r="F212" s="29" t="s">
        <v>670</v>
      </c>
      <c r="G212" s="29"/>
      <c r="H212" s="30">
        <v>13.42</v>
      </c>
      <c r="I212" s="30"/>
      <c r="J212" s="29" t="s">
        <v>213</v>
      </c>
      <c r="K212" s="31">
        <v>0.39</v>
      </c>
      <c r="L212" s="29" t="s">
        <v>55</v>
      </c>
      <c r="M212" s="29" t="s">
        <v>55</v>
      </c>
      <c r="N212" s="29" t="s">
        <v>212</v>
      </c>
      <c r="O212" s="29" t="s">
        <v>214</v>
      </c>
      <c r="P212" s="29" t="s">
        <v>215</v>
      </c>
      <c r="Q212" s="29" t="s">
        <v>216</v>
      </c>
      <c r="R212" s="29" t="s">
        <v>139</v>
      </c>
      <c r="S212" s="29" t="s">
        <v>217</v>
      </c>
    </row>
    <row r="213" spans="1:19" ht="32" x14ac:dyDescent="0.2">
      <c r="A213" s="28" t="s">
        <v>211</v>
      </c>
      <c r="B213" s="29" t="s">
        <v>190</v>
      </c>
      <c r="C213" s="29" t="s">
        <v>229</v>
      </c>
      <c r="D213" s="29" t="s">
        <v>62</v>
      </c>
      <c r="E213" s="29" t="s">
        <v>63</v>
      </c>
      <c r="F213" s="29" t="s">
        <v>670</v>
      </c>
      <c r="G213" s="29"/>
      <c r="H213" s="30">
        <v>9.99</v>
      </c>
      <c r="I213" s="30"/>
      <c r="J213" s="29" t="s">
        <v>54</v>
      </c>
      <c r="K213" s="31" t="s">
        <v>55</v>
      </c>
      <c r="L213" s="29" t="s">
        <v>55</v>
      </c>
      <c r="M213" s="29" t="s">
        <v>55</v>
      </c>
      <c r="N213" s="29" t="s">
        <v>229</v>
      </c>
      <c r="O213" s="29" t="s">
        <v>230</v>
      </c>
      <c r="P213" s="29" t="s">
        <v>231</v>
      </c>
      <c r="Q213" s="29" t="s">
        <v>232</v>
      </c>
      <c r="R213" s="29" t="s">
        <v>59</v>
      </c>
      <c r="S213" s="29" t="s">
        <v>233</v>
      </c>
    </row>
    <row r="214" spans="1:19" x14ac:dyDescent="0.2">
      <c r="A214" s="34">
        <v>45769</v>
      </c>
      <c r="B214" s="35"/>
      <c r="C214" s="35" t="s">
        <v>599</v>
      </c>
      <c r="D214" s="36" t="s">
        <v>587</v>
      </c>
      <c r="E214" s="35" t="s">
        <v>588</v>
      </c>
      <c r="F214" s="35" t="s">
        <v>670</v>
      </c>
      <c r="G214" s="35"/>
      <c r="H214" s="39">
        <v>1.17</v>
      </c>
      <c r="I214" s="39"/>
      <c r="J214" s="35"/>
      <c r="K214" s="35"/>
      <c r="L214" s="35"/>
      <c r="M214" s="35"/>
      <c r="N214" s="35"/>
      <c r="O214" s="35"/>
      <c r="P214" s="35"/>
      <c r="Q214" s="35"/>
      <c r="R214" s="35"/>
      <c r="S214" s="35"/>
    </row>
    <row r="215" spans="1:19" x14ac:dyDescent="0.2">
      <c r="A215" s="34">
        <v>45769</v>
      </c>
      <c r="B215" s="35"/>
      <c r="C215" s="35" t="s">
        <v>599</v>
      </c>
      <c r="D215" s="36" t="s">
        <v>587</v>
      </c>
      <c r="E215" s="35" t="s">
        <v>588</v>
      </c>
      <c r="F215" s="37" t="s">
        <v>670</v>
      </c>
      <c r="G215" s="35"/>
      <c r="H215" s="39">
        <v>15.21</v>
      </c>
      <c r="I215" s="39"/>
      <c r="J215" s="35"/>
      <c r="K215" s="35"/>
      <c r="L215" s="35"/>
      <c r="M215" s="35"/>
      <c r="N215" s="35"/>
      <c r="O215" s="35"/>
      <c r="P215" s="35"/>
      <c r="Q215" s="35"/>
      <c r="R215" s="35"/>
      <c r="S215" s="35"/>
    </row>
    <row r="216" spans="1:19" x14ac:dyDescent="0.2">
      <c r="A216" s="34">
        <v>45769</v>
      </c>
      <c r="B216" s="35"/>
      <c r="C216" s="35" t="s">
        <v>598</v>
      </c>
      <c r="D216" s="36" t="s">
        <v>587</v>
      </c>
      <c r="E216" s="35" t="s">
        <v>588</v>
      </c>
      <c r="F216" s="37" t="s">
        <v>670</v>
      </c>
      <c r="G216" s="35"/>
      <c r="H216" s="39">
        <v>25.6</v>
      </c>
      <c r="I216" s="39"/>
      <c r="J216" s="35"/>
      <c r="K216" s="35"/>
      <c r="L216" s="35"/>
      <c r="M216" s="35"/>
      <c r="N216" s="35"/>
      <c r="O216" s="35"/>
      <c r="P216" s="35"/>
      <c r="Q216" s="35"/>
      <c r="R216" s="35"/>
      <c r="S216" s="35"/>
    </row>
    <row r="217" spans="1:19" x14ac:dyDescent="0.2">
      <c r="A217" s="34">
        <v>45769</v>
      </c>
      <c r="B217" s="35"/>
      <c r="C217" s="35" t="s">
        <v>598</v>
      </c>
      <c r="D217" s="36" t="s">
        <v>587</v>
      </c>
      <c r="E217" s="35" t="s">
        <v>588</v>
      </c>
      <c r="F217" s="35" t="s">
        <v>670</v>
      </c>
      <c r="G217" s="35"/>
      <c r="H217" s="39">
        <v>1.81</v>
      </c>
      <c r="I217" s="39"/>
      <c r="J217" s="35"/>
      <c r="K217" s="35"/>
      <c r="L217" s="35"/>
      <c r="M217" s="35"/>
      <c r="N217" s="35"/>
      <c r="O217" s="35"/>
      <c r="P217" s="35"/>
      <c r="Q217" s="35"/>
      <c r="R217" s="35"/>
      <c r="S217" s="35"/>
    </row>
    <row r="218" spans="1:19" x14ac:dyDescent="0.2">
      <c r="A218" s="34">
        <v>45769</v>
      </c>
      <c r="B218" s="35"/>
      <c r="C218" s="35" t="s">
        <v>623</v>
      </c>
      <c r="D218" s="36" t="s">
        <v>624</v>
      </c>
      <c r="E218" s="35" t="s">
        <v>625</v>
      </c>
      <c r="F218" s="37" t="s">
        <v>670</v>
      </c>
      <c r="G218" s="35"/>
      <c r="H218" s="39">
        <v>19.48</v>
      </c>
      <c r="I218" s="39"/>
      <c r="J218" s="35" t="s">
        <v>626</v>
      </c>
      <c r="K218" s="35"/>
      <c r="L218" s="35">
        <v>-4314.63</v>
      </c>
      <c r="M218" s="35" t="s">
        <v>627</v>
      </c>
      <c r="N218" s="35" t="s">
        <v>628</v>
      </c>
      <c r="O218" s="35"/>
      <c r="P218" s="35"/>
      <c r="Q218" s="35"/>
      <c r="R218" s="35"/>
      <c r="S218" s="35"/>
    </row>
    <row r="219" spans="1:19" x14ac:dyDescent="0.2">
      <c r="A219" s="34">
        <v>45769</v>
      </c>
      <c r="B219" s="35"/>
      <c r="C219" s="35" t="s">
        <v>597</v>
      </c>
      <c r="D219" s="36" t="s">
        <v>587</v>
      </c>
      <c r="E219" s="35" t="s">
        <v>588</v>
      </c>
      <c r="F219" s="35" t="s">
        <v>670</v>
      </c>
      <c r="G219" s="35"/>
      <c r="H219" s="39">
        <v>26.69</v>
      </c>
      <c r="I219" s="39"/>
      <c r="J219" s="35"/>
      <c r="K219" s="35"/>
      <c r="L219" s="35"/>
      <c r="M219" s="35"/>
      <c r="N219" s="35"/>
      <c r="O219" s="35"/>
      <c r="P219" s="35"/>
      <c r="Q219" s="35"/>
      <c r="R219" s="35"/>
      <c r="S219" s="35"/>
    </row>
    <row r="220" spans="1:19" x14ac:dyDescent="0.2">
      <c r="A220" s="34">
        <v>45769</v>
      </c>
      <c r="B220" s="35"/>
      <c r="C220" s="35" t="s">
        <v>593</v>
      </c>
      <c r="D220" s="36" t="s">
        <v>587</v>
      </c>
      <c r="E220" s="35" t="s">
        <v>588</v>
      </c>
      <c r="F220" s="35" t="s">
        <v>670</v>
      </c>
      <c r="G220" s="35"/>
      <c r="H220" s="39">
        <v>14.22</v>
      </c>
      <c r="I220" s="39"/>
      <c r="J220" s="35"/>
      <c r="K220" s="35"/>
      <c r="L220" s="35"/>
      <c r="M220" s="35"/>
      <c r="N220" s="35"/>
      <c r="O220" s="35"/>
      <c r="P220" s="35"/>
      <c r="Q220" s="35"/>
      <c r="R220" s="35"/>
      <c r="S220" s="35"/>
    </row>
    <row r="221" spans="1:19" ht="48" x14ac:dyDescent="0.2">
      <c r="A221" s="28" t="s">
        <v>190</v>
      </c>
      <c r="B221" s="29" t="s">
        <v>144</v>
      </c>
      <c r="C221" s="29" t="s">
        <v>197</v>
      </c>
      <c r="D221" s="29" t="s">
        <v>52</v>
      </c>
      <c r="E221" s="29" t="s">
        <v>53</v>
      </c>
      <c r="F221" s="29" t="s">
        <v>670</v>
      </c>
      <c r="G221" s="29"/>
      <c r="H221" s="30">
        <v>115.35</v>
      </c>
      <c r="I221" s="30"/>
      <c r="J221" s="29" t="s">
        <v>54</v>
      </c>
      <c r="K221" s="31" t="s">
        <v>55</v>
      </c>
      <c r="L221" s="29" t="s">
        <v>55</v>
      </c>
      <c r="M221" s="29" t="s">
        <v>198</v>
      </c>
      <c r="N221" s="29" t="s">
        <v>197</v>
      </c>
      <c r="O221" s="29" t="s">
        <v>199</v>
      </c>
      <c r="P221" s="29" t="s">
        <v>172</v>
      </c>
      <c r="Q221" s="29" t="s">
        <v>173</v>
      </c>
      <c r="R221" s="29" t="s">
        <v>59</v>
      </c>
      <c r="S221" s="29" t="s">
        <v>200</v>
      </c>
    </row>
    <row r="222" spans="1:19" ht="32" x14ac:dyDescent="0.2">
      <c r="A222" s="28" t="s">
        <v>190</v>
      </c>
      <c r="B222" s="29" t="s">
        <v>190</v>
      </c>
      <c r="C222" s="29" t="s">
        <v>201</v>
      </c>
      <c r="D222" s="29" t="s">
        <v>52</v>
      </c>
      <c r="E222" s="29" t="s">
        <v>53</v>
      </c>
      <c r="F222" s="29" t="s">
        <v>670</v>
      </c>
      <c r="G222" s="29"/>
      <c r="H222" s="30">
        <v>145.1</v>
      </c>
      <c r="I222" s="30"/>
      <c r="J222" s="29" t="s">
        <v>54</v>
      </c>
      <c r="K222" s="31" t="s">
        <v>55</v>
      </c>
      <c r="L222" s="29" t="s">
        <v>55</v>
      </c>
      <c r="M222" s="29" t="s">
        <v>55</v>
      </c>
      <c r="N222" s="29" t="s">
        <v>201</v>
      </c>
      <c r="O222" s="29" t="s">
        <v>202</v>
      </c>
      <c r="P222" s="29" t="s">
        <v>203</v>
      </c>
      <c r="Q222" s="29" t="s">
        <v>204</v>
      </c>
      <c r="R222" s="29" t="s">
        <v>59</v>
      </c>
      <c r="S222" s="29" t="s">
        <v>205</v>
      </c>
    </row>
    <row r="223" spans="1:19" ht="32" x14ac:dyDescent="0.2">
      <c r="A223" s="28" t="s">
        <v>190</v>
      </c>
      <c r="B223" s="29" t="s">
        <v>178</v>
      </c>
      <c r="C223" s="29" t="s">
        <v>206</v>
      </c>
      <c r="D223" s="29" t="s">
        <v>52</v>
      </c>
      <c r="E223" s="29" t="s">
        <v>53</v>
      </c>
      <c r="F223" s="29" t="s">
        <v>670</v>
      </c>
      <c r="G223" s="29"/>
      <c r="H223" s="30">
        <v>267.36</v>
      </c>
      <c r="I223" s="30"/>
      <c r="J223" s="29" t="s">
        <v>54</v>
      </c>
      <c r="K223" s="31" t="s">
        <v>55</v>
      </c>
      <c r="L223" s="29" t="s">
        <v>55</v>
      </c>
      <c r="M223" s="29" t="s">
        <v>55</v>
      </c>
      <c r="N223" s="29" t="s">
        <v>206</v>
      </c>
      <c r="O223" s="29" t="s">
        <v>207</v>
      </c>
      <c r="P223" s="29" t="s">
        <v>208</v>
      </c>
      <c r="Q223" s="29" t="s">
        <v>209</v>
      </c>
      <c r="R223" s="29" t="s">
        <v>59</v>
      </c>
      <c r="S223" s="29" t="s">
        <v>210</v>
      </c>
    </row>
    <row r="224" spans="1:19" ht="48" x14ac:dyDescent="0.2">
      <c r="A224" s="28" t="s">
        <v>178</v>
      </c>
      <c r="B224" s="29" t="s">
        <v>155</v>
      </c>
      <c r="C224" s="29" t="s">
        <v>349</v>
      </c>
      <c r="D224" s="29" t="s">
        <v>52</v>
      </c>
      <c r="E224" s="29" t="s">
        <v>485</v>
      </c>
      <c r="F224" s="29" t="s">
        <v>670</v>
      </c>
      <c r="G224" s="29"/>
      <c r="H224" s="30">
        <v>10.6</v>
      </c>
      <c r="I224" s="30"/>
      <c r="J224" s="29" t="s">
        <v>54</v>
      </c>
      <c r="K224" s="31" t="s">
        <v>55</v>
      </c>
      <c r="L224" s="29" t="s">
        <v>55</v>
      </c>
      <c r="M224" s="29" t="s">
        <v>55</v>
      </c>
      <c r="N224" s="29" t="s">
        <v>349</v>
      </c>
      <c r="O224" s="29" t="s">
        <v>350</v>
      </c>
      <c r="P224" s="29" t="s">
        <v>351</v>
      </c>
      <c r="Q224" s="29" t="s">
        <v>352</v>
      </c>
      <c r="R224" s="29" t="s">
        <v>59</v>
      </c>
      <c r="S224" s="29" t="s">
        <v>511</v>
      </c>
    </row>
    <row r="225" spans="1:19" ht="32" x14ac:dyDescent="0.2">
      <c r="A225" s="28" t="s">
        <v>178</v>
      </c>
      <c r="B225" s="29" t="s">
        <v>144</v>
      </c>
      <c r="C225" s="29" t="s">
        <v>512</v>
      </c>
      <c r="D225" s="29" t="s">
        <v>52</v>
      </c>
      <c r="E225" s="29" t="s">
        <v>485</v>
      </c>
      <c r="F225" s="29" t="s">
        <v>670</v>
      </c>
      <c r="G225" s="29"/>
      <c r="H225" s="30">
        <v>4.5</v>
      </c>
      <c r="I225" s="30"/>
      <c r="J225" s="29" t="s">
        <v>54</v>
      </c>
      <c r="K225" s="31" t="s">
        <v>55</v>
      </c>
      <c r="L225" s="29" t="s">
        <v>55</v>
      </c>
      <c r="M225" s="29" t="s">
        <v>55</v>
      </c>
      <c r="N225" s="29" t="s">
        <v>512</v>
      </c>
      <c r="O225" s="29" t="s">
        <v>513</v>
      </c>
      <c r="P225" s="29" t="s">
        <v>514</v>
      </c>
      <c r="Q225" s="29" t="s">
        <v>515</v>
      </c>
      <c r="R225" s="29" t="s">
        <v>59</v>
      </c>
      <c r="S225" s="29" t="s">
        <v>516</v>
      </c>
    </row>
    <row r="226" spans="1:19" ht="32" x14ac:dyDescent="0.2">
      <c r="A226" s="28" t="s">
        <v>178</v>
      </c>
      <c r="B226" s="29" t="s">
        <v>155</v>
      </c>
      <c r="C226" s="29" t="s">
        <v>179</v>
      </c>
      <c r="D226" s="29" t="s">
        <v>62</v>
      </c>
      <c r="E226" s="29" t="s">
        <v>63</v>
      </c>
      <c r="F226" s="29" t="s">
        <v>670</v>
      </c>
      <c r="G226" s="29"/>
      <c r="H226" s="30">
        <v>29.8</v>
      </c>
      <c r="I226" s="30"/>
      <c r="J226" s="29" t="s">
        <v>54</v>
      </c>
      <c r="K226" s="31" t="s">
        <v>55</v>
      </c>
      <c r="L226" s="29" t="s">
        <v>55</v>
      </c>
      <c r="M226" s="29" t="s">
        <v>55</v>
      </c>
      <c r="N226" s="29" t="s">
        <v>179</v>
      </c>
      <c r="O226" s="29" t="s">
        <v>180</v>
      </c>
      <c r="P226" s="29" t="s">
        <v>166</v>
      </c>
      <c r="Q226" s="29" t="s">
        <v>167</v>
      </c>
      <c r="R226" s="29" t="s">
        <v>59</v>
      </c>
      <c r="S226" s="29" t="s">
        <v>181</v>
      </c>
    </row>
    <row r="227" spans="1:19" ht="48" x14ac:dyDescent="0.2">
      <c r="A227" s="28" t="s">
        <v>178</v>
      </c>
      <c r="B227" s="29" t="s">
        <v>155</v>
      </c>
      <c r="C227" s="29" t="s">
        <v>102</v>
      </c>
      <c r="D227" s="29" t="s">
        <v>52</v>
      </c>
      <c r="E227" s="29" t="s">
        <v>53</v>
      </c>
      <c r="F227" s="29" t="s">
        <v>670</v>
      </c>
      <c r="G227" s="29"/>
      <c r="H227" s="30">
        <v>52.59</v>
      </c>
      <c r="I227" s="30"/>
      <c r="J227" s="29" t="s">
        <v>54</v>
      </c>
      <c r="K227" s="31" t="s">
        <v>55</v>
      </c>
      <c r="L227" s="29" t="s">
        <v>55</v>
      </c>
      <c r="M227" s="29" t="s">
        <v>103</v>
      </c>
      <c r="N227" s="29" t="s">
        <v>102</v>
      </c>
      <c r="O227" s="29" t="s">
        <v>104</v>
      </c>
      <c r="P227" s="29" t="s">
        <v>57</v>
      </c>
      <c r="Q227" s="29" t="s">
        <v>58</v>
      </c>
      <c r="R227" s="29" t="s">
        <v>59</v>
      </c>
      <c r="S227" s="29" t="s">
        <v>182</v>
      </c>
    </row>
    <row r="228" spans="1:19" ht="32" x14ac:dyDescent="0.2">
      <c r="A228" s="28" t="s">
        <v>178</v>
      </c>
      <c r="B228" s="29" t="s">
        <v>155</v>
      </c>
      <c r="C228" s="29" t="s">
        <v>183</v>
      </c>
      <c r="D228" s="29" t="s">
        <v>62</v>
      </c>
      <c r="E228" s="29" t="s">
        <v>63</v>
      </c>
      <c r="F228" s="29" t="s">
        <v>670</v>
      </c>
      <c r="G228" s="29"/>
      <c r="H228" s="30">
        <v>207.14</v>
      </c>
      <c r="I228" s="30"/>
      <c r="J228" s="29" t="s">
        <v>54</v>
      </c>
      <c r="K228" s="31" t="s">
        <v>55</v>
      </c>
      <c r="L228" s="29" t="s">
        <v>55</v>
      </c>
      <c r="M228" s="29" t="s">
        <v>55</v>
      </c>
      <c r="N228" s="29" t="s">
        <v>183</v>
      </c>
      <c r="O228" s="29" t="s">
        <v>184</v>
      </c>
      <c r="P228" s="29" t="s">
        <v>185</v>
      </c>
      <c r="Q228" s="29" t="s">
        <v>58</v>
      </c>
      <c r="R228" s="29" t="s">
        <v>59</v>
      </c>
      <c r="S228" s="29" t="s">
        <v>186</v>
      </c>
    </row>
    <row r="229" spans="1:19" ht="32" x14ac:dyDescent="0.2">
      <c r="A229" s="28" t="s">
        <v>155</v>
      </c>
      <c r="B229" s="29" t="s">
        <v>144</v>
      </c>
      <c r="C229" s="29" t="s">
        <v>145</v>
      </c>
      <c r="D229" s="29" t="s">
        <v>52</v>
      </c>
      <c r="E229" s="29" t="s">
        <v>53</v>
      </c>
      <c r="F229" s="29" t="s">
        <v>670</v>
      </c>
      <c r="G229" s="29"/>
      <c r="H229" s="30">
        <v>24.89</v>
      </c>
      <c r="I229" s="30"/>
      <c r="J229" s="29" t="s">
        <v>54</v>
      </c>
      <c r="K229" s="31" t="s">
        <v>55</v>
      </c>
      <c r="L229" s="29" t="s">
        <v>55</v>
      </c>
      <c r="M229" s="29" t="s">
        <v>55</v>
      </c>
      <c r="N229" s="29" t="s">
        <v>145</v>
      </c>
      <c r="O229" s="29" t="s">
        <v>146</v>
      </c>
      <c r="P229" s="29" t="s">
        <v>57</v>
      </c>
      <c r="Q229" s="29" t="s">
        <v>58</v>
      </c>
      <c r="R229" s="29" t="s">
        <v>59</v>
      </c>
      <c r="S229" s="29" t="s">
        <v>156</v>
      </c>
    </row>
    <row r="230" spans="1:19" ht="32" x14ac:dyDescent="0.2">
      <c r="A230" s="28" t="s">
        <v>155</v>
      </c>
      <c r="B230" s="29" t="s">
        <v>144</v>
      </c>
      <c r="C230" s="29" t="s">
        <v>164</v>
      </c>
      <c r="D230" s="29" t="s">
        <v>62</v>
      </c>
      <c r="E230" s="29" t="s">
        <v>63</v>
      </c>
      <c r="F230" s="33" t="s">
        <v>670</v>
      </c>
      <c r="G230" s="29"/>
      <c r="H230" s="30">
        <v>32.24</v>
      </c>
      <c r="I230" s="30"/>
      <c r="J230" s="29" t="s">
        <v>54</v>
      </c>
      <c r="K230" s="31" t="s">
        <v>55</v>
      </c>
      <c r="L230" s="29" t="s">
        <v>55</v>
      </c>
      <c r="M230" s="29" t="s">
        <v>55</v>
      </c>
      <c r="N230" s="29" t="s">
        <v>164</v>
      </c>
      <c r="O230" s="29" t="s">
        <v>165</v>
      </c>
      <c r="P230" s="29" t="s">
        <v>166</v>
      </c>
      <c r="Q230" s="29" t="s">
        <v>167</v>
      </c>
      <c r="R230" s="29" t="s">
        <v>59</v>
      </c>
      <c r="S230" s="29" t="s">
        <v>168</v>
      </c>
    </row>
    <row r="231" spans="1:19" ht="48" x14ac:dyDescent="0.2">
      <c r="A231" s="28" t="s">
        <v>155</v>
      </c>
      <c r="B231" s="29" t="s">
        <v>144</v>
      </c>
      <c r="C231" s="29" t="s">
        <v>102</v>
      </c>
      <c r="D231" s="29" t="s">
        <v>52</v>
      </c>
      <c r="E231" s="29" t="s">
        <v>53</v>
      </c>
      <c r="F231" s="33" t="s">
        <v>670</v>
      </c>
      <c r="G231" s="29"/>
      <c r="H231" s="30">
        <v>20.83</v>
      </c>
      <c r="I231" s="30"/>
      <c r="J231" s="29" t="s">
        <v>54</v>
      </c>
      <c r="K231" s="31" t="s">
        <v>55</v>
      </c>
      <c r="L231" s="29" t="s">
        <v>55</v>
      </c>
      <c r="M231" s="29" t="s">
        <v>103</v>
      </c>
      <c r="N231" s="29" t="s">
        <v>102</v>
      </c>
      <c r="O231" s="29" t="s">
        <v>104</v>
      </c>
      <c r="P231" s="29" t="s">
        <v>57</v>
      </c>
      <c r="Q231" s="29" t="s">
        <v>58</v>
      </c>
      <c r="R231" s="29" t="s">
        <v>59</v>
      </c>
      <c r="S231" s="29" t="s">
        <v>169</v>
      </c>
    </row>
    <row r="232" spans="1:19" ht="32" x14ac:dyDescent="0.2">
      <c r="A232" s="28" t="s">
        <v>155</v>
      </c>
      <c r="B232" s="29" t="s">
        <v>155</v>
      </c>
      <c r="C232" s="29" t="s">
        <v>170</v>
      </c>
      <c r="D232" s="29" t="s">
        <v>62</v>
      </c>
      <c r="E232" s="29" t="s">
        <v>63</v>
      </c>
      <c r="F232" s="33" t="s">
        <v>670</v>
      </c>
      <c r="G232" s="29"/>
      <c r="H232" s="30">
        <v>12.69</v>
      </c>
      <c r="I232" s="30"/>
      <c r="J232" s="29" t="s">
        <v>54</v>
      </c>
      <c r="K232" s="31" t="s">
        <v>55</v>
      </c>
      <c r="L232" s="29" t="s">
        <v>55</v>
      </c>
      <c r="M232" s="29" t="s">
        <v>55</v>
      </c>
      <c r="N232" s="29" t="s">
        <v>170</v>
      </c>
      <c r="O232" s="29" t="s">
        <v>171</v>
      </c>
      <c r="P232" s="29" t="s">
        <v>172</v>
      </c>
      <c r="Q232" s="29" t="s">
        <v>173</v>
      </c>
      <c r="R232" s="29" t="s">
        <v>59</v>
      </c>
      <c r="S232" s="29" t="s">
        <v>174</v>
      </c>
    </row>
    <row r="233" spans="1:19" ht="32" x14ac:dyDescent="0.2">
      <c r="A233" s="28" t="s">
        <v>155</v>
      </c>
      <c r="B233" s="29" t="s">
        <v>155</v>
      </c>
      <c r="C233" s="29" t="s">
        <v>170</v>
      </c>
      <c r="D233" s="29" t="s">
        <v>62</v>
      </c>
      <c r="E233" s="29" t="s">
        <v>63</v>
      </c>
      <c r="F233" s="33" t="s">
        <v>670</v>
      </c>
      <c r="G233" s="29"/>
      <c r="H233" s="30">
        <v>20.440000000000001</v>
      </c>
      <c r="I233" s="30"/>
      <c r="J233" s="29" t="s">
        <v>54</v>
      </c>
      <c r="K233" s="31" t="s">
        <v>55</v>
      </c>
      <c r="L233" s="29" t="s">
        <v>55</v>
      </c>
      <c r="M233" s="29" t="s">
        <v>55</v>
      </c>
      <c r="N233" s="29" t="s">
        <v>170</v>
      </c>
      <c r="O233" s="29" t="s">
        <v>171</v>
      </c>
      <c r="P233" s="29" t="s">
        <v>172</v>
      </c>
      <c r="Q233" s="29" t="s">
        <v>173</v>
      </c>
      <c r="R233" s="29" t="s">
        <v>59</v>
      </c>
      <c r="S233" s="29" t="s">
        <v>175</v>
      </c>
    </row>
    <row r="234" spans="1:19" ht="32" x14ac:dyDescent="0.2">
      <c r="A234" s="28" t="s">
        <v>155</v>
      </c>
      <c r="B234" s="29" t="s">
        <v>155</v>
      </c>
      <c r="C234" s="29" t="s">
        <v>170</v>
      </c>
      <c r="D234" s="29" t="s">
        <v>62</v>
      </c>
      <c r="E234" s="29" t="s">
        <v>63</v>
      </c>
      <c r="F234" s="33" t="s">
        <v>670</v>
      </c>
      <c r="G234" s="29"/>
      <c r="H234" s="30">
        <v>22</v>
      </c>
      <c r="I234" s="30"/>
      <c r="J234" s="29" t="s">
        <v>54</v>
      </c>
      <c r="K234" s="31" t="s">
        <v>55</v>
      </c>
      <c r="L234" s="29" t="s">
        <v>55</v>
      </c>
      <c r="M234" s="29" t="s">
        <v>55</v>
      </c>
      <c r="N234" s="29" t="s">
        <v>170</v>
      </c>
      <c r="O234" s="29" t="s">
        <v>171</v>
      </c>
      <c r="P234" s="29" t="s">
        <v>172</v>
      </c>
      <c r="Q234" s="29" t="s">
        <v>173</v>
      </c>
      <c r="R234" s="29" t="s">
        <v>59</v>
      </c>
      <c r="S234" s="29" t="s">
        <v>176</v>
      </c>
    </row>
    <row r="235" spans="1:19" ht="32" x14ac:dyDescent="0.2">
      <c r="A235" s="28" t="s">
        <v>155</v>
      </c>
      <c r="B235" s="29" t="s">
        <v>155</v>
      </c>
      <c r="C235" s="29" t="s">
        <v>170</v>
      </c>
      <c r="D235" s="29" t="s">
        <v>62</v>
      </c>
      <c r="E235" s="29" t="s">
        <v>63</v>
      </c>
      <c r="F235" s="33" t="s">
        <v>670</v>
      </c>
      <c r="G235" s="29"/>
      <c r="H235" s="30">
        <v>67.39</v>
      </c>
      <c r="I235" s="30"/>
      <c r="J235" s="29" t="s">
        <v>54</v>
      </c>
      <c r="K235" s="31" t="s">
        <v>55</v>
      </c>
      <c r="L235" s="29" t="s">
        <v>55</v>
      </c>
      <c r="M235" s="29" t="s">
        <v>55</v>
      </c>
      <c r="N235" s="29" t="s">
        <v>170</v>
      </c>
      <c r="O235" s="29" t="s">
        <v>171</v>
      </c>
      <c r="P235" s="29" t="s">
        <v>172</v>
      </c>
      <c r="Q235" s="29" t="s">
        <v>173</v>
      </c>
      <c r="R235" s="29" t="s">
        <v>59</v>
      </c>
      <c r="S235" s="29" t="s">
        <v>177</v>
      </c>
    </row>
    <row r="236" spans="1:19" ht="32" x14ac:dyDescent="0.2">
      <c r="A236" s="28" t="s">
        <v>144</v>
      </c>
      <c r="B236" s="29" t="s">
        <v>128</v>
      </c>
      <c r="C236" s="29" t="s">
        <v>145</v>
      </c>
      <c r="D236" s="29" t="s">
        <v>52</v>
      </c>
      <c r="E236" s="29" t="s">
        <v>53</v>
      </c>
      <c r="F236" s="33" t="s">
        <v>670</v>
      </c>
      <c r="G236" s="29"/>
      <c r="H236" s="30">
        <v>15.95</v>
      </c>
      <c r="I236" s="30"/>
      <c r="J236" s="29" t="s">
        <v>54</v>
      </c>
      <c r="K236" s="31" t="s">
        <v>55</v>
      </c>
      <c r="L236" s="29" t="s">
        <v>55</v>
      </c>
      <c r="M236" s="29" t="s">
        <v>55</v>
      </c>
      <c r="N236" s="29" t="s">
        <v>145</v>
      </c>
      <c r="O236" s="29" t="s">
        <v>146</v>
      </c>
      <c r="P236" s="29" t="s">
        <v>57</v>
      </c>
      <c r="Q236" s="29" t="s">
        <v>58</v>
      </c>
      <c r="R236" s="29" t="s">
        <v>59</v>
      </c>
      <c r="S236" s="29" t="s">
        <v>147</v>
      </c>
    </row>
    <row r="237" spans="1:19" ht="32" x14ac:dyDescent="0.2">
      <c r="A237" s="28" t="s">
        <v>144</v>
      </c>
      <c r="B237" s="29" t="s">
        <v>143</v>
      </c>
      <c r="C237" s="29" t="s">
        <v>145</v>
      </c>
      <c r="D237" s="29" t="s">
        <v>52</v>
      </c>
      <c r="E237" s="29" t="s">
        <v>53</v>
      </c>
      <c r="F237" s="33" t="s">
        <v>670</v>
      </c>
      <c r="G237" s="29"/>
      <c r="H237" s="30">
        <v>42.35</v>
      </c>
      <c r="I237" s="30"/>
      <c r="J237" s="29" t="s">
        <v>54</v>
      </c>
      <c r="K237" s="31" t="s">
        <v>55</v>
      </c>
      <c r="L237" s="29" t="s">
        <v>55</v>
      </c>
      <c r="M237" s="29" t="s">
        <v>55</v>
      </c>
      <c r="N237" s="29" t="s">
        <v>145</v>
      </c>
      <c r="O237" s="29" t="s">
        <v>146</v>
      </c>
      <c r="P237" s="29" t="s">
        <v>57</v>
      </c>
      <c r="Q237" s="29" t="s">
        <v>58</v>
      </c>
      <c r="R237" s="29" t="s">
        <v>59</v>
      </c>
      <c r="S237" s="29" t="s">
        <v>148</v>
      </c>
    </row>
    <row r="238" spans="1:19" ht="32" x14ac:dyDescent="0.2">
      <c r="A238" s="28" t="s">
        <v>144</v>
      </c>
      <c r="B238" s="29" t="s">
        <v>144</v>
      </c>
      <c r="C238" s="29" t="s">
        <v>151</v>
      </c>
      <c r="D238" s="29" t="s">
        <v>62</v>
      </c>
      <c r="E238" s="29" t="s">
        <v>63</v>
      </c>
      <c r="F238" s="33" t="s">
        <v>670</v>
      </c>
      <c r="G238" s="29"/>
      <c r="H238" s="30">
        <v>48.4</v>
      </c>
      <c r="I238" s="30"/>
      <c r="J238" s="29" t="s">
        <v>54</v>
      </c>
      <c r="K238" s="31" t="s">
        <v>55</v>
      </c>
      <c r="L238" s="29" t="s">
        <v>55</v>
      </c>
      <c r="M238" s="29" t="s">
        <v>55</v>
      </c>
      <c r="N238" s="29" t="s">
        <v>151</v>
      </c>
      <c r="O238" s="29" t="s">
        <v>152</v>
      </c>
      <c r="P238" s="29" t="s">
        <v>70</v>
      </c>
      <c r="Q238" s="29" t="s">
        <v>153</v>
      </c>
      <c r="R238" s="29" t="s">
        <v>59</v>
      </c>
      <c r="S238" s="29" t="s">
        <v>154</v>
      </c>
    </row>
    <row r="239" spans="1:19" ht="32" x14ac:dyDescent="0.2">
      <c r="A239" s="28" t="s">
        <v>128</v>
      </c>
      <c r="B239" s="29" t="s">
        <v>115</v>
      </c>
      <c r="C239" s="29" t="s">
        <v>129</v>
      </c>
      <c r="D239" s="29" t="s">
        <v>62</v>
      </c>
      <c r="E239" s="29" t="s">
        <v>63</v>
      </c>
      <c r="F239" s="29" t="s">
        <v>670</v>
      </c>
      <c r="G239" s="29"/>
      <c r="H239" s="30">
        <v>13.99</v>
      </c>
      <c r="I239" s="30"/>
      <c r="J239" s="29" t="s">
        <v>54</v>
      </c>
      <c r="K239" s="31" t="s">
        <v>55</v>
      </c>
      <c r="L239" s="29" t="s">
        <v>55</v>
      </c>
      <c r="M239" s="29" t="s">
        <v>55</v>
      </c>
      <c r="N239" s="29" t="s">
        <v>129</v>
      </c>
      <c r="O239" s="29" t="s">
        <v>130</v>
      </c>
      <c r="P239" s="29" t="s">
        <v>131</v>
      </c>
      <c r="Q239" s="29" t="s">
        <v>132</v>
      </c>
      <c r="R239" s="29" t="s">
        <v>84</v>
      </c>
      <c r="S239" s="29" t="s">
        <v>133</v>
      </c>
    </row>
    <row r="240" spans="1:19" ht="48" x14ac:dyDescent="0.2">
      <c r="A240" s="28" t="s">
        <v>128</v>
      </c>
      <c r="B240" s="29" t="s">
        <v>115</v>
      </c>
      <c r="C240" s="29" t="s">
        <v>102</v>
      </c>
      <c r="D240" s="29" t="s">
        <v>52</v>
      </c>
      <c r="E240" s="29" t="s">
        <v>53</v>
      </c>
      <c r="F240" s="29" t="s">
        <v>670</v>
      </c>
      <c r="G240" s="29"/>
      <c r="H240" s="30">
        <v>8.51</v>
      </c>
      <c r="I240" s="30"/>
      <c r="J240" s="29" t="s">
        <v>54</v>
      </c>
      <c r="K240" s="31" t="s">
        <v>55</v>
      </c>
      <c r="L240" s="29" t="s">
        <v>55</v>
      </c>
      <c r="M240" s="29" t="s">
        <v>103</v>
      </c>
      <c r="N240" s="29" t="s">
        <v>102</v>
      </c>
      <c r="O240" s="29" t="s">
        <v>104</v>
      </c>
      <c r="P240" s="29" t="s">
        <v>57</v>
      </c>
      <c r="Q240" s="29" t="s">
        <v>58</v>
      </c>
      <c r="R240" s="29" t="s">
        <v>59</v>
      </c>
      <c r="S240" s="29" t="s">
        <v>141</v>
      </c>
    </row>
    <row r="241" spans="1:19" ht="48" x14ac:dyDescent="0.2">
      <c r="A241" s="28" t="s">
        <v>128</v>
      </c>
      <c r="B241" s="29" t="s">
        <v>115</v>
      </c>
      <c r="C241" s="29" t="s">
        <v>102</v>
      </c>
      <c r="D241" s="29" t="s">
        <v>52</v>
      </c>
      <c r="E241" s="29" t="s">
        <v>53</v>
      </c>
      <c r="F241" s="29" t="s">
        <v>670</v>
      </c>
      <c r="G241" s="29"/>
      <c r="H241" s="30">
        <v>18.73</v>
      </c>
      <c r="I241" s="30"/>
      <c r="J241" s="29" t="s">
        <v>54</v>
      </c>
      <c r="K241" s="31" t="s">
        <v>55</v>
      </c>
      <c r="L241" s="29" t="s">
        <v>55</v>
      </c>
      <c r="M241" s="29" t="s">
        <v>103</v>
      </c>
      <c r="N241" s="29" t="s">
        <v>102</v>
      </c>
      <c r="O241" s="29" t="s">
        <v>104</v>
      </c>
      <c r="P241" s="29" t="s">
        <v>57</v>
      </c>
      <c r="Q241" s="29" t="s">
        <v>58</v>
      </c>
      <c r="R241" s="29" t="s">
        <v>59</v>
      </c>
      <c r="S241" s="29" t="s">
        <v>142</v>
      </c>
    </row>
    <row r="242" spans="1:19" ht="32" x14ac:dyDescent="0.2">
      <c r="A242" s="28" t="s">
        <v>128</v>
      </c>
      <c r="B242" s="29" t="s">
        <v>115</v>
      </c>
      <c r="C242" s="29" t="s">
        <v>487</v>
      </c>
      <c r="D242" s="29" t="s">
        <v>52</v>
      </c>
      <c r="E242" s="29" t="s">
        <v>485</v>
      </c>
      <c r="F242" s="29" t="s">
        <v>670</v>
      </c>
      <c r="G242" s="29"/>
      <c r="H242" s="30">
        <v>32.9</v>
      </c>
      <c r="I242" s="30"/>
      <c r="J242" s="29" t="s">
        <v>54</v>
      </c>
      <c r="K242" s="31" t="s">
        <v>55</v>
      </c>
      <c r="L242" s="29" t="s">
        <v>55</v>
      </c>
      <c r="M242" s="29" t="s">
        <v>55</v>
      </c>
      <c r="N242" s="29" t="s">
        <v>487</v>
      </c>
      <c r="O242" s="29" t="s">
        <v>488</v>
      </c>
      <c r="P242" s="29" t="s">
        <v>489</v>
      </c>
      <c r="Q242" s="29" t="s">
        <v>490</v>
      </c>
      <c r="R242" s="29" t="s">
        <v>59</v>
      </c>
      <c r="S242" s="29" t="s">
        <v>491</v>
      </c>
    </row>
    <row r="243" spans="1:19" x14ac:dyDescent="0.2">
      <c r="A243" s="34">
        <v>45775</v>
      </c>
      <c r="B243" s="35"/>
      <c r="C243" s="35" t="s">
        <v>594</v>
      </c>
      <c r="D243" s="36" t="s">
        <v>587</v>
      </c>
      <c r="E243" s="35" t="s">
        <v>588</v>
      </c>
      <c r="F243" s="35" t="s">
        <v>670</v>
      </c>
      <c r="G243" s="35"/>
      <c r="H243" s="39">
        <v>14.2</v>
      </c>
      <c r="I243" s="39"/>
      <c r="J243" s="35"/>
      <c r="K243" s="35"/>
      <c r="L243" s="35"/>
      <c r="M243" s="35"/>
      <c r="N243" s="35"/>
      <c r="O243" s="35"/>
      <c r="P243" s="35"/>
      <c r="Q243" s="35"/>
      <c r="R243" s="35"/>
      <c r="S243" s="35"/>
    </row>
    <row r="244" spans="1:19" x14ac:dyDescent="0.2">
      <c r="A244" s="34">
        <v>45775</v>
      </c>
      <c r="B244" s="35"/>
      <c r="C244" s="35" t="s">
        <v>595</v>
      </c>
      <c r="D244" s="36" t="s">
        <v>587</v>
      </c>
      <c r="E244" s="35" t="s">
        <v>588</v>
      </c>
      <c r="F244" s="35" t="s">
        <v>670</v>
      </c>
      <c r="G244" s="35"/>
      <c r="H244" s="39">
        <v>22</v>
      </c>
      <c r="I244" s="39"/>
      <c r="J244" s="35"/>
      <c r="K244" s="35"/>
      <c r="L244" s="35"/>
      <c r="M244" s="35"/>
      <c r="N244" s="35"/>
      <c r="O244" s="35"/>
      <c r="P244" s="35"/>
      <c r="Q244" s="35"/>
      <c r="R244" s="35"/>
      <c r="S244" s="35"/>
    </row>
    <row r="245" spans="1:19" x14ac:dyDescent="0.2">
      <c r="A245" s="34">
        <v>45775</v>
      </c>
      <c r="B245" s="35"/>
      <c r="C245" s="35" t="s">
        <v>593</v>
      </c>
      <c r="D245" s="36" t="s">
        <v>587</v>
      </c>
      <c r="E245" s="35" t="s">
        <v>588</v>
      </c>
      <c r="F245" s="35" t="s">
        <v>670</v>
      </c>
      <c r="G245" s="35"/>
      <c r="H245" s="39">
        <v>14.21</v>
      </c>
      <c r="I245" s="39"/>
      <c r="J245" s="35"/>
      <c r="K245" s="35"/>
      <c r="L245" s="35"/>
      <c r="M245" s="35"/>
      <c r="N245" s="35"/>
      <c r="O245" s="35"/>
      <c r="P245" s="35"/>
      <c r="Q245" s="35"/>
      <c r="R245" s="35"/>
      <c r="S245" s="35"/>
    </row>
    <row r="246" spans="1:19" x14ac:dyDescent="0.2">
      <c r="A246" s="34">
        <v>45775</v>
      </c>
      <c r="B246" s="35"/>
      <c r="C246" s="35" t="s">
        <v>593</v>
      </c>
      <c r="D246" s="36" t="s">
        <v>587</v>
      </c>
      <c r="E246" s="35" t="s">
        <v>588</v>
      </c>
      <c r="F246" s="35" t="s">
        <v>670</v>
      </c>
      <c r="G246" s="35"/>
      <c r="H246" s="39">
        <v>14.21</v>
      </c>
      <c r="I246" s="39"/>
      <c r="J246" s="35"/>
      <c r="K246" s="35"/>
      <c r="L246" s="35"/>
      <c r="M246" s="35"/>
      <c r="N246" s="35"/>
      <c r="O246" s="35"/>
      <c r="P246" s="35"/>
      <c r="Q246" s="35"/>
      <c r="R246" s="35"/>
      <c r="S246" s="35"/>
    </row>
    <row r="247" spans="1:19" x14ac:dyDescent="0.2">
      <c r="A247" s="34">
        <v>45775</v>
      </c>
      <c r="B247" s="35"/>
      <c r="C247" s="35" t="s">
        <v>632</v>
      </c>
      <c r="D247" s="36" t="s">
        <v>624</v>
      </c>
      <c r="E247" s="35" t="s">
        <v>625</v>
      </c>
      <c r="F247" s="35" t="s">
        <v>670</v>
      </c>
      <c r="G247" s="35"/>
      <c r="H247" s="39">
        <v>18.13</v>
      </c>
      <c r="I247" s="39"/>
      <c r="J247" s="35" t="s">
        <v>626</v>
      </c>
      <c r="K247" s="35"/>
      <c r="L247" s="35">
        <v>-4750.54</v>
      </c>
      <c r="M247" s="35" t="s">
        <v>633</v>
      </c>
      <c r="N247" s="35" t="s">
        <v>634</v>
      </c>
      <c r="O247" s="35"/>
      <c r="P247" s="35"/>
      <c r="Q247" s="35"/>
      <c r="R247" s="35"/>
      <c r="S247" s="35"/>
    </row>
    <row r="248" spans="1:19" ht="16" x14ac:dyDescent="0.2">
      <c r="A248" s="13">
        <v>45775</v>
      </c>
      <c r="C248" t="s">
        <v>596</v>
      </c>
      <c r="D248" s="14" t="s">
        <v>587</v>
      </c>
      <c r="E248" t="s">
        <v>588</v>
      </c>
      <c r="F248" s="29" t="s">
        <v>670</v>
      </c>
      <c r="H248" s="4">
        <v>49</v>
      </c>
    </row>
    <row r="249" spans="1:19" ht="16" x14ac:dyDescent="0.2">
      <c r="A249" s="13">
        <v>45775</v>
      </c>
      <c r="C249" t="s">
        <v>629</v>
      </c>
      <c r="D249" s="14" t="s">
        <v>624</v>
      </c>
      <c r="E249" t="s">
        <v>625</v>
      </c>
      <c r="F249" s="29" t="s">
        <v>670</v>
      </c>
      <c r="H249" s="4">
        <v>46.14</v>
      </c>
      <c r="J249" t="s">
        <v>626</v>
      </c>
      <c r="L249">
        <v>-4796.68</v>
      </c>
      <c r="M249" t="s">
        <v>630</v>
      </c>
      <c r="N249" t="s">
        <v>631</v>
      </c>
    </row>
    <row r="250" spans="1:19" ht="16" x14ac:dyDescent="0.2">
      <c r="A250" s="13">
        <v>45775</v>
      </c>
      <c r="C250" t="s">
        <v>629</v>
      </c>
      <c r="D250" s="14" t="s">
        <v>624</v>
      </c>
      <c r="E250" t="s">
        <v>625</v>
      </c>
      <c r="F250" s="29" t="s">
        <v>670</v>
      </c>
      <c r="H250" s="4">
        <v>14.71</v>
      </c>
      <c r="J250" t="s">
        <v>626</v>
      </c>
      <c r="L250">
        <v>-4732.41</v>
      </c>
      <c r="M250" t="s">
        <v>630</v>
      </c>
      <c r="N250" t="s">
        <v>631</v>
      </c>
    </row>
    <row r="251" spans="1:19" x14ac:dyDescent="0.2">
      <c r="A251" s="13">
        <v>45776</v>
      </c>
      <c r="C251" t="s">
        <v>592</v>
      </c>
      <c r="D251" s="14" t="s">
        <v>587</v>
      </c>
      <c r="E251" t="s">
        <v>588</v>
      </c>
      <c r="F251" s="35" t="s">
        <v>670</v>
      </c>
      <c r="H251" s="4">
        <v>6.28</v>
      </c>
    </row>
    <row r="252" spans="1:19" ht="48" x14ac:dyDescent="0.2">
      <c r="A252" s="28" t="s">
        <v>91</v>
      </c>
      <c r="B252" s="29" t="s">
        <v>49</v>
      </c>
      <c r="C252" s="29" t="s">
        <v>102</v>
      </c>
      <c r="D252" s="29" t="s">
        <v>52</v>
      </c>
      <c r="E252" s="29" t="s">
        <v>53</v>
      </c>
      <c r="F252" s="29" t="s">
        <v>670</v>
      </c>
      <c r="G252" s="29"/>
      <c r="H252" s="30">
        <v>22.75</v>
      </c>
      <c r="I252" s="30"/>
      <c r="J252" s="29" t="s">
        <v>54</v>
      </c>
      <c r="K252" s="31" t="s">
        <v>55</v>
      </c>
      <c r="L252" s="29" t="s">
        <v>55</v>
      </c>
      <c r="M252" s="29" t="s">
        <v>103</v>
      </c>
      <c r="N252" s="29" t="s">
        <v>102</v>
      </c>
      <c r="O252" s="29" t="s">
        <v>104</v>
      </c>
      <c r="P252" s="29" t="s">
        <v>57</v>
      </c>
      <c r="Q252" s="29" t="s">
        <v>58</v>
      </c>
      <c r="R252" s="29" t="s">
        <v>59</v>
      </c>
      <c r="S252" s="29" t="s">
        <v>105</v>
      </c>
    </row>
    <row r="253" spans="1:19" x14ac:dyDescent="0.2">
      <c r="A253" s="34">
        <v>45776</v>
      </c>
      <c r="B253" s="35"/>
      <c r="C253" s="35" t="s">
        <v>590</v>
      </c>
      <c r="D253" s="36" t="s">
        <v>587</v>
      </c>
      <c r="E253" s="35" t="s">
        <v>588</v>
      </c>
      <c r="F253" s="35" t="s">
        <v>670</v>
      </c>
      <c r="G253" s="35"/>
      <c r="H253" s="39">
        <v>67.75</v>
      </c>
      <c r="I253" s="39"/>
      <c r="J253" s="35"/>
      <c r="K253" s="35"/>
      <c r="L253" s="35"/>
      <c r="M253" s="35"/>
      <c r="N253" s="35"/>
      <c r="O253" s="35"/>
      <c r="P253" s="35"/>
      <c r="Q253" s="35"/>
      <c r="R253" s="35"/>
      <c r="S253" s="35"/>
    </row>
    <row r="254" spans="1:19" ht="16" x14ac:dyDescent="0.2">
      <c r="A254" s="13">
        <v>45776</v>
      </c>
      <c r="C254" t="s">
        <v>591</v>
      </c>
      <c r="D254" s="14" t="s">
        <v>587</v>
      </c>
      <c r="E254" t="s">
        <v>588</v>
      </c>
      <c r="F254" s="29" t="s">
        <v>670</v>
      </c>
      <c r="H254" s="4">
        <v>8.99</v>
      </c>
    </row>
    <row r="255" spans="1:19" ht="16" x14ac:dyDescent="0.2">
      <c r="A255" s="13">
        <v>45776</v>
      </c>
      <c r="C255" t="s">
        <v>629</v>
      </c>
      <c r="D255" s="14" t="s">
        <v>624</v>
      </c>
      <c r="E255" t="s">
        <v>625</v>
      </c>
      <c r="F255" s="29" t="s">
        <v>670</v>
      </c>
      <c r="H255" s="4">
        <v>193.96</v>
      </c>
      <c r="J255" t="s">
        <v>626</v>
      </c>
      <c r="L255">
        <v>-5046.2700000000004</v>
      </c>
      <c r="M255" t="s">
        <v>630</v>
      </c>
      <c r="N255" t="s">
        <v>631</v>
      </c>
    </row>
    <row r="256" spans="1:19" ht="16" x14ac:dyDescent="0.2">
      <c r="A256" s="13">
        <v>45776</v>
      </c>
      <c r="C256" t="s">
        <v>629</v>
      </c>
      <c r="D256" s="14" t="s">
        <v>624</v>
      </c>
      <c r="E256" t="s">
        <v>625</v>
      </c>
      <c r="F256" s="33" t="s">
        <v>670</v>
      </c>
      <c r="H256" s="4">
        <v>23.62</v>
      </c>
      <c r="J256" t="s">
        <v>626</v>
      </c>
      <c r="L256">
        <v>-4852.3100000000004</v>
      </c>
      <c r="M256" t="s">
        <v>630</v>
      </c>
      <c r="N256" t="s">
        <v>631</v>
      </c>
    </row>
    <row r="257" spans="1:19" ht="16" x14ac:dyDescent="0.2">
      <c r="A257" s="13">
        <v>45776</v>
      </c>
      <c r="C257" t="s">
        <v>629</v>
      </c>
      <c r="D257" s="14" t="s">
        <v>624</v>
      </c>
      <c r="E257" t="s">
        <v>625</v>
      </c>
      <c r="F257" s="33" t="s">
        <v>670</v>
      </c>
      <c r="G257" s="37"/>
      <c r="H257" s="4">
        <v>19.100000000000001</v>
      </c>
      <c r="J257" t="s">
        <v>626</v>
      </c>
      <c r="L257">
        <v>-4828.6899999999996</v>
      </c>
      <c r="M257" t="s">
        <v>630</v>
      </c>
      <c r="N257" t="s">
        <v>631</v>
      </c>
    </row>
    <row r="258" spans="1:19" ht="16" x14ac:dyDescent="0.2">
      <c r="A258" s="13">
        <v>45776</v>
      </c>
      <c r="C258" t="s">
        <v>629</v>
      </c>
      <c r="D258" s="14" t="s">
        <v>624</v>
      </c>
      <c r="E258" t="s">
        <v>625</v>
      </c>
      <c r="F258" s="29" t="s">
        <v>670</v>
      </c>
      <c r="H258" s="4">
        <v>6.92</v>
      </c>
      <c r="J258" t="s">
        <v>626</v>
      </c>
      <c r="L258">
        <v>-4809.59</v>
      </c>
      <c r="M258" t="s">
        <v>630</v>
      </c>
      <c r="N258" t="s">
        <v>631</v>
      </c>
    </row>
    <row r="259" spans="1:19" ht="32" x14ac:dyDescent="0.2">
      <c r="A259" s="28" t="s">
        <v>91</v>
      </c>
      <c r="B259" s="29" t="s">
        <v>49</v>
      </c>
      <c r="C259" s="29" t="s">
        <v>110</v>
      </c>
      <c r="D259" s="29" t="s">
        <v>52</v>
      </c>
      <c r="E259" s="29" t="s">
        <v>53</v>
      </c>
      <c r="F259" s="29" t="s">
        <v>670</v>
      </c>
      <c r="G259" s="29"/>
      <c r="H259" s="30">
        <v>12.49</v>
      </c>
      <c r="I259" s="30"/>
      <c r="J259" s="29" t="s">
        <v>54</v>
      </c>
      <c r="K259" s="31" t="s">
        <v>55</v>
      </c>
      <c r="L259" s="29" t="s">
        <v>55</v>
      </c>
      <c r="M259" s="29" t="s">
        <v>55</v>
      </c>
      <c r="N259" s="29" t="s">
        <v>110</v>
      </c>
      <c r="O259" s="29" t="s">
        <v>111</v>
      </c>
      <c r="P259" s="29" t="s">
        <v>112</v>
      </c>
      <c r="Q259" s="29" t="s">
        <v>113</v>
      </c>
      <c r="R259" s="29" t="s">
        <v>59</v>
      </c>
      <c r="S259" s="29" t="s">
        <v>114</v>
      </c>
    </row>
    <row r="260" spans="1:19" ht="32" x14ac:dyDescent="0.2">
      <c r="A260" s="28" t="s">
        <v>49</v>
      </c>
      <c r="B260" s="29" t="s">
        <v>50</v>
      </c>
      <c r="C260" s="29" t="s">
        <v>74</v>
      </c>
      <c r="D260" s="29" t="s">
        <v>52</v>
      </c>
      <c r="E260" s="29" t="s">
        <v>53</v>
      </c>
      <c r="F260" s="29" t="s">
        <v>670</v>
      </c>
      <c r="G260" s="29"/>
      <c r="H260" s="30">
        <v>16.350000000000001</v>
      </c>
      <c r="I260" s="30"/>
      <c r="J260" s="29" t="s">
        <v>54</v>
      </c>
      <c r="K260" s="31" t="s">
        <v>55</v>
      </c>
      <c r="L260" s="29" t="s">
        <v>55</v>
      </c>
      <c r="M260" s="29" t="s">
        <v>55</v>
      </c>
      <c r="N260" s="29" t="s">
        <v>74</v>
      </c>
      <c r="O260" s="29" t="s">
        <v>75</v>
      </c>
      <c r="P260" s="29" t="s">
        <v>76</v>
      </c>
      <c r="Q260" s="29" t="s">
        <v>77</v>
      </c>
      <c r="R260" s="29" t="s">
        <v>59</v>
      </c>
      <c r="S260" s="29" t="s">
        <v>78</v>
      </c>
    </row>
    <row r="261" spans="1:19" ht="16" x14ac:dyDescent="0.2">
      <c r="A261" s="13">
        <v>45777</v>
      </c>
      <c r="C261" t="s">
        <v>589</v>
      </c>
      <c r="D261" s="14" t="s">
        <v>587</v>
      </c>
      <c r="E261" t="s">
        <v>588</v>
      </c>
      <c r="F261" s="29" t="s">
        <v>670</v>
      </c>
      <c r="H261" s="4">
        <v>28.73</v>
      </c>
    </row>
    <row r="262" spans="1:19" ht="16" x14ac:dyDescent="0.2">
      <c r="A262" s="13">
        <v>45777</v>
      </c>
      <c r="C262" t="s">
        <v>586</v>
      </c>
      <c r="D262" s="14" t="s">
        <v>587</v>
      </c>
      <c r="E262" t="s">
        <v>588</v>
      </c>
      <c r="F262" s="29" t="s">
        <v>670</v>
      </c>
      <c r="H262" s="4">
        <v>109.86</v>
      </c>
    </row>
    <row r="263" spans="1:19" ht="32" x14ac:dyDescent="0.2">
      <c r="A263" s="28" t="s">
        <v>49</v>
      </c>
      <c r="B263" s="29" t="s">
        <v>50</v>
      </c>
      <c r="C263" s="29" t="s">
        <v>86</v>
      </c>
      <c r="D263" s="29" t="s">
        <v>52</v>
      </c>
      <c r="E263" s="29" t="s">
        <v>53</v>
      </c>
      <c r="F263" s="29" t="s">
        <v>670</v>
      </c>
      <c r="G263" s="29"/>
      <c r="H263" s="30">
        <v>7.8</v>
      </c>
      <c r="I263" s="30"/>
      <c r="J263" s="29" t="s">
        <v>54</v>
      </c>
      <c r="K263" s="31" t="s">
        <v>55</v>
      </c>
      <c r="L263" s="29" t="s">
        <v>55</v>
      </c>
      <c r="M263" s="29" t="s">
        <v>55</v>
      </c>
      <c r="N263" s="29" t="s">
        <v>86</v>
      </c>
      <c r="O263" s="29" t="s">
        <v>87</v>
      </c>
      <c r="P263" s="29" t="s">
        <v>88</v>
      </c>
      <c r="Q263" s="29" t="s">
        <v>89</v>
      </c>
      <c r="R263" s="29" t="s">
        <v>59</v>
      </c>
      <c r="S263" s="29" t="s">
        <v>90</v>
      </c>
    </row>
    <row r="264" spans="1:19" ht="32" x14ac:dyDescent="0.2">
      <c r="A264" s="28" t="s">
        <v>155</v>
      </c>
      <c r="B264" s="29" t="s">
        <v>144</v>
      </c>
      <c r="C264" s="29" t="s">
        <v>51</v>
      </c>
      <c r="D264" s="29" t="s">
        <v>62</v>
      </c>
      <c r="E264" s="29" t="s">
        <v>63</v>
      </c>
      <c r="F264" s="33"/>
      <c r="G264" s="29"/>
      <c r="H264" s="30">
        <v>1.49</v>
      </c>
      <c r="I264" s="30"/>
      <c r="J264" s="29" t="s">
        <v>54</v>
      </c>
      <c r="K264" s="31" t="s">
        <v>55</v>
      </c>
      <c r="L264" s="29" t="s">
        <v>55</v>
      </c>
      <c r="M264" s="29" t="s">
        <v>55</v>
      </c>
      <c r="N264" s="29" t="s">
        <v>51</v>
      </c>
      <c r="O264" s="29" t="s">
        <v>56</v>
      </c>
      <c r="P264" s="29" t="s">
        <v>57</v>
      </c>
      <c r="Q264" s="29" t="s">
        <v>58</v>
      </c>
      <c r="R264" s="29" t="s">
        <v>59</v>
      </c>
      <c r="S264" s="29" t="s">
        <v>157</v>
      </c>
    </row>
    <row r="265" spans="1:19" ht="32" x14ac:dyDescent="0.2">
      <c r="A265" s="28" t="s">
        <v>49</v>
      </c>
      <c r="B265" s="29" t="s">
        <v>50</v>
      </c>
      <c r="C265" s="29" t="s">
        <v>51</v>
      </c>
      <c r="D265" s="29" t="s">
        <v>52</v>
      </c>
      <c r="E265" s="29" t="s">
        <v>53</v>
      </c>
      <c r="F265" s="29"/>
      <c r="G265" s="29"/>
      <c r="H265" s="30">
        <v>1.49</v>
      </c>
      <c r="I265" s="30"/>
      <c r="J265" s="29" t="s">
        <v>54</v>
      </c>
      <c r="K265" s="31" t="s">
        <v>55</v>
      </c>
      <c r="L265" s="29" t="s">
        <v>55</v>
      </c>
      <c r="M265" s="29" t="s">
        <v>55</v>
      </c>
      <c r="N265" s="29" t="s">
        <v>51</v>
      </c>
      <c r="O265" s="29" t="s">
        <v>56</v>
      </c>
      <c r="P265" s="29" t="s">
        <v>57</v>
      </c>
      <c r="Q265" s="29" t="s">
        <v>58</v>
      </c>
      <c r="R265" s="29" t="s">
        <v>59</v>
      </c>
      <c r="S265" s="29" t="s">
        <v>60</v>
      </c>
    </row>
    <row r="266" spans="1:19" x14ac:dyDescent="0.2">
      <c r="B266" s="3"/>
    </row>
    <row r="267" spans="1:19" x14ac:dyDescent="0.2">
      <c r="B267" s="3"/>
    </row>
    <row r="268" spans="1:19" x14ac:dyDescent="0.2">
      <c r="B268" s="3"/>
    </row>
    <row r="269" spans="1:19" x14ac:dyDescent="0.2">
      <c r="B269" s="3"/>
    </row>
    <row r="270" spans="1:19" x14ac:dyDescent="0.2">
      <c r="B270" s="3"/>
    </row>
    <row r="271" spans="1:19" x14ac:dyDescent="0.2">
      <c r="B271" s="3"/>
    </row>
    <row r="272" spans="1:19" x14ac:dyDescent="0.2">
      <c r="B272" s="3"/>
    </row>
    <row r="273" spans="2:9" x14ac:dyDescent="0.2">
      <c r="B273" s="3"/>
    </row>
    <row r="275" spans="2:9" x14ac:dyDescent="0.2">
      <c r="H275" s="4">
        <f>SUM(H266:H274)</f>
        <v>0</v>
      </c>
      <c r="I275" s="4">
        <f>SUM(I266:I274)</f>
        <v>0</v>
      </c>
    </row>
  </sheetData>
  <sortState xmlns:xlrd2="http://schemas.microsoft.com/office/spreadsheetml/2017/richdata2" ref="A2:S275">
    <sortCondition ref="F2:F275"/>
    <sortCondition ref="A2:A275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7F455-1BC1-6343-9A9D-61EE834355B0}">
  <dimension ref="A1:S9"/>
  <sheetViews>
    <sheetView workbookViewId="0">
      <selection activeCell="I6" sqref="I6"/>
    </sheetView>
  </sheetViews>
  <sheetFormatPr baseColWidth="10" defaultRowHeight="15" x14ac:dyDescent="0.2"/>
  <cols>
    <col min="3" max="3" width="36.6640625" bestFit="1" customWidth="1"/>
    <col min="4" max="4" width="10.1640625" bestFit="1" customWidth="1"/>
    <col min="7" max="7" width="28.33203125" customWidth="1"/>
    <col min="8" max="9" width="10.83203125" style="4"/>
  </cols>
  <sheetData>
    <row r="1" spans="1:19" ht="6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16</v>
      </c>
      <c r="G1" s="2" t="s">
        <v>17</v>
      </c>
      <c r="H1" s="5" t="s">
        <v>5</v>
      </c>
      <c r="I1" s="6" t="s">
        <v>18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</row>
    <row r="2" spans="1:19" x14ac:dyDescent="0.2">
      <c r="A2" s="3">
        <v>45763</v>
      </c>
      <c r="B2" s="3"/>
      <c r="C2" t="s">
        <v>29</v>
      </c>
      <c r="D2">
        <v>465083897</v>
      </c>
      <c r="E2" t="s">
        <v>30</v>
      </c>
      <c r="F2" t="s">
        <v>31</v>
      </c>
      <c r="G2" t="s">
        <v>32</v>
      </c>
      <c r="H2" s="4">
        <v>6270</v>
      </c>
      <c r="I2" s="4">
        <f>H2/11</f>
        <v>570</v>
      </c>
      <c r="J2" t="s">
        <v>33</v>
      </c>
      <c r="K2">
        <v>25917.55</v>
      </c>
      <c r="L2" t="s">
        <v>33</v>
      </c>
      <c r="M2">
        <v>112879</v>
      </c>
      <c r="N2">
        <v>995</v>
      </c>
    </row>
    <row r="3" spans="1:19" x14ac:dyDescent="0.2">
      <c r="A3" s="3">
        <v>45777</v>
      </c>
      <c r="B3" s="3"/>
      <c r="C3" t="s">
        <v>34</v>
      </c>
      <c r="D3">
        <v>465083897</v>
      </c>
      <c r="E3" t="s">
        <v>30</v>
      </c>
      <c r="F3" t="s">
        <v>35</v>
      </c>
      <c r="G3" t="s">
        <v>36</v>
      </c>
      <c r="H3" s="4">
        <v>17.84</v>
      </c>
      <c r="I3" s="4">
        <v>0</v>
      </c>
      <c r="J3" t="s">
        <v>33</v>
      </c>
      <c r="K3">
        <v>18470.689999999999</v>
      </c>
      <c r="L3" t="s">
        <v>33</v>
      </c>
      <c r="M3">
        <v>112879</v>
      </c>
      <c r="N3">
        <v>995</v>
      </c>
    </row>
    <row r="4" spans="1:19" x14ac:dyDescent="0.2">
      <c r="A4" s="3"/>
      <c r="B4" s="3"/>
    </row>
    <row r="5" spans="1:19" x14ac:dyDescent="0.2">
      <c r="A5" s="3"/>
      <c r="B5" s="3"/>
      <c r="H5" s="4">
        <f>SUM(H2:H4)</f>
        <v>6287.84</v>
      </c>
      <c r="I5" s="4">
        <f>SUM(I2:I4)</f>
        <v>570</v>
      </c>
    </row>
    <row r="6" spans="1:19" x14ac:dyDescent="0.2">
      <c r="A6" s="3"/>
      <c r="B6" s="3"/>
    </row>
    <row r="7" spans="1:19" x14ac:dyDescent="0.2">
      <c r="A7" s="3"/>
      <c r="B7" s="3"/>
    </row>
    <row r="8" spans="1:19" x14ac:dyDescent="0.2">
      <c r="A8" s="3"/>
      <c r="B8" s="3"/>
    </row>
    <row r="9" spans="1:19" x14ac:dyDescent="0.2">
      <c r="A9" s="3"/>
      <c r="B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BUSINESS EXPENSES BY CATEGORY</vt:lpstr>
      <vt:lpstr>EXPENSES MASTER SCDEDULE</vt:lpstr>
      <vt:lpstr>INCOME MASTER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Jason Masters</cp:lastModifiedBy>
  <dcterms:created xsi:type="dcterms:W3CDTF">2025-07-05T02:01:03Z</dcterms:created>
  <dcterms:modified xsi:type="dcterms:W3CDTF">2025-07-22T13:22:21Z</dcterms:modified>
</cp:coreProperties>
</file>