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sonmasters/Library/CloudStorage/Box-Box/MLEM Internal Business Files/TAX/202410-202506/Base Data/2025-01/"/>
    </mc:Choice>
  </mc:AlternateContent>
  <xr:revisionPtr revIDLastSave="0" documentId="13_ncr:1_{DEB4DA1D-D1BC-3E46-9CF2-575FF486088B}" xr6:coauthVersionLast="47" xr6:coauthVersionMax="47" xr10:uidLastSave="{00000000-0000-0000-0000-000000000000}"/>
  <bookViews>
    <workbookView xWindow="1060" yWindow="1620" windowWidth="38980" windowHeight="26000" xr2:uid="{00000000-000D-0000-FFFF-FFFF00000000}"/>
  </bookViews>
  <sheets>
    <sheet name="SUMMARY" sheetId="4" r:id="rId1"/>
    <sheet name="EXPENSES BY CATEGORY SUBTOTALLE" sheetId="5" r:id="rId2"/>
    <sheet name="EXPENSES MASTER SCDEDULE" sheetId="1" r:id="rId3"/>
    <sheet name="INCOME MASTER SCHEDULE" sheetId="3" r:id="rId4"/>
  </sheets>
  <definedNames>
    <definedName name="_xlnm._FilterDatabase" localSheetId="1" hidden="1">'EXPENSES BY CATEGORY SUBTOTALLE'!$A$1:$S$119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8" i="5" l="1"/>
  <c r="H115" i="5"/>
  <c r="H112" i="5"/>
  <c r="H110" i="5"/>
  <c r="H103" i="5"/>
  <c r="H101" i="5"/>
  <c r="H90" i="5"/>
  <c r="H88" i="5"/>
  <c r="H86" i="5"/>
  <c r="H84" i="5"/>
  <c r="H79" i="5"/>
  <c r="H77" i="5"/>
  <c r="H75" i="5"/>
  <c r="H73" i="5"/>
  <c r="H71" i="5"/>
  <c r="H62" i="5"/>
  <c r="H60" i="5"/>
  <c r="H56" i="5"/>
  <c r="H54" i="5"/>
  <c r="H47" i="5"/>
  <c r="H45" i="5"/>
  <c r="H42" i="5"/>
  <c r="H9" i="5"/>
  <c r="H5" i="5"/>
  <c r="I41" i="5"/>
  <c r="I109" i="5"/>
  <c r="I108" i="5"/>
  <c r="I69" i="5"/>
  <c r="I78" i="5"/>
  <c r="I36" i="5"/>
  <c r="I111" i="5"/>
  <c r="I107" i="5"/>
  <c r="I114" i="5"/>
  <c r="I35" i="5"/>
  <c r="I33" i="5"/>
  <c r="I100" i="5"/>
  <c r="I99" i="5"/>
  <c r="I98" i="5"/>
  <c r="I31" i="5"/>
  <c r="I89" i="5"/>
  <c r="I87" i="5"/>
  <c r="I85" i="5"/>
  <c r="I113" i="5"/>
  <c r="I30" i="5"/>
  <c r="I28" i="5"/>
  <c r="I27" i="5"/>
  <c r="I26" i="5"/>
  <c r="I76" i="5"/>
  <c r="I106" i="5"/>
  <c r="I59" i="5"/>
  <c r="I21" i="5"/>
  <c r="I20" i="5"/>
  <c r="I102" i="5"/>
  <c r="I83" i="5"/>
  <c r="I97" i="5"/>
  <c r="I96" i="5"/>
  <c r="I95" i="5"/>
  <c r="I94" i="5"/>
  <c r="I18" i="5"/>
  <c r="I52" i="5"/>
  <c r="I51" i="5"/>
  <c r="I17" i="5"/>
  <c r="I61" i="5"/>
  <c r="I15" i="5"/>
  <c r="I105" i="5"/>
  <c r="I58" i="5"/>
  <c r="I82" i="5"/>
  <c r="I93" i="5"/>
  <c r="I92" i="5"/>
  <c r="I50" i="5"/>
  <c r="I49" i="5"/>
  <c r="I48" i="5"/>
  <c r="I104" i="5"/>
  <c r="I66" i="5"/>
  <c r="I91" i="5"/>
  <c r="I11" i="5"/>
  <c r="I55" i="5"/>
  <c r="I65" i="5"/>
  <c r="I57" i="5"/>
  <c r="I10" i="5"/>
  <c r="I64" i="5"/>
  <c r="I63" i="5"/>
  <c r="I81" i="5"/>
  <c r="I74" i="5"/>
  <c r="I72" i="5"/>
  <c r="E6" i="4"/>
  <c r="E5" i="4"/>
  <c r="K7" i="4" s="1"/>
  <c r="K8" i="4" s="1"/>
  <c r="I99" i="1"/>
  <c r="H99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2" i="1"/>
  <c r="E9" i="4"/>
  <c r="E8" i="4"/>
  <c r="I7" i="3"/>
  <c r="H7" i="3"/>
  <c r="I3" i="3"/>
  <c r="I5" i="3"/>
  <c r="I2" i="3"/>
  <c r="H120" i="5" l="1"/>
  <c r="E11" i="4"/>
</calcChain>
</file>

<file path=xl/sharedStrings.xml><?xml version="1.0" encoding="utf-8"?>
<sst xmlns="http://schemas.openxmlformats.org/spreadsheetml/2006/main" count="4422" uniqueCount="675">
  <si>
    <t>Date</t>
  </si>
  <si>
    <t>Date Processed</t>
  </si>
  <si>
    <t>Description</t>
  </si>
  <si>
    <t>Card Member</t>
  </si>
  <si>
    <t>Account #</t>
  </si>
  <si>
    <t>Amount</t>
  </si>
  <si>
    <t>Foreign Spend Amount</t>
  </si>
  <si>
    <t>Commission</t>
  </si>
  <si>
    <t>Exchange Rate</t>
  </si>
  <si>
    <t>Additional Information</t>
  </si>
  <si>
    <t>Appears On Your Statement As</t>
  </si>
  <si>
    <t>Address</t>
  </si>
  <si>
    <t>Town/City</t>
  </si>
  <si>
    <t>Postcode</t>
  </si>
  <si>
    <t>Country</t>
  </si>
  <si>
    <t>Reference</t>
  </si>
  <si>
    <t>GST CODE</t>
  </si>
  <si>
    <t>DESCRIPTION</t>
  </si>
  <si>
    <t>GST AMOUNT</t>
  </si>
  <si>
    <t>SUMMARY SCHEDULE</t>
  </si>
  <si>
    <t>LOAN SCHEDULE</t>
  </si>
  <si>
    <t>BUSINESS EXPENSES (B+E)</t>
  </si>
  <si>
    <t>OPENING BALANCE</t>
  </si>
  <si>
    <t>GST PAID</t>
  </si>
  <si>
    <t>DRAW DOWNS</t>
  </si>
  <si>
    <t>EXPENSES PAID</t>
  </si>
  <si>
    <t>BUSINESS INCOME</t>
  </si>
  <si>
    <t>GST COLLECTED</t>
  </si>
  <si>
    <t>GST TO BE CLAIMED</t>
  </si>
  <si>
    <t>31/01/2025</t>
  </si>
  <si>
    <t>01/02/2025</t>
  </si>
  <si>
    <t>APPLE.COM/BILL          SYDNEY</t>
  </si>
  <si>
    <t>JASON P MASTERS</t>
  </si>
  <si>
    <t>-76009</t>
  </si>
  <si>
    <t xml:space="preserve"> </t>
  </si>
  <si>
    <t/>
  </si>
  <si>
    <t>255 PITT STREET
CAPITAL CENTRE LEVEL 13</t>
  </si>
  <si>
    <t>SYDNEY
NSW</t>
  </si>
  <si>
    <t>2000</t>
  </si>
  <si>
    <t>AUSTRALIA</t>
  </si>
  <si>
    <t>AT250320003000010190533</t>
  </si>
  <si>
    <t>DBS*ANYTIME FITNESS  N  NORTH RYDE</t>
  </si>
  <si>
    <t>900 PACIFIC HIGHWAY
UNIT 7</t>
  </si>
  <si>
    <t>LISAROW
NSW</t>
  </si>
  <si>
    <t>2250</t>
  </si>
  <si>
    <t>AT250320003000010178399</t>
  </si>
  <si>
    <t>DOMINO'S ESTORE NORTH R NORTH RYDE</t>
  </si>
  <si>
    <t>JASON P MASTERS A/C</t>
  </si>
  <si>
    <t>-74020</t>
  </si>
  <si>
    <t>SHOP 1 203 COXS ROAD</t>
  </si>
  <si>
    <t>NORTH RYDE
NSW</t>
  </si>
  <si>
    <t>2113</t>
  </si>
  <si>
    <t>AT250320003000010185794</t>
  </si>
  <si>
    <t>INSUFFICIENT FUNDS FEE</t>
  </si>
  <si>
    <t>10000000010131999982150</t>
  </si>
  <si>
    <t>05/02/2025</t>
  </si>
  <si>
    <t>PLATINUM RCP MERCHLOCID SYDNEY</t>
  </si>
  <si>
    <t xml:space="preserve">Routing:    From:     SYDNEY KINGSFORD S
To:       SINGAPORE CHANGI ACarrier:  SQ       Class: W
To:       BANGKOK           Carrier:  SQ       Class: W
Ticket:         3504580982              Passenger:         JASON PETER MR MASTER
Reference: SIN
</t>
  </si>
  <si>
    <t>12 SHELLEY ST</t>
  </si>
  <si>
    <t>AT250360003000010136127</t>
  </si>
  <si>
    <t>30/01/2025</t>
  </si>
  <si>
    <t>CKO*PATREON* MEMBERSHIP DUBLIN</t>
  </si>
  <si>
    <t>11.55 USD</t>
  </si>
  <si>
    <t>SUITE 3  ONE EARLSFORT CENTRE
DUBLIN</t>
  </si>
  <si>
    <t>DUBLIN 2</t>
  </si>
  <si>
    <t>IRELAND</t>
  </si>
  <si>
    <t>AT250310004000010112923</t>
  </si>
  <si>
    <t>FITNESS FIRST AUSTRALIA SYDNEY</t>
  </si>
  <si>
    <t>ENDEAVOUR STREET
24</t>
  </si>
  <si>
    <t>CHATSWOOD-WEST
NSW</t>
  </si>
  <si>
    <t>2067</t>
  </si>
  <si>
    <t>AT250300013000010151320</t>
  </si>
  <si>
    <t>HUNTER PREMIUM          SYDNEY</t>
  </si>
  <si>
    <t>MICHAELA WAKE</t>
  </si>
  <si>
    <t>-71034</t>
  </si>
  <si>
    <t>LEVEL 8 601 BOURKE ST</t>
  </si>
  <si>
    <t>MELBOURNE
VIC</t>
  </si>
  <si>
    <t>3000</t>
  </si>
  <si>
    <t>AT250300013000010152302</t>
  </si>
  <si>
    <t>AT250300013000010152303</t>
  </si>
  <si>
    <t>OPENAI *CHATGPT SUBSCR  SAN FRANCISCO</t>
  </si>
  <si>
    <t>22.00 USD</t>
  </si>
  <si>
    <t>3180 18TH ST
STE 100</t>
  </si>
  <si>
    <t>SAN FRANCISCO
CA</t>
  </si>
  <si>
    <t>94110</t>
  </si>
  <si>
    <t>UNITED STATES</t>
  </si>
  <si>
    <t>AT250310004000010103144</t>
  </si>
  <si>
    <t>RYDE MART PTY LTD       NORTH RYDE</t>
  </si>
  <si>
    <t>UNIT 1 1 NETWORK PLACE</t>
  </si>
  <si>
    <t>AT250310014000010051035</t>
  </si>
  <si>
    <t>29/01/2025</t>
  </si>
  <si>
    <t>MENULOG PTY LTD         SYDNEY</t>
  </si>
  <si>
    <t>LEVEL 34
300 BARANGAROO AVENUE</t>
  </si>
  <si>
    <t>BARANGAROO
NSW</t>
  </si>
  <si>
    <t>AT250300004000010115802</t>
  </si>
  <si>
    <t>28/01/2025</t>
  </si>
  <si>
    <t>EZI*HARRISON PT EZIDEBI GLADESVILLE</t>
  </si>
  <si>
    <t>1 PILE STREET</t>
  </si>
  <si>
    <t>GLADESVILLE
NSW</t>
  </si>
  <si>
    <t>2111</t>
  </si>
  <si>
    <t>AT250280013000010135422</t>
  </si>
  <si>
    <t>GUZMAN Y GOMEZ LANE COV LANE COVE</t>
  </si>
  <si>
    <t>23-25 BURNS
BAY ROAD</t>
  </si>
  <si>
    <t>LANE COVE
NSW</t>
  </si>
  <si>
    <t>2066</t>
  </si>
  <si>
    <t>AT250290022000010242380</t>
  </si>
  <si>
    <t>HARVEST                 NEW YORK</t>
  </si>
  <si>
    <t>55.00 USD</t>
  </si>
  <si>
    <t>16 WEST 22ND ST FL 8</t>
  </si>
  <si>
    <t>NEW YORK
NY</t>
  </si>
  <si>
    <t>10010</t>
  </si>
  <si>
    <t>AT250290022000010235255</t>
  </si>
  <si>
    <t>LINKT SYDNEY            SYDNEY</t>
  </si>
  <si>
    <t>LVL 31 TOWER 5 COLLINS SQUARE
727 COLLINS STREET</t>
  </si>
  <si>
    <t>DOCKLANDS
VIC</t>
  </si>
  <si>
    <t>3008</t>
  </si>
  <si>
    <t>AT250280013000010137933</t>
  </si>
  <si>
    <t>NAKEDPASTOR             QUISPAMSIS</t>
  </si>
  <si>
    <t>15.00 USD</t>
  </si>
  <si>
    <t>564 GONDOLA POINT RD</t>
  </si>
  <si>
    <t>QUISPAMSIS
NB</t>
  </si>
  <si>
    <t>E2E 1H6</t>
  </si>
  <si>
    <t>CANADA</t>
  </si>
  <si>
    <t>AT250290022000010229075</t>
  </si>
  <si>
    <t>27/01/2025</t>
  </si>
  <si>
    <t>AT250280013000010141906</t>
  </si>
  <si>
    <t>AT250280004000010081599</t>
  </si>
  <si>
    <t>CLAUDE.AI SUBSCRIPTION  SAN FRANCISCO</t>
  </si>
  <si>
    <t>20.00 USD</t>
  </si>
  <si>
    <t>731 SANSOME ST</t>
  </si>
  <si>
    <t>94111</t>
  </si>
  <si>
    <t>AT250280004000010093519</t>
  </si>
  <si>
    <t>KINDLE UNLTD            503-7150002</t>
  </si>
  <si>
    <t>410 TERRY AVE NORTH</t>
  </si>
  <si>
    <t>SEATTLE
WA</t>
  </si>
  <si>
    <t>98109</t>
  </si>
  <si>
    <t>AT250280004000010089420</t>
  </si>
  <si>
    <t>PAYPAL *EBAY AU         0789372482</t>
  </si>
  <si>
    <t xml:space="preserve">VARIETY STORE
Reference:
</t>
  </si>
  <si>
    <t>1 YORK STREET</t>
  </si>
  <si>
    <t>AT250280004000010083195</t>
  </si>
  <si>
    <t>PAYPAL *EBAY AU         4029357733</t>
  </si>
  <si>
    <t>GLOBAL</t>
  </si>
  <si>
    <t>4029357733</t>
  </si>
  <si>
    <t>95131</t>
  </si>
  <si>
    <t>UNITED STATES OF AMERICA (THE)</t>
  </si>
  <si>
    <t>AT250290022000010257202</t>
  </si>
  <si>
    <t>AT250290022000010257300</t>
  </si>
  <si>
    <t>1 SYDNEY YORK STREET
LEVEL 18</t>
  </si>
  <si>
    <t>AT250280004000010082217</t>
  </si>
  <si>
    <t>AT250280004000010082218</t>
  </si>
  <si>
    <t>AT250280004000010082141</t>
  </si>
  <si>
    <t>PAYPAL *PYPL PAYIN4     1800073263</t>
  </si>
  <si>
    <t xml:space="preserve">GENERAL
Reference:
</t>
  </si>
  <si>
    <t>AT250280004000010082780</t>
  </si>
  <si>
    <t>AT250280004000010082423</t>
  </si>
  <si>
    <t>AT250280004000010083980</t>
  </si>
  <si>
    <t>AT250280004000010084337</t>
  </si>
  <si>
    <t>26/01/2025</t>
  </si>
  <si>
    <t>AMPOL AUSTRALIA APP SYD SYDNEY</t>
  </si>
  <si>
    <t xml:space="preserve">OIL COMPANIES/NATL DEALER
</t>
  </si>
  <si>
    <t>LEVEL 24 2
MARKET STREET</t>
  </si>
  <si>
    <t>AT250270003000010084760</t>
  </si>
  <si>
    <t>HLTH ADVC PHRMCY NR     NORTH RYDE</t>
  </si>
  <si>
    <t>136 COXS ROAD</t>
  </si>
  <si>
    <t>AT250260011000010084766</t>
  </si>
  <si>
    <t>AT250260003000010103805</t>
  </si>
  <si>
    <t>AT250280004000010082166</t>
  </si>
  <si>
    <t>25/01/2025</t>
  </si>
  <si>
    <t>AT250260011000010088645</t>
  </si>
  <si>
    <t>AT250260003000010109807</t>
  </si>
  <si>
    <t>SP PINK PEACOCK         BUNDOORA</t>
  </si>
  <si>
    <t>41 ANDERSON PARADE</t>
  </si>
  <si>
    <t>BUNDOORA
VIC</t>
  </si>
  <si>
    <t>3083</t>
  </si>
  <si>
    <t>AT250260003000010089511</t>
  </si>
  <si>
    <t>24/01/2025</t>
  </si>
  <si>
    <t>AT250240014000010118219</t>
  </si>
  <si>
    <t>AT250250004000010114928</t>
  </si>
  <si>
    <t>GG VA INFLIGHT FOOD 000 MASCOT</t>
  </si>
  <si>
    <t>300 COWARD STREET</t>
  </si>
  <si>
    <t>MASCOT
NSW</t>
  </si>
  <si>
    <t>2020</t>
  </si>
  <si>
    <t>AT250260003000010118801</t>
  </si>
  <si>
    <t>AT250240014000010155241</t>
  </si>
  <si>
    <t>MOVENPICK MELBOURNE OPI MELBOURNE</t>
  </si>
  <si>
    <t>160 SPENCER ST</t>
  </si>
  <si>
    <t>AT250260003000010093366</t>
  </si>
  <si>
    <t>23/01/2025</t>
  </si>
  <si>
    <t>AT250240004000010272800</t>
  </si>
  <si>
    <t>HUBSPOT AUSTRALIA LTD   SYDNEY</t>
  </si>
  <si>
    <t>249.48 USD</t>
  </si>
  <si>
    <t>20 HUNTER STREET</t>
  </si>
  <si>
    <t>AT250240004000010249763</t>
  </si>
  <si>
    <t>IGA XPRESS 85 QUEEN ST  MELBOURNE</t>
  </si>
  <si>
    <t>85 QUEEN STREET</t>
  </si>
  <si>
    <t>AT250240004000010267239</t>
  </si>
  <si>
    <t>PAYPAL *BTI PTY LTD     0393352811</t>
  </si>
  <si>
    <t xml:space="preserve">TRANSPORTATION SERV
Reference:
</t>
  </si>
  <si>
    <t>29 FRANCIS BRIGGS ROAD</t>
  </si>
  <si>
    <t>MELBOURNE AIRPORT
VIC</t>
  </si>
  <si>
    <t>3045</t>
  </si>
  <si>
    <t>AT250250004000010084105</t>
  </si>
  <si>
    <t>AT250240004000010277890</t>
  </si>
  <si>
    <t>22/01/2025</t>
  </si>
  <si>
    <t>1PASSWORD               TORONTO</t>
  </si>
  <si>
    <t>39.47 USD</t>
  </si>
  <si>
    <t>"4711 YONGE ST., 10TH"
FLOOR</t>
  </si>
  <si>
    <t>TORONTO
ON</t>
  </si>
  <si>
    <t>M2N 6K8</t>
  </si>
  <si>
    <t>AT250240004000010229360</t>
  </si>
  <si>
    <t>AT250220014000010109485</t>
  </si>
  <si>
    <t>CKO*RESOLUTTY.COM 52924 TALLINN</t>
  </si>
  <si>
    <t>39.99 USD</t>
  </si>
  <si>
    <t>HARJU MAAKOND  NOMME LINNAOSA
TALLINN</t>
  </si>
  <si>
    <t>11612</t>
  </si>
  <si>
    <t>ESTONIA</t>
  </si>
  <si>
    <t>AT250230003000010088828</t>
  </si>
  <si>
    <t>AT250240004000010260343</t>
  </si>
  <si>
    <t>AT250230003000010090894</t>
  </si>
  <si>
    <t>UBER TRIP               HELP.UBER.COM</t>
  </si>
  <si>
    <t>LEVEL 2
625 HARRIS ST</t>
  </si>
  <si>
    <t>ULTIMO
NSW</t>
  </si>
  <si>
    <t>2007</t>
  </si>
  <si>
    <t>AT250230003000010094814</t>
  </si>
  <si>
    <t>AT250230003000010095254</t>
  </si>
  <si>
    <t>AT250230003000010095032</t>
  </si>
  <si>
    <t>21/01/2025</t>
  </si>
  <si>
    <t>AMAZON.CA PRIME MEMBER  AMAZON.CA/PRI</t>
  </si>
  <si>
    <t>11.49 CAD</t>
  </si>
  <si>
    <t>1071 MAINLAND ST</t>
  </si>
  <si>
    <t>VANCOUVER
BC</t>
  </si>
  <si>
    <t>V6B 1A9</t>
  </si>
  <si>
    <t>AT250220004000010115460</t>
  </si>
  <si>
    <t>AT250210014000010146789</t>
  </si>
  <si>
    <t>AT250220004000010096401</t>
  </si>
  <si>
    <t>AT250220014000010140936</t>
  </si>
  <si>
    <t>AT250230003000010089090</t>
  </si>
  <si>
    <t>AT250230003000010089178</t>
  </si>
  <si>
    <t>AT250230003000010089114</t>
  </si>
  <si>
    <t>AT250220014000010130130</t>
  </si>
  <si>
    <t>UBER ONE                HELP.UBER.COM</t>
  </si>
  <si>
    <t>AT250220004000010102605</t>
  </si>
  <si>
    <t>20/01/2025</t>
  </si>
  <si>
    <t>AT250210004000010103830</t>
  </si>
  <si>
    <t>AT250200013000010149666</t>
  </si>
  <si>
    <t>HUNTERS HILL MEDICAL PR HUNTERS HILL</t>
  </si>
  <si>
    <t>U 1 6 RYDE ROAD</t>
  </si>
  <si>
    <t>HUNTERS HILL
NSW</t>
  </si>
  <si>
    <t>2110</t>
  </si>
  <si>
    <t>AT250210014000010121438</t>
  </si>
  <si>
    <t>OFFICEWORKS NORTH RYDE  MACQUARIE PARK</t>
  </si>
  <si>
    <t>37 EPPING ROAD</t>
  </si>
  <si>
    <t>AT250210014000010128399</t>
  </si>
  <si>
    <t>UNIQODE.COM             NEW YORK</t>
  </si>
  <si>
    <t>180.00 USD</t>
  </si>
  <si>
    <t>575 5TH AVE</t>
  </si>
  <si>
    <t>10017</t>
  </si>
  <si>
    <t>AT250210004000010110361</t>
  </si>
  <si>
    <t>YES IVORY THAI PTY LTD  NORTH RYDE</t>
  </si>
  <si>
    <t>UNIT 4 144-148 COXS ROAD</t>
  </si>
  <si>
    <t>AT250210014000010139666</t>
  </si>
  <si>
    <t>19/01/2025</t>
  </si>
  <si>
    <t>AT250200003000010118996</t>
  </si>
  <si>
    <t>Sydney Airport S802022  Syd Intl Termin</t>
  </si>
  <si>
    <t>1 LINK ROAD</t>
  </si>
  <si>
    <t>AT250200003000010135689</t>
  </si>
  <si>
    <t>18/01/2025</t>
  </si>
  <si>
    <t>AT250190005000010106816</t>
  </si>
  <si>
    <t>BOX_UK                  LONDON</t>
  </si>
  <si>
    <t>105.00 USD</t>
  </si>
  <si>
    <t>1 14TH NORTH 15TH FLOOR OLD STREET YARD OL</t>
  </si>
  <si>
    <t>LONDON
ENG</t>
  </si>
  <si>
    <t>EC1Y 8AF</t>
  </si>
  <si>
    <t>UNITED KINGDOM OF GB AND NI</t>
  </si>
  <si>
    <t>AT250190005000010134110</t>
  </si>
  <si>
    <t>17/01/2025</t>
  </si>
  <si>
    <t>AT250180003000010118353</t>
  </si>
  <si>
    <t>AT250170013000010138852</t>
  </si>
  <si>
    <t>PAYPAL *WASHPOST PROMO7 2023346100</t>
  </si>
  <si>
    <t xml:space="preserve">DIGITAL MEDIA,BOOKS
Reference:
</t>
  </si>
  <si>
    <t>2023346100</t>
  </si>
  <si>
    <t>20071</t>
  </si>
  <si>
    <t>AT250190005000010115746</t>
  </si>
  <si>
    <t>16/01/2025</t>
  </si>
  <si>
    <t>FONEBOX                 SYDNEY</t>
  </si>
  <si>
    <t>LEVEL 4
580 GEORGE STREET</t>
  </si>
  <si>
    <t>AT250160014000010120753</t>
  </si>
  <si>
    <t>15/01/2025</t>
  </si>
  <si>
    <t>AT250160014000010132699</t>
  </si>
  <si>
    <t>DNH*GODADDY#3527207749  Sydney</t>
  </si>
  <si>
    <t>WEWORK ATTN GODADDY
LEVEL 4100 HARRIS STREET</t>
  </si>
  <si>
    <t>PYRMONT
NSW</t>
  </si>
  <si>
    <t>2009</t>
  </si>
  <si>
    <t>AT250160014000010128784</t>
  </si>
  <si>
    <t>FRAUDSEC T/A WHISPLI    NORTH SYDNEY</t>
  </si>
  <si>
    <t>24 32 LEXINGTON DRIVE
SUITE A10</t>
  </si>
  <si>
    <t>BELLA VISTA
NSW</t>
  </si>
  <si>
    <t>2153</t>
  </si>
  <si>
    <t>AT250150004000010111780</t>
  </si>
  <si>
    <t>AT250160004000010225142</t>
  </si>
  <si>
    <t>AT250160014000010126710</t>
  </si>
  <si>
    <t>AT250160014000010126683</t>
  </si>
  <si>
    <t>AT250160014000010126717</t>
  </si>
  <si>
    <t>UNION UNIVERSITY &amp; SCH  SYDNEY</t>
  </si>
  <si>
    <t>25 BENT ST</t>
  </si>
  <si>
    <t>AT250160014000010125135</t>
  </si>
  <si>
    <t>14/01/2025</t>
  </si>
  <si>
    <t>E-TOLL PAYMENT          PARRAMATTA</t>
  </si>
  <si>
    <t>LEVEL 3 4 PARRAMATTA SQUARE 4PSQ
12 DARCY STREET</t>
  </si>
  <si>
    <t>PARRAMATTA
NSW</t>
  </si>
  <si>
    <t>2150</t>
  </si>
  <si>
    <t>AT250140013000010134699</t>
  </si>
  <si>
    <t>EZI*IT SMART SOLUTIONS  SYDNEY</t>
  </si>
  <si>
    <t>20 40 MEAGHER STREET</t>
  </si>
  <si>
    <t>CHIPPENDALE
NSW</t>
  </si>
  <si>
    <t>2008</t>
  </si>
  <si>
    <t>AT250140013000010118144</t>
  </si>
  <si>
    <t>NORTH RYDE RSL CLUB LTD NORTH RYDE</t>
  </si>
  <si>
    <t>CNR MAGDALA PITTWATER
RDS</t>
  </si>
  <si>
    <t>AT250160004000010187343</t>
  </si>
  <si>
    <t>AT250160004000010187344</t>
  </si>
  <si>
    <t>SERVICE NSW             BONDI JUNCTION</t>
  </si>
  <si>
    <t>88 EBLEY ST</t>
  </si>
  <si>
    <t>BONDI JUNCTION
NSW</t>
  </si>
  <si>
    <t>2022</t>
  </si>
  <si>
    <t>AT250140013000010133441</t>
  </si>
  <si>
    <t>12/01/2025</t>
  </si>
  <si>
    <t>13/01/2025</t>
  </si>
  <si>
    <t>SPOTIFY                 SYDNEY</t>
  </si>
  <si>
    <t>4TH 25 ARGYLL ST</t>
  </si>
  <si>
    <t>LONDON
LND</t>
  </si>
  <si>
    <t>W1F 7TU</t>
  </si>
  <si>
    <t>AT250130003000010104983</t>
  </si>
  <si>
    <t>AT250130013000010124469</t>
  </si>
  <si>
    <t>AT250130013000010124800</t>
  </si>
  <si>
    <t>WRITINGNSW              LILYFIELD</t>
  </si>
  <si>
    <t>BALMAIN ROAD</t>
  </si>
  <si>
    <t>ROZELLE
NSW</t>
  </si>
  <si>
    <t>2039</t>
  </si>
  <si>
    <t>AT250130003000010099821</t>
  </si>
  <si>
    <t>10/01/2025</t>
  </si>
  <si>
    <t>AT250100005000010216065</t>
  </si>
  <si>
    <t>11/01/2025</t>
  </si>
  <si>
    <t>DNH*GODADDY#3515601715  Sydney</t>
  </si>
  <si>
    <t>AT250110003000010110171</t>
  </si>
  <si>
    <t>DNH*GODADDY#3517522738  Sydney</t>
  </si>
  <si>
    <t>AT250110003000010110148</t>
  </si>
  <si>
    <t>09/01/2025</t>
  </si>
  <si>
    <t>CITYRECITALHALL CITYREC SYDNEY</t>
  </si>
  <si>
    <t>2 ANGEL PLACE</t>
  </si>
  <si>
    <t>AT250100014000010107321</t>
  </si>
  <si>
    <t>AT250100005000010187058</t>
  </si>
  <si>
    <t>TED FOUNDATION          NEW YORK</t>
  </si>
  <si>
    <t>108.00 USD</t>
  </si>
  <si>
    <t>330 HUDSON ST
11TH FLOOR</t>
  </si>
  <si>
    <t>10013</t>
  </si>
  <si>
    <t>AT250100005000010180135</t>
  </si>
  <si>
    <t>TEMU.COM                PARRAMATTA</t>
  </si>
  <si>
    <t>60 2 2 OCONNELL STREET
NSW</t>
  </si>
  <si>
    <t>AT250100005000010192649</t>
  </si>
  <si>
    <t>08/01/2025</t>
  </si>
  <si>
    <t>AT250090004000010099040</t>
  </si>
  <si>
    <t>AT250080014000010127284</t>
  </si>
  <si>
    <t>APPLIANCES ONLINE       SYDNEY</t>
  </si>
  <si>
    <t>UNIT 1
272 MOGGILL RD</t>
  </si>
  <si>
    <t>INDOOROOPILLY
QLD</t>
  </si>
  <si>
    <t>4068</t>
  </si>
  <si>
    <t>AT250080014000010146669</t>
  </si>
  <si>
    <t>CKO*FS *LUMINAR 524220  FSPRG.NL</t>
  </si>
  <si>
    <t>DE CUSERSTRAAT 91  2ND BUILDING
NOORD HOLLAND</t>
  </si>
  <si>
    <t>1081 CN</t>
  </si>
  <si>
    <t>NETHERLANDS</t>
  </si>
  <si>
    <t>AT250090004000010114669</t>
  </si>
  <si>
    <t>AT250080014000010109599</t>
  </si>
  <si>
    <t>AT250100005000010186756</t>
  </si>
  <si>
    <t>WOOLWORTHS ONLINE 8843  BELLA VISTA</t>
  </si>
  <si>
    <t>1 WOOLWORTHS WAY</t>
  </si>
  <si>
    <t>AT250080014000010135705</t>
  </si>
  <si>
    <t>07/01/2025</t>
  </si>
  <si>
    <t>FAIRFAX  - SUBSCRIPTION PYRMONT</t>
  </si>
  <si>
    <t>LEVEL 5 1 DARLING ISLAND ROAD</t>
  </si>
  <si>
    <t>AT250070014000010115767</t>
  </si>
  <si>
    <t>GLOBALX LEGAL SOLUTIONS BRISBANE</t>
  </si>
  <si>
    <t xml:space="preserve">MERCHANDISE
Reference:
</t>
  </si>
  <si>
    <t>LEVEL 6 WEST
TOWER 410 ANN STREET</t>
  </si>
  <si>
    <t>BRISBANE
QLD</t>
  </si>
  <si>
    <t>4000</t>
  </si>
  <si>
    <t>AT250070014000010116226</t>
  </si>
  <si>
    <t>OBJECTIVE DEVELOPMENT W WIEN</t>
  </si>
  <si>
    <t>61.00 USD</t>
  </si>
  <si>
    <t>GROSSE SCHIFFGASSE 1A/7
WIEN</t>
  </si>
  <si>
    <t>A-1020</t>
  </si>
  <si>
    <t>AUSTRIA</t>
  </si>
  <si>
    <t>AT250080004000010105918</t>
  </si>
  <si>
    <t>AT250070014000010132007</t>
  </si>
  <si>
    <t>06/01/2025</t>
  </si>
  <si>
    <t>AT250070004000010125319</t>
  </si>
  <si>
    <t>AT250060013000010103641</t>
  </si>
  <si>
    <t>05/01/2025</t>
  </si>
  <si>
    <t>KINDLE SVCS             503-7150002</t>
  </si>
  <si>
    <t>AT250060013000010120726</t>
  </si>
  <si>
    <t>04/01/2025</t>
  </si>
  <si>
    <t>AD FREE FOR PRIMEVIDEO  SYDNEY</t>
  </si>
  <si>
    <t>2 PARK STREET L37</t>
  </si>
  <si>
    <t>AT250050003000010090080</t>
  </si>
  <si>
    <t>03/01/2025</t>
  </si>
  <si>
    <t>AT250040003000010092053</t>
  </si>
  <si>
    <t>AT250030013000010120391</t>
  </si>
  <si>
    <t>NEWS PTY LIMITED SURRY  SURRY HILLS</t>
  </si>
  <si>
    <t>2 HOLT ST
LEVEL 1</t>
  </si>
  <si>
    <t>SURRY HILLS
NSW</t>
  </si>
  <si>
    <t>2010</t>
  </si>
  <si>
    <t>AT250030013000010138024</t>
  </si>
  <si>
    <t>02/01/2025</t>
  </si>
  <si>
    <t>10000000010102999998580</t>
  </si>
  <si>
    <t>AT250030004000010104694</t>
  </si>
  <si>
    <t>01/01/2025</t>
  </si>
  <si>
    <t>25.00 USD</t>
  </si>
  <si>
    <t>AT250020004000010134679</t>
  </si>
  <si>
    <t>WORKSPACE365.COM.AU     SYDNEY</t>
  </si>
  <si>
    <t xml:space="preserve">Arrive Date: 20250101                   Depart Date: 20250101
Reference: 00
</t>
  </si>
  <si>
    <t>62 66 GROSVENOR STREET</t>
  </si>
  <si>
    <t>AT250010004000010106101</t>
  </si>
  <si>
    <t>AMEX TRAVEL ONLINE MERC SYDNEY</t>
  </si>
  <si>
    <t>-25008</t>
  </si>
  <si>
    <t>AT250360004000010078058</t>
  </si>
  <si>
    <t>RESMED                  BELLA VISTA</t>
  </si>
  <si>
    <t>1 ELIZABETH MACARTHUR DRIVE</t>
  </si>
  <si>
    <t>AT250320004000010125838</t>
  </si>
  <si>
    <t>CHOICE                  MARRICKVILLE</t>
  </si>
  <si>
    <t>57 CARRINGTON ROAD</t>
  </si>
  <si>
    <t>MARRICKVILLE
NSW</t>
  </si>
  <si>
    <t>2204</t>
  </si>
  <si>
    <t>AT250260012000010089944</t>
  </si>
  <si>
    <t>D J*WSJ                 800-568-7625</t>
  </si>
  <si>
    <t>25.29 USD</t>
  </si>
  <si>
    <t>4300 RTE 1 NORTH</t>
  </si>
  <si>
    <t>SOUTH BRUNSWICK
NJ</t>
  </si>
  <si>
    <t>08852</t>
  </si>
  <si>
    <t>AT250270004000010061469</t>
  </si>
  <si>
    <t>AT250250003000010060478</t>
  </si>
  <si>
    <t>SQUIRREL STREET         FRENCHS FOREST</t>
  </si>
  <si>
    <t>PO BOX
6488</t>
  </si>
  <si>
    <t>FRENCHS FOREST
NSW</t>
  </si>
  <si>
    <t>2086</t>
  </si>
  <si>
    <t>AT250220013000010093144</t>
  </si>
  <si>
    <t>143.64 USD</t>
  </si>
  <si>
    <t>AT250220003000010059187</t>
  </si>
  <si>
    <t>HARBOUR CITY BEARS      DARLINGHURST</t>
  </si>
  <si>
    <t>225 1 GEORGINA STREET</t>
  </si>
  <si>
    <t>NEWTOWN
NSW</t>
  </si>
  <si>
    <t>1300</t>
  </si>
  <si>
    <t>AT250220003000010059175</t>
  </si>
  <si>
    <t>PORKBUN.COM             SHERWOOD</t>
  </si>
  <si>
    <t>26.24 USD</t>
  </si>
  <si>
    <t>21370 SOUTH WEST LANGER FARMS PKWY SUITE 1</t>
  </si>
  <si>
    <t>SHERWOOD
OR</t>
  </si>
  <si>
    <t>97140</t>
  </si>
  <si>
    <t>AT250220003000010059183</t>
  </si>
  <si>
    <t>AMAYSIM MOBILE PTY LTD  SYDNEY</t>
  </si>
  <si>
    <t>6 17 19 BRIDGE STREET
LEVEL</t>
  </si>
  <si>
    <t>AT250200004000010082273</t>
  </si>
  <si>
    <t>CANVA                   SURRY HILLS</t>
  </si>
  <si>
    <t>110 KIPPAX STREET</t>
  </si>
  <si>
    <t>AT250180012000010082742</t>
  </si>
  <si>
    <t>OTTER.AI                MOUNTAIN VIEW</t>
  </si>
  <si>
    <t>99.99 USD</t>
  </si>
  <si>
    <t>800 WEST EL CAMIO REAL
SUITE 170</t>
  </si>
  <si>
    <t>MOUNTAIN VIEW
CA</t>
  </si>
  <si>
    <t>94040</t>
  </si>
  <si>
    <t>AT250190006000010084115</t>
  </si>
  <si>
    <t>AT250180004000010068684</t>
  </si>
  <si>
    <t>DNH*GODADDY#3525260133  Sydney</t>
  </si>
  <si>
    <t>AT250150013000010014035</t>
  </si>
  <si>
    <t>LINKEDIN PRE 1014069907 SINGAPORE</t>
  </si>
  <si>
    <t>21.95 USD</t>
  </si>
  <si>
    <t>SUBMISSION USD
SINGAPORE</t>
  </si>
  <si>
    <t>0000</t>
  </si>
  <si>
    <t>SINGAPORE</t>
  </si>
  <si>
    <t>AT250160003000010141188</t>
  </si>
  <si>
    <t>ADOBE SYSTEMS Adobe Sys SAGGART</t>
  </si>
  <si>
    <t>4-6 RIVERWALK
CITY WEST BUSINESS CAMPUS
SAGGART
DUBLIN</t>
  </si>
  <si>
    <t>24</t>
  </si>
  <si>
    <t>AT250160003000010141190</t>
  </si>
  <si>
    <t>AT250140003000010057138</t>
  </si>
  <si>
    <t>AUDIBLE PAYMENT AU      SYDNEY</t>
  </si>
  <si>
    <t>SYDNEY SOUTH
NSW</t>
  </si>
  <si>
    <t>AT250120004000010060699</t>
  </si>
  <si>
    <t>AT250120004000010060680</t>
  </si>
  <si>
    <t>DNH*GODADDY#3517523367  Sydney</t>
  </si>
  <si>
    <t>AT250110004000010064179</t>
  </si>
  <si>
    <t>AT250110004000010064169</t>
  </si>
  <si>
    <t>QR-CODE-GENERATOR.COM   BIELEFELD</t>
  </si>
  <si>
    <t>150,00 EUR</t>
  </si>
  <si>
    <t>C/O BK WIRTSCHAFTSTREUHAND GMBH SPICHERN
BERLIN</t>
  </si>
  <si>
    <t>10777</t>
  </si>
  <si>
    <t>GERMANY</t>
  </si>
  <si>
    <t>AT250100013000010101405</t>
  </si>
  <si>
    <t>LINKEDINPRE *58944674   SYDNEY NSW</t>
  </si>
  <si>
    <t>JOSHUA MASTERS</t>
  </si>
  <si>
    <t>-22021</t>
  </si>
  <si>
    <t>CROFTS CHARTERED ACCOUNTS
LEVEL 10 50 BERRY STREET</t>
  </si>
  <si>
    <t>NORTH SYDNEY
NSW</t>
  </si>
  <si>
    <t>2060</t>
  </si>
  <si>
    <t>AT250080003000010056829</t>
  </si>
  <si>
    <t>TELSTRA BILL DIRECT DEB ADELAIDE</t>
  </si>
  <si>
    <t>GROUND FLOOR 30 PIRIE ST</t>
  </si>
  <si>
    <t>ADELAIDE
SA</t>
  </si>
  <si>
    <t>5000</t>
  </si>
  <si>
    <t>AT250060014000010094783</t>
  </si>
  <si>
    <t>AT250050012000010091812</t>
  </si>
  <si>
    <t>AT250050012000010091680</t>
  </si>
  <si>
    <t>AT250050012000010091681</t>
  </si>
  <si>
    <t>AT250040004000010063830</t>
  </si>
  <si>
    <t>BT*CLOSET               WOODLAND HILLS</t>
  </si>
  <si>
    <t>115.00 USD</t>
  </si>
  <si>
    <t>22647 VENTURA BLVD
183</t>
  </si>
  <si>
    <t>WOODLAND HILLS
CA</t>
  </si>
  <si>
    <t>91364</t>
  </si>
  <si>
    <t>AT250030003000010062490</t>
  </si>
  <si>
    <t>DAVID JONES             BURNLEY</t>
  </si>
  <si>
    <t>1 GEORGE PLACE</t>
  </si>
  <si>
    <t>ARTARMON
NSW</t>
  </si>
  <si>
    <t>2064</t>
  </si>
  <si>
    <t>AT250030003000010062465</t>
  </si>
  <si>
    <t>RED ENERGY              CREMORNE</t>
  </si>
  <si>
    <t>570 CHURCH ST</t>
  </si>
  <si>
    <t>CREMORNE
VIC</t>
  </si>
  <si>
    <t>3121</t>
  </si>
  <si>
    <t>AT250020014000010097477</t>
  </si>
  <si>
    <t>THE ASSOCIATION OF PROF WEST MELBOURNE</t>
  </si>
  <si>
    <t>148 152 MILLER STREET</t>
  </si>
  <si>
    <t>WEST MELBOURNE
VIC</t>
  </si>
  <si>
    <t>3003</t>
  </si>
  <si>
    <t>AT250020014000010097473</t>
  </si>
  <si>
    <t>ACFE                    800-245-3321</t>
  </si>
  <si>
    <t>247.50 USD</t>
  </si>
  <si>
    <t>716 WEST AVE</t>
  </si>
  <si>
    <t>AUSTIN
TX</t>
  </si>
  <si>
    <t>78701-2727</t>
  </si>
  <si>
    <t>AT250020014000010097374</t>
  </si>
  <si>
    <t>AT250020003000010059239</t>
  </si>
  <si>
    <t>BB-YALWA  L               WIESBADEN</t>
  </si>
  <si>
    <t>JASON P.MASTERS</t>
  </si>
  <si>
    <t>ANZ CC</t>
  </si>
  <si>
    <t>Dr. John Lam-Po-Tang      Woolloomooloo</t>
  </si>
  <si>
    <t>PRESSNET                  8775878649  41.91  USD 2.00 AUD</t>
  </si>
  <si>
    <t>VASK ENTERPRISES PTY L    NORTH RYDE</t>
  </si>
  <si>
    <t>OF                        LONDON  20.00  USD 0.96 AUD</t>
  </si>
  <si>
    <t>OF                        LONDON  10.00  USD 0.48 AUD</t>
  </si>
  <si>
    <t>OF                        LONDON  22.00  USD 1.05 AUD</t>
  </si>
  <si>
    <t>OF                        LONDON  12.00  USD 0.57 AUD</t>
  </si>
  <si>
    <t>OF                        LONDON  8.79  USD 0.42 AUD</t>
  </si>
  <si>
    <t>OF                        LONDON  4.40  USD 0.21 AUD</t>
  </si>
  <si>
    <t>SYDNEYSWANS MEMBERSHIP    MELBOURNE</t>
  </si>
  <si>
    <t>OF                        London  16.49  USD 0.80 AUD</t>
  </si>
  <si>
    <t>OF                        London  8.79  USD 0.43 AUD</t>
  </si>
  <si>
    <t>5 BUCK PTY LTD            MILSONS POINT</t>
  </si>
  <si>
    <t>OF                        London  5.00  USD 0.24 AUD</t>
  </si>
  <si>
    <t>OF                        London  7.99  USD 0.39 AUD</t>
  </si>
  <si>
    <t>CMEDIA                    612-234-5288  34.99  USD 1.69 AUD</t>
  </si>
  <si>
    <t>CCBill.com  *Himeros.tv / 888-5969279  74.85  USD 3.63 AUD</t>
  </si>
  <si>
    <t>HUBBL - KAYO SPORTS       NORTH RYDE</t>
  </si>
  <si>
    <t>INTEREST CHARGED ON PURCHASES</t>
  </si>
  <si>
    <t>UBER* TRIP                WWW.UBER.COM/</t>
  </si>
  <si>
    <t>UBER *TRIP HELP.UBER.COM  Sydney</t>
  </si>
  <si>
    <t>OF                        LONDON  11.00  USD 0.53 AUD</t>
  </si>
  <si>
    <t>Afterpay                  afterpay.com</t>
  </si>
  <si>
    <t>RYDE MART PTY LTD         NORTH RYDE</t>
  </si>
  <si>
    <t>Dr Daniel Novakovic St Leonards</t>
  </si>
  <si>
    <t>Card ending 2145</t>
  </si>
  <si>
    <t>NAB CC</t>
  </si>
  <si>
    <t>CREDIT CARD PURCHASE</t>
  </si>
  <si>
    <t>Medical</t>
  </si>
  <si>
    <t>Dr Daniel Novakovic</t>
  </si>
  <si>
    <t>DR PAUL DUNKIN WAHROONGA</t>
  </si>
  <si>
    <t>ZAINS STORE PTY LTD Melbourne</t>
  </si>
  <si>
    <t>Groceries</t>
  </si>
  <si>
    <t>Zain's Store Pty Ltd</t>
  </si>
  <si>
    <t>FALCON CAFE PTY LTD Melbourne</t>
  </si>
  <si>
    <t>Caf√© &amp; coffee</t>
  </si>
  <si>
    <t>Falcon Cafe</t>
  </si>
  <si>
    <t>RESOLUTION LIFE QB SYDNEY</t>
  </si>
  <si>
    <t>Insurance</t>
  </si>
  <si>
    <t>Resolution Life Australasia</t>
  </si>
  <si>
    <t>ASTERON LIFE SYDNEY</t>
  </si>
  <si>
    <t>Asteron</t>
  </si>
  <si>
    <t>WESTERN DISTRICT HEALT LITHGOW</t>
  </si>
  <si>
    <t>Westfund</t>
  </si>
  <si>
    <t>PETCOVER AUST PTY LT TULLAMARINE</t>
  </si>
  <si>
    <t>Petcover</t>
  </si>
  <si>
    <t>KENNARDS SELF STORAGE GLADESVILLE</t>
  </si>
  <si>
    <t>Services</t>
  </si>
  <si>
    <t>Kennards Self Storage (Ryde)</t>
  </si>
  <si>
    <t>INTERNET WITHDRAWAL           13JAN19:16 | Overdue Payment</t>
  </si>
  <si>
    <t>SGT BANK</t>
  </si>
  <si>
    <t>DR</t>
  </si>
  <si>
    <t>CR</t>
  </si>
  <si>
    <t>INTERNET WITHDRAWAL           20JAN06:15 | CP Lease 5 105</t>
  </si>
  <si>
    <t>Telex Australia | 645799321</t>
  </si>
  <si>
    <t>INTERNET WITHDRAWAL           22JAN11:21 | SubCont IreneL Dec2024</t>
  </si>
  <si>
    <t>INTERNET WITHDRAWAL           22JAN11:21 | SubCont MichaelaB Dec24</t>
  </si>
  <si>
    <t>INTERNET WITHDRAWAL           22JAN11:21 | SubCont PaulM Dec2024</t>
  </si>
  <si>
    <t>INTERNET WITHDRAWAL           23JAN17:51 | Catch up Payments on CP</t>
  </si>
  <si>
    <t>A C KEEP FEE EX 0000455884826</t>
  </si>
  <si>
    <t>LGRNSW AP | 2025-0001</t>
  </si>
  <si>
    <t>LGRNSW AP | 2025-0002</t>
  </si>
  <si>
    <t>CREDIT INTEREST</t>
  </si>
  <si>
    <t>TRANSFER FROM AMAZON AUS SERVI FCS002641768772</t>
  </si>
  <si>
    <t>AFH</t>
  </si>
  <si>
    <t>ANZ ACC</t>
  </si>
  <si>
    <t>B</t>
  </si>
  <si>
    <t>BOOK ROYALTIES</t>
  </si>
  <si>
    <t>INVOICES</t>
  </si>
  <si>
    <t>E</t>
  </si>
  <si>
    <t>INTEREST</t>
  </si>
  <si>
    <t>COMPUTER_SUBSCRIPTION</t>
  </si>
  <si>
    <t>Z</t>
  </si>
  <si>
    <t>BANK FEES</t>
  </si>
  <si>
    <t>PROFESSIONAL_ASSOCIATION</t>
  </si>
  <si>
    <t>MOBILE</t>
  </si>
  <si>
    <t>TRAVEL_INTL_AIRFARES</t>
  </si>
  <si>
    <t>PETROL</t>
  </si>
  <si>
    <t>P</t>
  </si>
  <si>
    <t>PERSONAL INSURANCE</t>
  </si>
  <si>
    <t>NEWSPAPERS_MAGAZINES</t>
  </si>
  <si>
    <t>INTERNET</t>
  </si>
  <si>
    <t>MEDICAL_DOCTOR</t>
  </si>
  <si>
    <t>TOLLS_PARKING</t>
  </si>
  <si>
    <t>TELEPOHONE</t>
  </si>
  <si>
    <t>TRAVEL_DOM_MEALS</t>
  </si>
  <si>
    <t>LEGAL</t>
  </si>
  <si>
    <t>MEDICAL_PHARMA</t>
  </si>
  <si>
    <t>INSURANCE_PREMIUM_FUNDING</t>
  </si>
  <si>
    <t>CAR PARKING</t>
  </si>
  <si>
    <t>SUBC_ILOMIS</t>
  </si>
  <si>
    <t>SUBC_MBURKITT</t>
  </si>
  <si>
    <t>SUBC_PMARSH</t>
  </si>
  <si>
    <t>OFFICE_STORAGE</t>
  </si>
  <si>
    <t>TRAVEL_DOM_ACCOM</t>
  </si>
  <si>
    <t>OFFICE_SUPPLIES</t>
  </si>
  <si>
    <t>GAS/ELECTRICITY</t>
  </si>
  <si>
    <t>MEDICAL_OTHER</t>
  </si>
  <si>
    <t>MOTOR</t>
  </si>
  <si>
    <t>TAXI</t>
  </si>
  <si>
    <t>HEALTH INSURANCE</t>
  </si>
  <si>
    <t>OFFICE_RENT</t>
  </si>
  <si>
    <t>MEDICAL_SOFTWARE</t>
  </si>
  <si>
    <t>ADJUSTED</t>
  </si>
  <si>
    <t>BANK FEES Total</t>
  </si>
  <si>
    <t>CAR PARKING Total</t>
  </si>
  <si>
    <t>COMPUTER_SUBSCRIPTION Total</t>
  </si>
  <si>
    <t>INSURANCE_PREMIUM_FUNDING Total</t>
  </si>
  <si>
    <t>INTEREST Total</t>
  </si>
  <si>
    <t>INTERNET Total</t>
  </si>
  <si>
    <t>LEGAL Total</t>
  </si>
  <si>
    <t>MOBILE Total</t>
  </si>
  <si>
    <t>MOTOR Total</t>
  </si>
  <si>
    <t>NEWSPAPERS_MAGAZINES Total</t>
  </si>
  <si>
    <t>OFFICE_RENT Total</t>
  </si>
  <si>
    <t>OFFICE_STORAGE Total</t>
  </si>
  <si>
    <t>OFFICE_SUPPLIES Total</t>
  </si>
  <si>
    <t>PETROL Total</t>
  </si>
  <si>
    <t>PROFESSIONAL_ASSOCIATION Total</t>
  </si>
  <si>
    <t>SUBC_ILOMIS Total</t>
  </si>
  <si>
    <t>SUBC_MBURKITT Total</t>
  </si>
  <si>
    <t>SUBC_PMARSH Total</t>
  </si>
  <si>
    <t>TAXI Total</t>
  </si>
  <si>
    <t>TELEPOHONE Total</t>
  </si>
  <si>
    <t>TOLLS_PARKING Total</t>
  </si>
  <si>
    <t>TRAVEL_DOM_ACCOM Total</t>
  </si>
  <si>
    <t>TRAVEL_DOM_MEALS Total</t>
  </si>
  <si>
    <t>TRAVEL_INTL_AIRFARES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</si>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</sst>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&quot;$&quot;#,##0.00"/>
    <numFmt numFmtId="165" formatCode="d/mm/yyyy;@"/>
  </numFmts>
  <fonts count="7" x14ac:knownFonts="1">
    <font>
      <sz val="11"/>
      <color indexed="8"/>
      <name val="Aptos Narrow"/>
      <family val="2"/>
      <scheme val="minor"/>
    </font>
    <font>
      <b/>
      <sz val="11"/>
      <color indexed="18"/>
      <name val="Calibri"/>
      <family val="2"/>
    </font>
    <font>
      <sz val="11"/>
      <color indexed="8"/>
      <name val="Calibri"/>
      <family val="2"/>
    </font>
    <font>
      <b/>
      <sz val="11"/>
      <color indexed="1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Aptos Narrow"/>
      <family val="2"/>
      <scheme val="minor"/>
    </font>
    <font>
      <sz val="11"/>
      <color indexed="8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2F2F2"/>
      </patternFill>
    </fill>
    <fill>
      <patternFill patternType="solid">
        <fgColor indexed="9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rgb="FFF2F2F2"/>
      </left>
      <right/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3" fillId="2" borderId="2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14" fontId="0" fillId="0" borderId="0" xfId="0" applyNumberFormat="1"/>
    <xf numFmtId="164" fontId="0" fillId="0" borderId="0" xfId="0" applyNumberFormat="1"/>
    <xf numFmtId="164" fontId="3" fillId="2" borderId="2" xfId="0" applyNumberFormat="1" applyFont="1" applyFill="1" applyBorder="1" applyAlignment="1">
      <alignment horizontal="center" wrapText="1"/>
    </xf>
    <xf numFmtId="164" fontId="1" fillId="2" borderId="2" xfId="0" applyNumberFormat="1" applyFont="1" applyFill="1" applyBorder="1" applyAlignment="1">
      <alignment horizontal="center" wrapText="1"/>
    </xf>
    <xf numFmtId="0" fontId="0" fillId="0" borderId="3" xfId="0" applyBorder="1"/>
    <xf numFmtId="0" fontId="0" fillId="0" borderId="3" xfId="0" applyBorder="1" applyAlignment="1">
      <alignment horizontal="left"/>
    </xf>
    <xf numFmtId="164" fontId="0" fillId="0" borderId="3" xfId="0" applyNumberFormat="1" applyBorder="1"/>
    <xf numFmtId="15" fontId="0" fillId="0" borderId="3" xfId="0" applyNumberFormat="1" applyBorder="1" applyAlignment="1">
      <alignment horizontal="left"/>
    </xf>
    <xf numFmtId="0" fontId="0" fillId="0" borderId="0" xfId="0" applyAlignment="1">
      <alignment horizontal="left"/>
    </xf>
    <xf numFmtId="165" fontId="3" fillId="3" borderId="2" xfId="0" applyNumberFormat="1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left" wrapText="1"/>
    </xf>
    <xf numFmtId="0" fontId="1" fillId="3" borderId="2" xfId="0" applyFont="1" applyFill="1" applyBorder="1" applyAlignment="1">
      <alignment horizontal="center" wrapText="1"/>
    </xf>
    <xf numFmtId="0" fontId="0" fillId="3" borderId="0" xfId="0" applyFill="1"/>
    <xf numFmtId="164" fontId="3" fillId="3" borderId="2" xfId="0" applyNumberFormat="1" applyFont="1" applyFill="1" applyBorder="1" applyAlignment="1">
      <alignment horizontal="center" wrapText="1"/>
    </xf>
    <xf numFmtId="164" fontId="1" fillId="3" borderId="2" xfId="0" applyNumberFormat="1" applyFont="1" applyFill="1" applyBorder="1" applyAlignment="1">
      <alignment horizontal="center" wrapText="1"/>
    </xf>
    <xf numFmtId="0" fontId="2" fillId="5" borderId="3" xfId="0" applyFont="1" applyFill="1" applyBorder="1" applyAlignment="1">
      <alignment horizontal="left" wrapText="1"/>
    </xf>
    <xf numFmtId="2" fontId="2" fillId="5" borderId="3" xfId="0" applyNumberFormat="1" applyFont="1" applyFill="1" applyBorder="1" applyAlignment="1">
      <alignment horizontal="right" wrapText="1"/>
    </xf>
    <xf numFmtId="0" fontId="2" fillId="4" borderId="3" xfId="0" applyFont="1" applyFill="1" applyBorder="1" applyAlignment="1">
      <alignment horizontal="left" wrapText="1"/>
    </xf>
    <xf numFmtId="2" fontId="2" fillId="4" borderId="3" xfId="0" applyNumberFormat="1" applyFont="1" applyFill="1" applyBorder="1" applyAlignment="1">
      <alignment horizontal="right" wrapText="1"/>
    </xf>
    <xf numFmtId="0" fontId="2" fillId="4" borderId="0" xfId="0" applyFont="1" applyFill="1" applyAlignment="1">
      <alignment horizontal="left" wrapText="1"/>
    </xf>
    <xf numFmtId="0" fontId="2" fillId="5" borderId="0" xfId="0" applyFont="1" applyFill="1" applyAlignment="1">
      <alignment horizontal="left" wrapText="1"/>
    </xf>
    <xf numFmtId="2" fontId="2" fillId="4" borderId="0" xfId="0" applyNumberFormat="1" applyFont="1" applyFill="1" applyAlignment="1">
      <alignment horizontal="right" wrapText="1"/>
    </xf>
    <xf numFmtId="2" fontId="2" fillId="5" borderId="0" xfId="0" applyNumberFormat="1" applyFont="1" applyFill="1" applyAlignment="1">
      <alignment horizontal="right" wrapText="1"/>
    </xf>
    <xf numFmtId="165" fontId="2" fillId="5" borderId="3" xfId="0" applyNumberFormat="1" applyFont="1" applyFill="1" applyBorder="1" applyAlignment="1">
      <alignment horizontal="left" wrapText="1"/>
    </xf>
    <xf numFmtId="165" fontId="2" fillId="4" borderId="3" xfId="0" applyNumberFormat="1" applyFont="1" applyFill="1" applyBorder="1" applyAlignment="1">
      <alignment horizontal="left" wrapText="1"/>
    </xf>
    <xf numFmtId="165" fontId="2" fillId="4" borderId="0" xfId="0" applyNumberFormat="1" applyFont="1" applyFill="1" applyAlignment="1">
      <alignment horizontal="left" wrapText="1"/>
    </xf>
    <xf numFmtId="165" fontId="2" fillId="5" borderId="0" xfId="0" applyNumberFormat="1" applyFont="1" applyFill="1" applyAlignment="1">
      <alignment horizontal="left" wrapText="1"/>
    </xf>
    <xf numFmtId="164" fontId="2" fillId="5" borderId="3" xfId="0" applyNumberFormat="1" applyFont="1" applyFill="1" applyBorder="1" applyAlignment="1">
      <alignment horizontal="right" wrapText="1"/>
    </xf>
    <xf numFmtId="164" fontId="2" fillId="4" borderId="3" xfId="0" applyNumberFormat="1" applyFont="1" applyFill="1" applyBorder="1" applyAlignment="1">
      <alignment horizontal="right" wrapText="1"/>
    </xf>
    <xf numFmtId="164" fontId="2" fillId="4" borderId="0" xfId="0" applyNumberFormat="1" applyFont="1" applyFill="1" applyAlignment="1">
      <alignment horizontal="right" wrapText="1"/>
    </xf>
    <xf numFmtId="164" fontId="2" fillId="5" borderId="0" xfId="0" applyNumberFormat="1" applyFont="1" applyFill="1" applyAlignment="1">
      <alignment horizontal="right" wrapText="1"/>
    </xf>
    <xf numFmtId="165" fontId="3" fillId="3" borderId="2" xfId="0" applyNumberFormat="1" applyFont="1" applyFill="1" applyBorder="1" applyAlignment="1">
      <alignment horizontal="left" wrapText="1"/>
    </xf>
    <xf numFmtId="165" fontId="0" fillId="0" borderId="3" xfId="0" applyNumberFormat="1" applyBorder="1" applyAlignment="1">
      <alignment horizontal="left"/>
    </xf>
    <xf numFmtId="165" fontId="0" fillId="0" borderId="0" xfId="0" applyNumberFormat="1" applyAlignment="1">
      <alignment horizontal="left"/>
    </xf>
    <xf numFmtId="14" fontId="0" fillId="0" borderId="3" xfId="0" applyNumberFormat="1" applyBorder="1" applyAlignment="1">
      <alignment horizontal="left"/>
    </xf>
    <xf numFmtId="15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0" fontId="2" fillId="5" borderId="1" xfId="0" applyFont="1" applyFill="1" applyBorder="1" applyAlignment="1">
      <alignment horizontal="left" wrapText="1"/>
    </xf>
    <xf numFmtId="0" fontId="2" fillId="4" borderId="1" xfId="0" applyFont="1" applyFill="1" applyBorder="1" applyAlignment="1">
      <alignment horizontal="left" wrapText="1"/>
    </xf>
    <xf numFmtId="0" fontId="0" fillId="0" borderId="1" xfId="0" applyBorder="1"/>
    <xf numFmtId="165" fontId="4" fillId="4" borderId="3" xfId="0" applyNumberFormat="1" applyFont="1" applyFill="1" applyBorder="1" applyAlignment="1">
      <alignment horizontal="left" wrapText="1"/>
    </xf>
    <xf numFmtId="165" fontId="2" fillId="4" borderId="1" xfId="0" applyNumberFormat="1" applyFont="1" applyFill="1" applyBorder="1" applyAlignment="1">
      <alignment horizontal="left" wrapText="1"/>
    </xf>
    <xf numFmtId="164" fontId="2" fillId="4" borderId="1" xfId="0" applyNumberFormat="1" applyFont="1" applyFill="1" applyBorder="1" applyAlignment="1">
      <alignment horizontal="right" wrapText="1"/>
    </xf>
    <xf numFmtId="2" fontId="2" fillId="4" borderId="1" xfId="0" applyNumberFormat="1" applyFont="1" applyFill="1" applyBorder="1" applyAlignment="1">
      <alignment horizontal="right" wrapText="1"/>
    </xf>
    <xf numFmtId="0" fontId="5" fillId="0" borderId="0" xfId="0" applyFont="1"/>
    <xf numFmtId="0" fontId="5" fillId="0" borderId="3" xfId="0" applyFont="1" applyBorder="1"/>
    <xf numFmtId="0" fontId="4" fillId="5" borderId="3" xfId="0" applyFont="1" applyFill="1" applyBorder="1" applyAlignment="1">
      <alignment horizontal="left" wrapText="1"/>
    </xf>
    <xf numFmtId="0" fontId="4" fillId="4" borderId="3" xfId="0" applyFont="1" applyFill="1" applyBorder="1" applyAlignment="1">
      <alignment horizontal="left" wrapText="1"/>
    </xf>
    <xf numFmtId="0" fontId="4" fillId="4" borderId="1" xfId="0" applyFont="1" applyFill="1" applyBorder="1" applyAlignment="1">
      <alignment horizontal="left" wrapText="1"/>
    </xf>
    <xf numFmtId="8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7BF72-5622-AF4F-801D-C13672A5A2C0}">
  <dimension ref="B1:M13"/>
  <sheetViews>
    <sheetView tabSelected="1" workbookViewId="0">
      <selection activeCell="K8" sqref="K8"/>
    </sheetView>
  </sheetViews>
  <sheetFormatPr baseColWidth="10" defaultRowHeight="15" x14ac:dyDescent="0.2"/>
  <cols>
    <col min="11" max="11" width="11.6640625" bestFit="1" customWidth="1"/>
    <col min="13" max="13" width="11.6640625" bestFit="1" customWidth="1"/>
  </cols>
  <sheetData>
    <row r="1" spans="2:13" x14ac:dyDescent="0.2">
      <c r="E1" s="4"/>
    </row>
    <row r="2" spans="2:13" x14ac:dyDescent="0.2">
      <c r="E2" s="4"/>
    </row>
    <row r="3" spans="2:13" x14ac:dyDescent="0.2">
      <c r="B3" t="s">
        <v>19</v>
      </c>
      <c r="E3" s="4"/>
      <c r="I3" t="s">
        <v>20</v>
      </c>
    </row>
    <row r="4" spans="2:13" x14ac:dyDescent="0.2">
      <c r="E4" s="4"/>
    </row>
    <row r="5" spans="2:13" x14ac:dyDescent="0.2">
      <c r="C5" t="s">
        <v>21</v>
      </c>
      <c r="E5" s="4">
        <f>'EXPENSES MASTER SCDEDULE'!H99</f>
        <v>24398.670000000009</v>
      </c>
      <c r="I5" t="s">
        <v>22</v>
      </c>
      <c r="K5" s="53">
        <v>366922.73</v>
      </c>
      <c r="M5" s="53"/>
    </row>
    <row r="6" spans="2:13" x14ac:dyDescent="0.2">
      <c r="C6" t="s">
        <v>23</v>
      </c>
      <c r="E6" s="4">
        <f>'EXPENSES MASTER SCDEDULE'!I99</f>
        <v>1629.9136363636369</v>
      </c>
      <c r="I6" t="s">
        <v>24</v>
      </c>
      <c r="K6" s="4">
        <v>0</v>
      </c>
    </row>
    <row r="7" spans="2:13" x14ac:dyDescent="0.2">
      <c r="E7" s="4"/>
      <c r="I7" t="s">
        <v>25</v>
      </c>
      <c r="K7" s="4">
        <f>E5</f>
        <v>24398.670000000009</v>
      </c>
    </row>
    <row r="8" spans="2:13" x14ac:dyDescent="0.2">
      <c r="C8" t="s">
        <v>26</v>
      </c>
      <c r="E8" s="4">
        <f>'INCOME MASTER SCHEDULE'!H7</f>
        <v>1095.99</v>
      </c>
      <c r="K8" s="4">
        <f>K5-K6+K7</f>
        <v>391321.39999999997</v>
      </c>
    </row>
    <row r="9" spans="2:13" x14ac:dyDescent="0.2">
      <c r="C9" t="s">
        <v>27</v>
      </c>
      <c r="E9" s="4">
        <f>'INCOME MASTER SCHEDULE'!I7</f>
        <v>97.958181818181814</v>
      </c>
    </row>
    <row r="10" spans="2:13" x14ac:dyDescent="0.2">
      <c r="E10" s="4"/>
    </row>
    <row r="11" spans="2:13" x14ac:dyDescent="0.2">
      <c r="C11" t="s">
        <v>28</v>
      </c>
      <c r="E11" s="4">
        <f>E6-E9</f>
        <v>1531.955454545455</v>
      </c>
    </row>
    <row r="12" spans="2:13" x14ac:dyDescent="0.2">
      <c r="E12" s="4"/>
    </row>
    <row r="13" spans="2:13" x14ac:dyDescent="0.2">
      <c r="E1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6F0E0-E9EC-B343-996B-ADA0C8C9E469}">
  <dimension ref="A1:S120"/>
  <sheetViews>
    <sheetView workbookViewId="0">
      <selection activeCell="A121" sqref="A121:XFD121"/>
    </sheetView>
  </sheetViews>
  <sheetFormatPr baseColWidth="10" defaultRowHeight="15" outlineLevelRow="2" x14ac:dyDescent="0.2"/>
  <cols>
    <col min="1" max="1" width="10.5" bestFit="1" customWidth="1"/>
    <col min="2" max="2" width="13" bestFit="1" customWidth="1"/>
    <col min="3" max="3" width="60.1640625" bestFit="1" customWidth="1"/>
    <col min="4" max="4" width="15.33203125" bestFit="1" customWidth="1"/>
    <col min="5" max="5" width="8.83203125" bestFit="1" customWidth="1"/>
    <col min="6" max="6" width="8.5" bestFit="1" customWidth="1"/>
    <col min="7" max="7" width="34" customWidth="1"/>
    <col min="8" max="8" width="10.1640625" style="4" bestFit="1" customWidth="1"/>
    <col min="9" max="9" width="11.6640625" style="4" bestFit="1" customWidth="1"/>
    <col min="10" max="10" width="19" bestFit="1" customWidth="1"/>
    <col min="11" max="11" width="10.5" bestFit="1" customWidth="1"/>
    <col min="12" max="12" width="20.5" bestFit="1" customWidth="1"/>
    <col min="13" max="13" width="19" bestFit="1" customWidth="1"/>
    <col min="14" max="14" width="25" bestFit="1" customWidth="1"/>
    <col min="15" max="15" width="53.83203125" customWidth="1"/>
    <col min="16" max="16" width="48.1640625" customWidth="1"/>
    <col min="17" max="17" width="10.6640625" bestFit="1" customWidth="1"/>
    <col min="18" max="18" width="45" customWidth="1"/>
    <col min="19" max="19" width="49.1640625" customWidth="1"/>
  </cols>
  <sheetData>
    <row r="1" spans="1:19" s="16" customFormat="1" ht="16" x14ac:dyDescent="0.2">
      <c r="A1" s="12" t="s">
        <v>0</v>
      </c>
      <c r="B1" s="13" t="s">
        <v>1</v>
      </c>
      <c r="C1" s="13" t="s">
        <v>2</v>
      </c>
      <c r="D1" s="14" t="s">
        <v>3</v>
      </c>
      <c r="E1" s="13" t="s">
        <v>4</v>
      </c>
      <c r="F1" s="15" t="s">
        <v>16</v>
      </c>
      <c r="G1" s="15" t="s">
        <v>17</v>
      </c>
      <c r="H1" s="17" t="s">
        <v>5</v>
      </c>
      <c r="I1" s="18" t="s">
        <v>18</v>
      </c>
      <c r="J1" s="13" t="s">
        <v>6</v>
      </c>
      <c r="K1" s="13" t="s">
        <v>7</v>
      </c>
      <c r="L1" s="13" t="s">
        <v>8</v>
      </c>
      <c r="M1" s="13" t="s">
        <v>9</v>
      </c>
      <c r="N1" s="13" t="s">
        <v>10</v>
      </c>
      <c r="O1" s="13" t="s">
        <v>11</v>
      </c>
      <c r="P1" s="13" t="s">
        <v>12</v>
      </c>
      <c r="Q1" s="13" t="s">
        <v>13</v>
      </c>
      <c r="R1" s="13" t="s">
        <v>14</v>
      </c>
      <c r="S1" s="13" t="s">
        <v>15</v>
      </c>
    </row>
    <row r="2" spans="1:19" ht="16" outlineLevel="2" x14ac:dyDescent="0.2">
      <c r="A2" s="28" t="s">
        <v>414</v>
      </c>
      <c r="B2" s="21" t="s">
        <v>414</v>
      </c>
      <c r="C2" s="21" t="s">
        <v>53</v>
      </c>
      <c r="D2" s="21" t="s">
        <v>32</v>
      </c>
      <c r="E2" s="21" t="s">
        <v>33</v>
      </c>
      <c r="F2" s="21" t="s">
        <v>615</v>
      </c>
      <c r="G2" s="21" t="s">
        <v>619</v>
      </c>
      <c r="H2" s="32">
        <v>6</v>
      </c>
      <c r="I2" s="32"/>
      <c r="J2" s="21" t="s">
        <v>34</v>
      </c>
      <c r="K2" s="22" t="s">
        <v>35</v>
      </c>
      <c r="L2" s="21" t="s">
        <v>35</v>
      </c>
      <c r="M2" s="21" t="s">
        <v>35</v>
      </c>
      <c r="N2" s="21" t="s">
        <v>53</v>
      </c>
      <c r="O2" s="21" t="s">
        <v>35</v>
      </c>
      <c r="P2" s="21" t="s">
        <v>35</v>
      </c>
      <c r="Q2" s="21" t="s">
        <v>35</v>
      </c>
      <c r="R2" s="21" t="s">
        <v>35</v>
      </c>
      <c r="S2" s="21" t="s">
        <v>415</v>
      </c>
    </row>
    <row r="3" spans="1:19" outlineLevel="2" x14ac:dyDescent="0.2">
      <c r="A3" s="36">
        <v>45688</v>
      </c>
      <c r="B3" s="8"/>
      <c r="C3" s="7" t="s">
        <v>605</v>
      </c>
      <c r="D3" s="8">
        <v>465083897</v>
      </c>
      <c r="E3" s="7" t="s">
        <v>596</v>
      </c>
      <c r="F3" s="7" t="s">
        <v>615</v>
      </c>
      <c r="G3" s="7" t="s">
        <v>619</v>
      </c>
      <c r="H3" s="9">
        <v>10</v>
      </c>
      <c r="I3" s="9"/>
      <c r="J3" s="7" t="s">
        <v>597</v>
      </c>
      <c r="K3" s="7">
        <v>6190.56</v>
      </c>
      <c r="L3" s="7" t="s">
        <v>598</v>
      </c>
      <c r="M3" s="7">
        <v>112879</v>
      </c>
      <c r="N3" s="7">
        <v>945</v>
      </c>
      <c r="O3" s="7"/>
      <c r="P3" s="7"/>
      <c r="Q3" s="7"/>
      <c r="R3" s="7"/>
      <c r="S3" s="7"/>
    </row>
    <row r="4" spans="1:19" ht="16" outlineLevel="2" x14ac:dyDescent="0.2">
      <c r="A4" s="28" t="s">
        <v>29</v>
      </c>
      <c r="B4" s="21" t="s">
        <v>29</v>
      </c>
      <c r="C4" s="21" t="s">
        <v>53</v>
      </c>
      <c r="D4" s="21" t="s">
        <v>32</v>
      </c>
      <c r="E4" s="21" t="s">
        <v>33</v>
      </c>
      <c r="F4" s="21" t="s">
        <v>615</v>
      </c>
      <c r="G4" s="21" t="s">
        <v>619</v>
      </c>
      <c r="H4" s="32">
        <v>6</v>
      </c>
      <c r="I4" s="32"/>
      <c r="J4" s="21" t="s">
        <v>34</v>
      </c>
      <c r="K4" s="22" t="s">
        <v>35</v>
      </c>
      <c r="L4" s="21" t="s">
        <v>35</v>
      </c>
      <c r="M4" s="21" t="s">
        <v>35</v>
      </c>
      <c r="N4" s="21" t="s">
        <v>53</v>
      </c>
      <c r="O4" s="21" t="s">
        <v>35</v>
      </c>
      <c r="P4" s="21" t="s">
        <v>35</v>
      </c>
      <c r="Q4" s="21" t="s">
        <v>35</v>
      </c>
      <c r="R4" s="21" t="s">
        <v>35</v>
      </c>
      <c r="S4" s="21" t="s">
        <v>54</v>
      </c>
    </row>
    <row r="5" spans="1:19" ht="16" outlineLevel="1" x14ac:dyDescent="0.2">
      <c r="A5" s="28"/>
      <c r="B5" s="21"/>
      <c r="C5" s="21"/>
      <c r="D5" s="21"/>
      <c r="E5" s="21"/>
      <c r="F5" s="21"/>
      <c r="G5" s="44" t="s">
        <v>650</v>
      </c>
      <c r="H5" s="32">
        <f>SUBTOTAL(9,H2:H4)</f>
        <v>22</v>
      </c>
      <c r="I5" s="32"/>
      <c r="J5" s="21"/>
      <c r="K5" s="22"/>
      <c r="L5" s="21"/>
      <c r="M5" s="21"/>
      <c r="N5" s="21"/>
      <c r="O5" s="21"/>
      <c r="P5" s="21"/>
      <c r="Q5" s="21"/>
      <c r="R5" s="21"/>
      <c r="S5" s="21"/>
    </row>
    <row r="6" spans="1:19" outlineLevel="2" x14ac:dyDescent="0.2">
      <c r="A6" s="36">
        <v>45670</v>
      </c>
      <c r="B6" s="8"/>
      <c r="C6" s="7" t="s">
        <v>595</v>
      </c>
      <c r="D6" s="8">
        <v>465083897</v>
      </c>
      <c r="E6" s="7" t="s">
        <v>596</v>
      </c>
      <c r="F6" s="7" t="s">
        <v>615</v>
      </c>
      <c r="G6" s="7" t="s">
        <v>635</v>
      </c>
      <c r="H6" s="9">
        <v>140</v>
      </c>
      <c r="I6" s="9"/>
      <c r="J6" s="7" t="s">
        <v>597</v>
      </c>
      <c r="K6" s="7">
        <v>14495.56</v>
      </c>
      <c r="L6" s="7" t="s">
        <v>598</v>
      </c>
      <c r="M6" s="7">
        <v>112879</v>
      </c>
      <c r="N6" s="7">
        <v>946</v>
      </c>
      <c r="O6" s="7"/>
      <c r="P6" s="7"/>
      <c r="Q6" s="7"/>
      <c r="R6" s="7"/>
      <c r="S6" s="7"/>
    </row>
    <row r="7" spans="1:19" outlineLevel="2" x14ac:dyDescent="0.2">
      <c r="A7" s="36">
        <v>45677</v>
      </c>
      <c r="B7" s="8"/>
      <c r="C7" s="7" t="s">
        <v>599</v>
      </c>
      <c r="D7" s="8">
        <v>465083897</v>
      </c>
      <c r="E7" s="7" t="s">
        <v>596</v>
      </c>
      <c r="F7" s="7" t="s">
        <v>615</v>
      </c>
      <c r="G7" s="7" t="s">
        <v>635</v>
      </c>
      <c r="H7" s="9">
        <v>140</v>
      </c>
      <c r="I7" s="9"/>
      <c r="J7" s="7" t="s">
        <v>597</v>
      </c>
      <c r="K7" s="7">
        <v>14355.56</v>
      </c>
      <c r="L7" s="7" t="s">
        <v>598</v>
      </c>
      <c r="M7" s="7">
        <v>112879</v>
      </c>
      <c r="N7" s="7">
        <v>946</v>
      </c>
      <c r="O7" s="7"/>
      <c r="P7" s="7"/>
      <c r="Q7" s="7"/>
      <c r="R7" s="7"/>
      <c r="S7" s="7"/>
    </row>
    <row r="8" spans="1:19" outlineLevel="2" x14ac:dyDescent="0.2">
      <c r="A8" s="36">
        <v>45680</v>
      </c>
      <c r="B8" s="8"/>
      <c r="C8" s="7" t="s">
        <v>604</v>
      </c>
      <c r="D8" s="8">
        <v>465083897</v>
      </c>
      <c r="E8" s="7" t="s">
        <v>596</v>
      </c>
      <c r="F8" s="7" t="s">
        <v>615</v>
      </c>
      <c r="G8" s="7" t="s">
        <v>635</v>
      </c>
      <c r="H8" s="9">
        <v>280</v>
      </c>
      <c r="I8" s="9"/>
      <c r="J8" s="7" t="s">
        <v>597</v>
      </c>
      <c r="K8" s="7">
        <v>5687.11</v>
      </c>
      <c r="L8" s="7" t="s">
        <v>598</v>
      </c>
      <c r="M8" s="7">
        <v>112879</v>
      </c>
      <c r="N8" s="7">
        <v>946</v>
      </c>
      <c r="O8" s="7"/>
      <c r="P8" s="7"/>
      <c r="Q8" s="7"/>
      <c r="R8" s="7"/>
      <c r="S8" s="7"/>
    </row>
    <row r="9" spans="1:19" outlineLevel="1" x14ac:dyDescent="0.2">
      <c r="A9" s="36"/>
      <c r="B9" s="8"/>
      <c r="C9" s="7"/>
      <c r="D9" s="8"/>
      <c r="E9" s="7"/>
      <c r="F9" s="7"/>
      <c r="G9" s="49" t="s">
        <v>651</v>
      </c>
      <c r="H9" s="9">
        <f>SUBTOTAL(9,H6:H8)</f>
        <v>560</v>
      </c>
      <c r="I9" s="9"/>
      <c r="J9" s="7"/>
      <c r="K9" s="7"/>
      <c r="L9" s="7"/>
      <c r="M9" s="7"/>
      <c r="N9" s="7"/>
      <c r="O9" s="7"/>
      <c r="P9" s="7"/>
      <c r="Q9" s="7"/>
      <c r="R9" s="7"/>
      <c r="S9" s="7"/>
    </row>
    <row r="10" spans="1:19" ht="32" outlineLevel="2" x14ac:dyDescent="0.2">
      <c r="A10" s="28" t="s">
        <v>396</v>
      </c>
      <c r="B10" s="21" t="s">
        <v>379</v>
      </c>
      <c r="C10" s="21" t="s">
        <v>31</v>
      </c>
      <c r="D10" s="21" t="s">
        <v>32</v>
      </c>
      <c r="E10" s="21" t="s">
        <v>33</v>
      </c>
      <c r="F10" s="21" t="s">
        <v>612</v>
      </c>
      <c r="G10" s="21" t="s">
        <v>617</v>
      </c>
      <c r="H10" s="32">
        <v>7.99</v>
      </c>
      <c r="I10" s="32">
        <f>H10/11</f>
        <v>0.72636363636363643</v>
      </c>
      <c r="J10" s="21" t="s">
        <v>34</v>
      </c>
      <c r="K10" s="22" t="s">
        <v>35</v>
      </c>
      <c r="L10" s="21" t="s">
        <v>35</v>
      </c>
      <c r="M10" s="21" t="s">
        <v>35</v>
      </c>
      <c r="N10" s="21" t="s">
        <v>31</v>
      </c>
      <c r="O10" s="21" t="s">
        <v>36</v>
      </c>
      <c r="P10" s="21" t="s">
        <v>37</v>
      </c>
      <c r="Q10" s="21" t="s">
        <v>38</v>
      </c>
      <c r="R10" s="21" t="s">
        <v>39</v>
      </c>
      <c r="S10" s="21" t="s">
        <v>397</v>
      </c>
    </row>
    <row r="11" spans="1:19" ht="32" outlineLevel="2" x14ac:dyDescent="0.2">
      <c r="A11" s="28" t="s">
        <v>379</v>
      </c>
      <c r="B11" s="21" t="s">
        <v>361</v>
      </c>
      <c r="C11" s="21" t="s">
        <v>499</v>
      </c>
      <c r="D11" s="21" t="s">
        <v>500</v>
      </c>
      <c r="E11" s="21" t="s">
        <v>501</v>
      </c>
      <c r="F11" s="21" t="s">
        <v>612</v>
      </c>
      <c r="G11" s="21" t="s">
        <v>617</v>
      </c>
      <c r="H11" s="32">
        <v>39.99</v>
      </c>
      <c r="I11" s="32">
        <f>H11/11</f>
        <v>3.6354545454545457</v>
      </c>
      <c r="J11" s="21" t="s">
        <v>34</v>
      </c>
      <c r="K11" s="22" t="s">
        <v>35</v>
      </c>
      <c r="L11" s="21" t="s">
        <v>35</v>
      </c>
      <c r="M11" s="21" t="s">
        <v>35</v>
      </c>
      <c r="N11" s="21" t="s">
        <v>499</v>
      </c>
      <c r="O11" s="21" t="s">
        <v>502</v>
      </c>
      <c r="P11" s="21" t="s">
        <v>503</v>
      </c>
      <c r="Q11" s="21" t="s">
        <v>504</v>
      </c>
      <c r="R11" s="21" t="s">
        <v>39</v>
      </c>
      <c r="S11" s="21" t="s">
        <v>505</v>
      </c>
    </row>
    <row r="12" spans="1:19" ht="32" outlineLevel="2" x14ac:dyDescent="0.2">
      <c r="A12" s="28" t="s">
        <v>379</v>
      </c>
      <c r="B12" s="21" t="s">
        <v>361</v>
      </c>
      <c r="C12" s="21" t="s">
        <v>389</v>
      </c>
      <c r="D12" s="21" t="s">
        <v>47</v>
      </c>
      <c r="E12" s="21" t="s">
        <v>48</v>
      </c>
      <c r="F12" s="21" t="s">
        <v>615</v>
      </c>
      <c r="G12" s="21" t="s">
        <v>617</v>
      </c>
      <c r="H12" s="32">
        <v>100.89</v>
      </c>
      <c r="I12" s="32"/>
      <c r="J12" s="21" t="s">
        <v>390</v>
      </c>
      <c r="K12" s="22">
        <v>2.94</v>
      </c>
      <c r="L12" s="21" t="s">
        <v>35</v>
      </c>
      <c r="M12" s="21" t="s">
        <v>35</v>
      </c>
      <c r="N12" s="21" t="s">
        <v>389</v>
      </c>
      <c r="O12" s="21" t="s">
        <v>391</v>
      </c>
      <c r="P12" s="21" t="s">
        <v>35</v>
      </c>
      <c r="Q12" s="21" t="s">
        <v>392</v>
      </c>
      <c r="R12" s="21" t="s">
        <v>393</v>
      </c>
      <c r="S12" s="21" t="s">
        <v>394</v>
      </c>
    </row>
    <row r="13" spans="1:19" ht="32" outlineLevel="2" x14ac:dyDescent="0.2">
      <c r="A13" s="28" t="s">
        <v>361</v>
      </c>
      <c r="B13" s="21" t="s">
        <v>348</v>
      </c>
      <c r="C13" s="21" t="s">
        <v>369</v>
      </c>
      <c r="D13" s="21" t="s">
        <v>32</v>
      </c>
      <c r="E13" s="21" t="s">
        <v>33</v>
      </c>
      <c r="F13" s="21" t="s">
        <v>615</v>
      </c>
      <c r="G13" s="21" t="s">
        <v>617</v>
      </c>
      <c r="H13" s="32">
        <v>59</v>
      </c>
      <c r="I13" s="32"/>
      <c r="J13" s="21" t="s">
        <v>34</v>
      </c>
      <c r="K13" s="22" t="s">
        <v>35</v>
      </c>
      <c r="L13" s="21" t="s">
        <v>35</v>
      </c>
      <c r="M13" s="21" t="s">
        <v>35</v>
      </c>
      <c r="N13" s="21" t="s">
        <v>369</v>
      </c>
      <c r="O13" s="21" t="s">
        <v>370</v>
      </c>
      <c r="P13" s="21" t="s">
        <v>35</v>
      </c>
      <c r="Q13" s="21" t="s">
        <v>371</v>
      </c>
      <c r="R13" s="21" t="s">
        <v>372</v>
      </c>
      <c r="S13" s="21" t="s">
        <v>373</v>
      </c>
    </row>
    <row r="14" spans="1:19" ht="32" outlineLevel="2" x14ac:dyDescent="0.2">
      <c r="A14" s="28" t="s">
        <v>348</v>
      </c>
      <c r="B14" s="21" t="s">
        <v>341</v>
      </c>
      <c r="C14" s="21" t="s">
        <v>493</v>
      </c>
      <c r="D14" s="21" t="s">
        <v>32</v>
      </c>
      <c r="E14" s="21" t="s">
        <v>425</v>
      </c>
      <c r="F14" s="21" t="s">
        <v>615</v>
      </c>
      <c r="G14" s="21" t="s">
        <v>617</v>
      </c>
      <c r="H14" s="32">
        <v>257.62</v>
      </c>
      <c r="I14" s="32"/>
      <c r="J14" s="21" t="s">
        <v>494</v>
      </c>
      <c r="K14" s="22">
        <v>7.5</v>
      </c>
      <c r="L14" s="21" t="s">
        <v>35</v>
      </c>
      <c r="M14" s="21" t="s">
        <v>35</v>
      </c>
      <c r="N14" s="21" t="s">
        <v>493</v>
      </c>
      <c r="O14" s="21" t="s">
        <v>495</v>
      </c>
      <c r="P14" s="21" t="s">
        <v>35</v>
      </c>
      <c r="Q14" s="21" t="s">
        <v>496</v>
      </c>
      <c r="R14" s="21" t="s">
        <v>497</v>
      </c>
      <c r="S14" s="21" t="s">
        <v>498</v>
      </c>
    </row>
    <row r="15" spans="1:19" ht="32" outlineLevel="2" x14ac:dyDescent="0.2">
      <c r="A15" s="28" t="s">
        <v>307</v>
      </c>
      <c r="B15" s="21" t="s">
        <v>307</v>
      </c>
      <c r="C15" s="21" t="s">
        <v>313</v>
      </c>
      <c r="D15" s="21" t="s">
        <v>73</v>
      </c>
      <c r="E15" s="21" t="s">
        <v>74</v>
      </c>
      <c r="F15" s="21" t="s">
        <v>612</v>
      </c>
      <c r="G15" s="21" t="s">
        <v>617</v>
      </c>
      <c r="H15" s="32">
        <v>155.36000000000001</v>
      </c>
      <c r="I15" s="32">
        <f>H15/11</f>
        <v>14.123636363636365</v>
      </c>
      <c r="J15" s="21" t="s">
        <v>34</v>
      </c>
      <c r="K15" s="22" t="s">
        <v>35</v>
      </c>
      <c r="L15" s="21" t="s">
        <v>35</v>
      </c>
      <c r="M15" s="21" t="s">
        <v>35</v>
      </c>
      <c r="N15" s="21" t="s">
        <v>313</v>
      </c>
      <c r="O15" s="21" t="s">
        <v>314</v>
      </c>
      <c r="P15" s="21" t="s">
        <v>315</v>
      </c>
      <c r="Q15" s="21" t="s">
        <v>316</v>
      </c>
      <c r="R15" s="21" t="s">
        <v>39</v>
      </c>
      <c r="S15" s="21" t="s">
        <v>317</v>
      </c>
    </row>
    <row r="16" spans="1:19" ht="64" outlineLevel="2" x14ac:dyDescent="0.2">
      <c r="A16" s="28" t="s">
        <v>307</v>
      </c>
      <c r="B16" s="21" t="s">
        <v>284</v>
      </c>
      <c r="C16" s="21" t="s">
        <v>481</v>
      </c>
      <c r="D16" s="21" t="s">
        <v>32</v>
      </c>
      <c r="E16" s="21" t="s">
        <v>425</v>
      </c>
      <c r="F16" s="21" t="s">
        <v>615</v>
      </c>
      <c r="G16" s="21" t="s">
        <v>617</v>
      </c>
      <c r="H16" s="32">
        <v>79.989999999999995</v>
      </c>
      <c r="I16" s="32"/>
      <c r="J16" s="21" t="s">
        <v>34</v>
      </c>
      <c r="K16" s="22" t="s">
        <v>35</v>
      </c>
      <c r="L16" s="21" t="s">
        <v>35</v>
      </c>
      <c r="M16" s="21" t="s">
        <v>35</v>
      </c>
      <c r="N16" s="21" t="s">
        <v>481</v>
      </c>
      <c r="O16" s="21" t="s">
        <v>482</v>
      </c>
      <c r="P16" s="21" t="s">
        <v>35</v>
      </c>
      <c r="Q16" s="21" t="s">
        <v>483</v>
      </c>
      <c r="R16" s="21" t="s">
        <v>65</v>
      </c>
      <c r="S16" s="21" t="s">
        <v>484</v>
      </c>
    </row>
    <row r="17" spans="1:19" ht="32" outlineLevel="2" x14ac:dyDescent="0.2">
      <c r="A17" s="27" t="s">
        <v>288</v>
      </c>
      <c r="B17" s="19" t="s">
        <v>284</v>
      </c>
      <c r="C17" s="19" t="s">
        <v>31</v>
      </c>
      <c r="D17" s="19" t="s">
        <v>32</v>
      </c>
      <c r="E17" s="19" t="s">
        <v>33</v>
      </c>
      <c r="F17" s="19" t="s">
        <v>612</v>
      </c>
      <c r="G17" s="19" t="s">
        <v>617</v>
      </c>
      <c r="H17" s="31">
        <v>7.99</v>
      </c>
      <c r="I17" s="32">
        <f>H17/11</f>
        <v>0.72636363636363643</v>
      </c>
      <c r="J17" s="19" t="s">
        <v>649</v>
      </c>
      <c r="K17" s="20" t="s">
        <v>35</v>
      </c>
      <c r="L17" s="19" t="s">
        <v>35</v>
      </c>
      <c r="M17" s="19" t="s">
        <v>35</v>
      </c>
      <c r="N17" s="19" t="s">
        <v>31</v>
      </c>
      <c r="O17" s="19" t="s">
        <v>36</v>
      </c>
      <c r="P17" s="19" t="s">
        <v>37</v>
      </c>
      <c r="Q17" s="19" t="s">
        <v>38</v>
      </c>
      <c r="R17" s="19" t="s">
        <v>39</v>
      </c>
      <c r="S17" s="19" t="s">
        <v>289</v>
      </c>
    </row>
    <row r="18" spans="1:19" ht="32" outlineLevel="2" x14ac:dyDescent="0.2">
      <c r="A18" s="27" t="s">
        <v>288</v>
      </c>
      <c r="B18" s="19" t="s">
        <v>288</v>
      </c>
      <c r="C18" s="19" t="s">
        <v>295</v>
      </c>
      <c r="D18" s="19" t="s">
        <v>47</v>
      </c>
      <c r="E18" s="19" t="s">
        <v>48</v>
      </c>
      <c r="F18" s="19" t="s">
        <v>612</v>
      </c>
      <c r="G18" s="19" t="s">
        <v>617</v>
      </c>
      <c r="H18" s="31">
        <v>108.9</v>
      </c>
      <c r="I18" s="32">
        <f>H18/11</f>
        <v>9.9</v>
      </c>
      <c r="J18" s="19" t="s">
        <v>34</v>
      </c>
      <c r="K18" s="20" t="s">
        <v>35</v>
      </c>
      <c r="L18" s="19" t="s">
        <v>35</v>
      </c>
      <c r="M18" s="19" t="s">
        <v>35</v>
      </c>
      <c r="N18" s="19" t="s">
        <v>295</v>
      </c>
      <c r="O18" s="19" t="s">
        <v>296</v>
      </c>
      <c r="P18" s="19" t="s">
        <v>297</v>
      </c>
      <c r="Q18" s="19" t="s">
        <v>298</v>
      </c>
      <c r="R18" s="19" t="s">
        <v>39</v>
      </c>
      <c r="S18" s="19" t="s">
        <v>299</v>
      </c>
    </row>
    <row r="19" spans="1:19" ht="32" outlineLevel="2" x14ac:dyDescent="0.2">
      <c r="A19" s="27" t="s">
        <v>288</v>
      </c>
      <c r="B19" s="19" t="s">
        <v>284</v>
      </c>
      <c r="C19" s="19" t="s">
        <v>475</v>
      </c>
      <c r="D19" s="19" t="s">
        <v>32</v>
      </c>
      <c r="E19" s="19" t="s">
        <v>425</v>
      </c>
      <c r="F19" s="19" t="s">
        <v>615</v>
      </c>
      <c r="G19" s="19" t="s">
        <v>617</v>
      </c>
      <c r="H19" s="31">
        <v>36.67</v>
      </c>
      <c r="I19" s="31"/>
      <c r="J19" s="19" t="s">
        <v>476</v>
      </c>
      <c r="K19" s="20">
        <v>1.07</v>
      </c>
      <c r="L19" s="19" t="s">
        <v>35</v>
      </c>
      <c r="M19" s="19" t="s">
        <v>35</v>
      </c>
      <c r="N19" s="19" t="s">
        <v>475</v>
      </c>
      <c r="O19" s="19" t="s">
        <v>477</v>
      </c>
      <c r="P19" s="19" t="s">
        <v>35</v>
      </c>
      <c r="Q19" s="19" t="s">
        <v>478</v>
      </c>
      <c r="R19" s="19" t="s">
        <v>479</v>
      </c>
      <c r="S19" s="19" t="s">
        <v>480</v>
      </c>
    </row>
    <row r="20" spans="1:19" ht="32" outlineLevel="2" x14ac:dyDescent="0.2">
      <c r="A20" s="27" t="s">
        <v>267</v>
      </c>
      <c r="B20" s="19" t="s">
        <v>262</v>
      </c>
      <c r="C20" s="19" t="s">
        <v>31</v>
      </c>
      <c r="D20" s="19" t="s">
        <v>32</v>
      </c>
      <c r="E20" s="19" t="s">
        <v>33</v>
      </c>
      <c r="F20" s="19" t="s">
        <v>612</v>
      </c>
      <c r="G20" s="19" t="s">
        <v>617</v>
      </c>
      <c r="H20" s="31">
        <v>45.97</v>
      </c>
      <c r="I20" s="32">
        <f>H20/11</f>
        <v>4.1790909090909087</v>
      </c>
      <c r="J20" s="19" t="s">
        <v>34</v>
      </c>
      <c r="K20" s="20" t="s">
        <v>35</v>
      </c>
      <c r="L20" s="19" t="s">
        <v>35</v>
      </c>
      <c r="M20" s="19" t="s">
        <v>35</v>
      </c>
      <c r="N20" s="19" t="s">
        <v>31</v>
      </c>
      <c r="O20" s="19" t="s">
        <v>36</v>
      </c>
      <c r="P20" s="19" t="s">
        <v>37</v>
      </c>
      <c r="Q20" s="19" t="s">
        <v>38</v>
      </c>
      <c r="R20" s="19" t="s">
        <v>39</v>
      </c>
      <c r="S20" s="19" t="s">
        <v>268</v>
      </c>
    </row>
    <row r="21" spans="1:19" ht="32" outlineLevel="2" x14ac:dyDescent="0.2">
      <c r="A21" s="27" t="s">
        <v>267</v>
      </c>
      <c r="B21" s="19" t="s">
        <v>267</v>
      </c>
      <c r="C21" s="19" t="s">
        <v>463</v>
      </c>
      <c r="D21" s="19" t="s">
        <v>32</v>
      </c>
      <c r="E21" s="19" t="s">
        <v>425</v>
      </c>
      <c r="F21" s="19" t="s">
        <v>612</v>
      </c>
      <c r="G21" s="19" t="s">
        <v>617</v>
      </c>
      <c r="H21" s="31">
        <v>164.99</v>
      </c>
      <c r="I21" s="32">
        <f>H21/11</f>
        <v>14.99909090909091</v>
      </c>
      <c r="J21" s="19" t="s">
        <v>34</v>
      </c>
      <c r="K21" s="20" t="s">
        <v>35</v>
      </c>
      <c r="L21" s="19" t="s">
        <v>35</v>
      </c>
      <c r="M21" s="19" t="s">
        <v>35</v>
      </c>
      <c r="N21" s="19" t="s">
        <v>463</v>
      </c>
      <c r="O21" s="19" t="s">
        <v>464</v>
      </c>
      <c r="P21" s="19" t="s">
        <v>411</v>
      </c>
      <c r="Q21" s="19" t="s">
        <v>412</v>
      </c>
      <c r="R21" s="19" t="s">
        <v>39</v>
      </c>
      <c r="S21" s="19" t="s">
        <v>465</v>
      </c>
    </row>
    <row r="22" spans="1:19" ht="32" outlineLevel="2" x14ac:dyDescent="0.2">
      <c r="A22" s="28" t="s">
        <v>267</v>
      </c>
      <c r="B22" s="21" t="s">
        <v>262</v>
      </c>
      <c r="C22" s="21" t="s">
        <v>269</v>
      </c>
      <c r="D22" s="21" t="s">
        <v>47</v>
      </c>
      <c r="E22" s="21" t="s">
        <v>48</v>
      </c>
      <c r="F22" s="21" t="s">
        <v>615</v>
      </c>
      <c r="G22" s="21" t="s">
        <v>617</v>
      </c>
      <c r="H22" s="32">
        <v>175.48</v>
      </c>
      <c r="I22" s="32"/>
      <c r="J22" s="21" t="s">
        <v>270</v>
      </c>
      <c r="K22" s="22">
        <v>5.1100000000000003</v>
      </c>
      <c r="L22" s="21" t="s">
        <v>35</v>
      </c>
      <c r="M22" s="21" t="s">
        <v>35</v>
      </c>
      <c r="N22" s="21" t="s">
        <v>269</v>
      </c>
      <c r="O22" s="21" t="s">
        <v>271</v>
      </c>
      <c r="P22" s="21" t="s">
        <v>272</v>
      </c>
      <c r="Q22" s="21" t="s">
        <v>273</v>
      </c>
      <c r="R22" s="21" t="s">
        <v>274</v>
      </c>
      <c r="S22" s="21" t="s">
        <v>275</v>
      </c>
    </row>
    <row r="23" spans="1:19" ht="32" outlineLevel="2" x14ac:dyDescent="0.2">
      <c r="A23" s="28" t="s">
        <v>267</v>
      </c>
      <c r="B23" s="21" t="s">
        <v>262</v>
      </c>
      <c r="C23" s="21" t="s">
        <v>466</v>
      </c>
      <c r="D23" s="21" t="s">
        <v>32</v>
      </c>
      <c r="E23" s="21" t="s">
        <v>425</v>
      </c>
      <c r="F23" s="21" t="s">
        <v>615</v>
      </c>
      <c r="G23" s="21" t="s">
        <v>617</v>
      </c>
      <c r="H23" s="32">
        <v>167.1</v>
      </c>
      <c r="I23" s="32"/>
      <c r="J23" s="21" t="s">
        <v>467</v>
      </c>
      <c r="K23" s="22">
        <v>4.87</v>
      </c>
      <c r="L23" s="21" t="s">
        <v>35</v>
      </c>
      <c r="M23" s="21" t="s">
        <v>35</v>
      </c>
      <c r="N23" s="21" t="s">
        <v>466</v>
      </c>
      <c r="O23" s="21" t="s">
        <v>468</v>
      </c>
      <c r="P23" s="21" t="s">
        <v>469</v>
      </c>
      <c r="Q23" s="21" t="s">
        <v>470</v>
      </c>
      <c r="R23" s="21" t="s">
        <v>85</v>
      </c>
      <c r="S23" s="21" t="s">
        <v>471</v>
      </c>
    </row>
    <row r="24" spans="1:19" ht="32" outlineLevel="2" x14ac:dyDescent="0.2">
      <c r="A24" s="27" t="s">
        <v>243</v>
      </c>
      <c r="B24" s="19" t="s">
        <v>227</v>
      </c>
      <c r="C24" s="19" t="s">
        <v>127</v>
      </c>
      <c r="D24" s="19" t="s">
        <v>73</v>
      </c>
      <c r="E24" s="19" t="s">
        <v>74</v>
      </c>
      <c r="F24" s="19" t="s">
        <v>615</v>
      </c>
      <c r="G24" s="19" t="s">
        <v>617</v>
      </c>
      <c r="H24" s="31">
        <v>36.770000000000003</v>
      </c>
      <c r="I24" s="31"/>
      <c r="J24" s="19" t="s">
        <v>81</v>
      </c>
      <c r="K24" s="20">
        <v>1.07</v>
      </c>
      <c r="L24" s="19" t="s">
        <v>35</v>
      </c>
      <c r="M24" s="19" t="s">
        <v>35</v>
      </c>
      <c r="N24" s="19" t="s">
        <v>127</v>
      </c>
      <c r="O24" s="19" t="s">
        <v>129</v>
      </c>
      <c r="P24" s="19" t="s">
        <v>83</v>
      </c>
      <c r="Q24" s="19" t="s">
        <v>130</v>
      </c>
      <c r="R24" s="19" t="s">
        <v>85</v>
      </c>
      <c r="S24" s="19" t="s">
        <v>244</v>
      </c>
    </row>
    <row r="25" spans="1:19" ht="32" outlineLevel="2" x14ac:dyDescent="0.2">
      <c r="A25" s="27" t="s">
        <v>243</v>
      </c>
      <c r="B25" s="19" t="s">
        <v>227</v>
      </c>
      <c r="C25" s="19" t="s">
        <v>254</v>
      </c>
      <c r="D25" s="19" t="s">
        <v>47</v>
      </c>
      <c r="E25" s="19" t="s">
        <v>48</v>
      </c>
      <c r="F25" s="19" t="s">
        <v>615</v>
      </c>
      <c r="G25" s="19" t="s">
        <v>617</v>
      </c>
      <c r="H25" s="31">
        <v>300.83</v>
      </c>
      <c r="I25" s="31"/>
      <c r="J25" s="19" t="s">
        <v>255</v>
      </c>
      <c r="K25" s="20">
        <v>8.76</v>
      </c>
      <c r="L25" s="19" t="s">
        <v>35</v>
      </c>
      <c r="M25" s="19" t="s">
        <v>35</v>
      </c>
      <c r="N25" s="19" t="s">
        <v>254</v>
      </c>
      <c r="O25" s="19" t="s">
        <v>256</v>
      </c>
      <c r="P25" s="19" t="s">
        <v>109</v>
      </c>
      <c r="Q25" s="19" t="s">
        <v>257</v>
      </c>
      <c r="R25" s="19" t="s">
        <v>85</v>
      </c>
      <c r="S25" s="19" t="s">
        <v>258</v>
      </c>
    </row>
    <row r="26" spans="1:19" ht="32" outlineLevel="2" x14ac:dyDescent="0.2">
      <c r="A26" s="27" t="s">
        <v>227</v>
      </c>
      <c r="B26" s="19" t="s">
        <v>227</v>
      </c>
      <c r="C26" s="19" t="s">
        <v>31</v>
      </c>
      <c r="D26" s="19" t="s">
        <v>32</v>
      </c>
      <c r="E26" s="19" t="s">
        <v>33</v>
      </c>
      <c r="F26" s="19" t="s">
        <v>612</v>
      </c>
      <c r="G26" s="19" t="s">
        <v>617</v>
      </c>
      <c r="H26" s="31">
        <v>14.99</v>
      </c>
      <c r="I26" s="32">
        <f>H26/11</f>
        <v>1.3627272727272728</v>
      </c>
      <c r="J26" s="19" t="s">
        <v>34</v>
      </c>
      <c r="K26" s="20" t="s">
        <v>35</v>
      </c>
      <c r="L26" s="19" t="s">
        <v>35</v>
      </c>
      <c r="M26" s="19" t="s">
        <v>35</v>
      </c>
      <c r="N26" s="19" t="s">
        <v>31</v>
      </c>
      <c r="O26" s="19" t="s">
        <v>36</v>
      </c>
      <c r="P26" s="19" t="s">
        <v>37</v>
      </c>
      <c r="Q26" s="19" t="s">
        <v>38</v>
      </c>
      <c r="R26" s="19" t="s">
        <v>39</v>
      </c>
      <c r="S26" s="19" t="s">
        <v>234</v>
      </c>
    </row>
    <row r="27" spans="1:19" ht="32" outlineLevel="2" x14ac:dyDescent="0.2">
      <c r="A27" s="28" t="s">
        <v>227</v>
      </c>
      <c r="B27" s="21" t="s">
        <v>204</v>
      </c>
      <c r="C27" s="21" t="s">
        <v>31</v>
      </c>
      <c r="D27" s="21" t="s">
        <v>32</v>
      </c>
      <c r="E27" s="21" t="s">
        <v>33</v>
      </c>
      <c r="F27" s="21" t="s">
        <v>612</v>
      </c>
      <c r="G27" s="21" t="s">
        <v>617</v>
      </c>
      <c r="H27" s="32">
        <v>20.49</v>
      </c>
      <c r="I27" s="32">
        <f>H27/11</f>
        <v>1.8627272727272726</v>
      </c>
      <c r="J27" s="21" t="s">
        <v>34</v>
      </c>
      <c r="K27" s="22" t="s">
        <v>35</v>
      </c>
      <c r="L27" s="21" t="s">
        <v>35</v>
      </c>
      <c r="M27" s="21" t="s">
        <v>35</v>
      </c>
      <c r="N27" s="21" t="s">
        <v>31</v>
      </c>
      <c r="O27" s="21" t="s">
        <v>36</v>
      </c>
      <c r="P27" s="21" t="s">
        <v>37</v>
      </c>
      <c r="Q27" s="21" t="s">
        <v>38</v>
      </c>
      <c r="R27" s="21" t="s">
        <v>39</v>
      </c>
      <c r="S27" s="21" t="s">
        <v>235</v>
      </c>
    </row>
    <row r="28" spans="1:19" ht="16" outlineLevel="2" x14ac:dyDescent="0.2">
      <c r="A28" s="36">
        <v>45678</v>
      </c>
      <c r="B28" s="8"/>
      <c r="C28" s="7" t="s">
        <v>600</v>
      </c>
      <c r="D28" s="8">
        <v>465083897</v>
      </c>
      <c r="E28" s="7" t="s">
        <v>596</v>
      </c>
      <c r="F28" s="21" t="s">
        <v>612</v>
      </c>
      <c r="G28" s="21" t="s">
        <v>617</v>
      </c>
      <c r="H28" s="9">
        <v>264.39</v>
      </c>
      <c r="I28" s="32">
        <f>H28/11</f>
        <v>24.035454545454545</v>
      </c>
      <c r="J28" s="7" t="s">
        <v>597</v>
      </c>
      <c r="K28" s="7">
        <v>14091.17</v>
      </c>
      <c r="L28" s="7" t="s">
        <v>598</v>
      </c>
      <c r="M28" s="7">
        <v>112879</v>
      </c>
      <c r="N28" s="7">
        <v>908</v>
      </c>
      <c r="O28" s="7"/>
      <c r="P28" s="7"/>
      <c r="Q28" s="7"/>
      <c r="R28" s="7"/>
      <c r="S28" s="7"/>
    </row>
    <row r="29" spans="1:19" ht="32" outlineLevel="2" x14ac:dyDescent="0.2">
      <c r="A29" s="27" t="s">
        <v>227</v>
      </c>
      <c r="B29" s="19" t="s">
        <v>204</v>
      </c>
      <c r="C29" s="19" t="s">
        <v>205</v>
      </c>
      <c r="D29" s="19" t="s">
        <v>32</v>
      </c>
      <c r="E29" s="19" t="s">
        <v>425</v>
      </c>
      <c r="F29" s="19" t="s">
        <v>615</v>
      </c>
      <c r="G29" s="19" t="s">
        <v>617</v>
      </c>
      <c r="H29" s="31">
        <v>238.81</v>
      </c>
      <c r="I29" s="31"/>
      <c r="J29" s="19" t="s">
        <v>447</v>
      </c>
      <c r="K29" s="20">
        <v>6.96</v>
      </c>
      <c r="L29" s="19" t="s">
        <v>35</v>
      </c>
      <c r="M29" s="19" t="s">
        <v>35</v>
      </c>
      <c r="N29" s="19" t="s">
        <v>205</v>
      </c>
      <c r="O29" s="19" t="s">
        <v>207</v>
      </c>
      <c r="P29" s="19" t="s">
        <v>208</v>
      </c>
      <c r="Q29" s="19" t="s">
        <v>209</v>
      </c>
      <c r="R29" s="19" t="s">
        <v>122</v>
      </c>
      <c r="S29" s="19" t="s">
        <v>448</v>
      </c>
    </row>
    <row r="30" spans="1:19" ht="32" outlineLevel="2" x14ac:dyDescent="0.2">
      <c r="A30" s="27" t="s">
        <v>204</v>
      </c>
      <c r="B30" s="19" t="s">
        <v>204</v>
      </c>
      <c r="C30" s="19" t="s">
        <v>31</v>
      </c>
      <c r="D30" s="19" t="s">
        <v>32</v>
      </c>
      <c r="E30" s="19" t="s">
        <v>33</v>
      </c>
      <c r="F30" s="19" t="s">
        <v>612</v>
      </c>
      <c r="G30" s="19" t="s">
        <v>617</v>
      </c>
      <c r="H30" s="31">
        <v>23.49</v>
      </c>
      <c r="I30" s="32">
        <f>H30/11</f>
        <v>2.1354545454545453</v>
      </c>
      <c r="J30" s="19" t="s">
        <v>34</v>
      </c>
      <c r="K30" s="20" t="s">
        <v>35</v>
      </c>
      <c r="L30" s="19" t="s">
        <v>35</v>
      </c>
      <c r="M30" s="19" t="s">
        <v>35</v>
      </c>
      <c r="N30" s="19" t="s">
        <v>31</v>
      </c>
      <c r="O30" s="19" t="s">
        <v>36</v>
      </c>
      <c r="P30" s="19" t="s">
        <v>37</v>
      </c>
      <c r="Q30" s="19" t="s">
        <v>38</v>
      </c>
      <c r="R30" s="19" t="s">
        <v>39</v>
      </c>
      <c r="S30" s="19" t="s">
        <v>211</v>
      </c>
    </row>
    <row r="31" spans="1:19" ht="32" outlineLevel="2" x14ac:dyDescent="0.2">
      <c r="A31" s="28" t="s">
        <v>204</v>
      </c>
      <c r="B31" s="21" t="s">
        <v>204</v>
      </c>
      <c r="C31" s="21" t="s">
        <v>442</v>
      </c>
      <c r="D31" s="21" t="s">
        <v>32</v>
      </c>
      <c r="E31" s="21" t="s">
        <v>425</v>
      </c>
      <c r="F31" s="21" t="s">
        <v>612</v>
      </c>
      <c r="G31" s="21" t="s">
        <v>617</v>
      </c>
      <c r="H31" s="32">
        <v>89.95</v>
      </c>
      <c r="I31" s="32">
        <f>H31/11</f>
        <v>8.1772727272727277</v>
      </c>
      <c r="J31" s="21" t="s">
        <v>34</v>
      </c>
      <c r="K31" s="22" t="s">
        <v>35</v>
      </c>
      <c r="L31" s="21" t="s">
        <v>35</v>
      </c>
      <c r="M31" s="21" t="s">
        <v>35</v>
      </c>
      <c r="N31" s="21" t="s">
        <v>442</v>
      </c>
      <c r="O31" s="21" t="s">
        <v>443</v>
      </c>
      <c r="P31" s="21" t="s">
        <v>444</v>
      </c>
      <c r="Q31" s="21" t="s">
        <v>445</v>
      </c>
      <c r="R31" s="21" t="s">
        <v>39</v>
      </c>
      <c r="S31" s="21" t="s">
        <v>446</v>
      </c>
    </row>
    <row r="32" spans="1:19" ht="32" outlineLevel="2" x14ac:dyDescent="0.2">
      <c r="A32" s="28" t="s">
        <v>204</v>
      </c>
      <c r="B32" s="21" t="s">
        <v>176</v>
      </c>
      <c r="C32" s="21" t="s">
        <v>205</v>
      </c>
      <c r="D32" s="21" t="s">
        <v>47</v>
      </c>
      <c r="E32" s="21" t="s">
        <v>48</v>
      </c>
      <c r="F32" s="21" t="s">
        <v>615</v>
      </c>
      <c r="G32" s="21" t="s">
        <v>617</v>
      </c>
      <c r="H32" s="32">
        <v>64.98</v>
      </c>
      <c r="I32" s="32"/>
      <c r="J32" s="21" t="s">
        <v>206</v>
      </c>
      <c r="K32" s="22">
        <v>1.89</v>
      </c>
      <c r="L32" s="21" t="s">
        <v>35</v>
      </c>
      <c r="M32" s="21" t="s">
        <v>35</v>
      </c>
      <c r="N32" s="21" t="s">
        <v>205</v>
      </c>
      <c r="O32" s="21" t="s">
        <v>207</v>
      </c>
      <c r="P32" s="21" t="s">
        <v>208</v>
      </c>
      <c r="Q32" s="21" t="s">
        <v>209</v>
      </c>
      <c r="R32" s="21" t="s">
        <v>122</v>
      </c>
      <c r="S32" s="21" t="s">
        <v>210</v>
      </c>
    </row>
    <row r="33" spans="1:19" ht="32" outlineLevel="2" x14ac:dyDescent="0.2">
      <c r="A33" s="27" t="s">
        <v>188</v>
      </c>
      <c r="B33" s="19" t="s">
        <v>176</v>
      </c>
      <c r="C33" s="19" t="s">
        <v>31</v>
      </c>
      <c r="D33" s="19" t="s">
        <v>32</v>
      </c>
      <c r="E33" s="19" t="s">
        <v>33</v>
      </c>
      <c r="F33" s="19" t="s">
        <v>612</v>
      </c>
      <c r="G33" s="19" t="s">
        <v>617</v>
      </c>
      <c r="H33" s="31">
        <v>4.49</v>
      </c>
      <c r="I33" s="32">
        <f>H33/11</f>
        <v>0.4081818181818182</v>
      </c>
      <c r="J33" s="19" t="s">
        <v>34</v>
      </c>
      <c r="K33" s="20" t="s">
        <v>35</v>
      </c>
      <c r="L33" s="19" t="s">
        <v>35</v>
      </c>
      <c r="M33" s="19" t="s">
        <v>35</v>
      </c>
      <c r="N33" s="19" t="s">
        <v>31</v>
      </c>
      <c r="O33" s="19" t="s">
        <v>36</v>
      </c>
      <c r="P33" s="19" t="s">
        <v>37</v>
      </c>
      <c r="Q33" s="19" t="s">
        <v>38</v>
      </c>
      <c r="R33" s="19" t="s">
        <v>39</v>
      </c>
      <c r="S33" s="19" t="s">
        <v>189</v>
      </c>
    </row>
    <row r="34" spans="1:19" ht="32" outlineLevel="2" x14ac:dyDescent="0.2">
      <c r="A34" s="28" t="s">
        <v>188</v>
      </c>
      <c r="B34" s="21" t="s">
        <v>176</v>
      </c>
      <c r="C34" s="21" t="s">
        <v>190</v>
      </c>
      <c r="D34" s="21" t="s">
        <v>47</v>
      </c>
      <c r="E34" s="21" t="s">
        <v>48</v>
      </c>
      <c r="F34" s="21" t="s">
        <v>615</v>
      </c>
      <c r="G34" s="21" t="s">
        <v>617</v>
      </c>
      <c r="H34" s="32">
        <v>410.75</v>
      </c>
      <c r="I34" s="32"/>
      <c r="J34" s="21" t="s">
        <v>191</v>
      </c>
      <c r="K34" s="22">
        <v>11.96</v>
      </c>
      <c r="L34" s="21" t="s">
        <v>35</v>
      </c>
      <c r="M34" s="21" t="s">
        <v>35</v>
      </c>
      <c r="N34" s="21" t="s">
        <v>190</v>
      </c>
      <c r="O34" s="21" t="s">
        <v>192</v>
      </c>
      <c r="P34" s="21" t="s">
        <v>37</v>
      </c>
      <c r="Q34" s="21" t="s">
        <v>38</v>
      </c>
      <c r="R34" s="21" t="s">
        <v>39</v>
      </c>
      <c r="S34" s="21" t="s">
        <v>193</v>
      </c>
    </row>
    <row r="35" spans="1:19" ht="32" outlineLevel="2" x14ac:dyDescent="0.2">
      <c r="A35" s="28" t="s">
        <v>176</v>
      </c>
      <c r="B35" s="21" t="s">
        <v>176</v>
      </c>
      <c r="C35" s="21" t="s">
        <v>31</v>
      </c>
      <c r="D35" s="21" t="s">
        <v>47</v>
      </c>
      <c r="E35" s="21" t="s">
        <v>48</v>
      </c>
      <c r="F35" s="21" t="s">
        <v>612</v>
      </c>
      <c r="G35" s="21" t="s">
        <v>617</v>
      </c>
      <c r="H35" s="32">
        <v>1.49</v>
      </c>
      <c r="I35" s="32">
        <f>H35/11</f>
        <v>0.13545454545454547</v>
      </c>
      <c r="J35" s="21" t="s">
        <v>34</v>
      </c>
      <c r="K35" s="22" t="s">
        <v>35</v>
      </c>
      <c r="L35" s="21" t="s">
        <v>35</v>
      </c>
      <c r="M35" s="21" t="s">
        <v>35</v>
      </c>
      <c r="N35" s="21" t="s">
        <v>31</v>
      </c>
      <c r="O35" s="21" t="s">
        <v>36</v>
      </c>
      <c r="P35" s="21" t="s">
        <v>37</v>
      </c>
      <c r="Q35" s="21" t="s">
        <v>38</v>
      </c>
      <c r="R35" s="21" t="s">
        <v>39</v>
      </c>
      <c r="S35" s="21" t="s">
        <v>177</v>
      </c>
    </row>
    <row r="36" spans="1:19" ht="32" outlineLevel="2" x14ac:dyDescent="0.2">
      <c r="A36" s="27" t="s">
        <v>168</v>
      </c>
      <c r="B36" s="19" t="s">
        <v>158</v>
      </c>
      <c r="C36" s="19" t="s">
        <v>31</v>
      </c>
      <c r="D36" s="19" t="s">
        <v>32</v>
      </c>
      <c r="E36" s="19" t="s">
        <v>33</v>
      </c>
      <c r="F36" s="19" t="s">
        <v>612</v>
      </c>
      <c r="G36" s="19" t="s">
        <v>617</v>
      </c>
      <c r="H36" s="31">
        <v>7.99</v>
      </c>
      <c r="I36" s="32">
        <f>H36/11</f>
        <v>0.72636363636363643</v>
      </c>
      <c r="J36" s="19" t="s">
        <v>649</v>
      </c>
      <c r="K36" s="20" t="s">
        <v>35</v>
      </c>
      <c r="L36" s="19" t="s">
        <v>35</v>
      </c>
      <c r="M36" s="19" t="s">
        <v>35</v>
      </c>
      <c r="N36" s="19" t="s">
        <v>31</v>
      </c>
      <c r="O36" s="19" t="s">
        <v>36</v>
      </c>
      <c r="P36" s="19" t="s">
        <v>37</v>
      </c>
      <c r="Q36" s="19" t="s">
        <v>38</v>
      </c>
      <c r="R36" s="19" t="s">
        <v>39</v>
      </c>
      <c r="S36" s="19" t="s">
        <v>169</v>
      </c>
    </row>
    <row r="37" spans="1:19" ht="32" outlineLevel="2" x14ac:dyDescent="0.2">
      <c r="A37" s="28" t="s">
        <v>124</v>
      </c>
      <c r="B37" s="21" t="s">
        <v>95</v>
      </c>
      <c r="C37" s="21" t="s">
        <v>127</v>
      </c>
      <c r="D37" s="21" t="s">
        <v>47</v>
      </c>
      <c r="E37" s="21" t="s">
        <v>48</v>
      </c>
      <c r="F37" s="21" t="s">
        <v>615</v>
      </c>
      <c r="G37" s="21" t="s">
        <v>617</v>
      </c>
      <c r="H37" s="32">
        <v>32.700000000000003</v>
      </c>
      <c r="I37" s="32"/>
      <c r="J37" s="21" t="s">
        <v>128</v>
      </c>
      <c r="K37" s="22">
        <v>0.95</v>
      </c>
      <c r="L37" s="21" t="s">
        <v>35</v>
      </c>
      <c r="M37" s="21" t="s">
        <v>35</v>
      </c>
      <c r="N37" s="21" t="s">
        <v>127</v>
      </c>
      <c r="O37" s="21" t="s">
        <v>129</v>
      </c>
      <c r="P37" s="21" t="s">
        <v>83</v>
      </c>
      <c r="Q37" s="21" t="s">
        <v>130</v>
      </c>
      <c r="R37" s="21" t="s">
        <v>85</v>
      </c>
      <c r="S37" s="21" t="s">
        <v>131</v>
      </c>
    </row>
    <row r="38" spans="1:19" ht="32" outlineLevel="2" x14ac:dyDescent="0.2">
      <c r="A38" s="27" t="s">
        <v>95</v>
      </c>
      <c r="B38" s="19" t="s">
        <v>90</v>
      </c>
      <c r="C38" s="19" t="s">
        <v>106</v>
      </c>
      <c r="D38" s="19" t="s">
        <v>47</v>
      </c>
      <c r="E38" s="19" t="s">
        <v>48</v>
      </c>
      <c r="F38" s="19" t="s">
        <v>615</v>
      </c>
      <c r="G38" s="19" t="s">
        <v>617</v>
      </c>
      <c r="H38" s="31">
        <v>90.31</v>
      </c>
      <c r="I38" s="31"/>
      <c r="J38" s="19" t="s">
        <v>107</v>
      </c>
      <c r="K38" s="20">
        <v>2.63</v>
      </c>
      <c r="L38" s="19" t="s">
        <v>35</v>
      </c>
      <c r="M38" s="19" t="s">
        <v>35</v>
      </c>
      <c r="N38" s="19" t="s">
        <v>106</v>
      </c>
      <c r="O38" s="19" t="s">
        <v>108</v>
      </c>
      <c r="P38" s="19" t="s">
        <v>109</v>
      </c>
      <c r="Q38" s="19" t="s">
        <v>110</v>
      </c>
      <c r="R38" s="19" t="s">
        <v>85</v>
      </c>
      <c r="S38" s="19" t="s">
        <v>111</v>
      </c>
    </row>
    <row r="39" spans="1:19" ht="32" outlineLevel="2" x14ac:dyDescent="0.2">
      <c r="A39" s="27" t="s">
        <v>95</v>
      </c>
      <c r="B39" s="19" t="s">
        <v>90</v>
      </c>
      <c r="C39" s="19" t="s">
        <v>117</v>
      </c>
      <c r="D39" s="19" t="s">
        <v>47</v>
      </c>
      <c r="E39" s="19" t="s">
        <v>48</v>
      </c>
      <c r="F39" s="19" t="s">
        <v>615</v>
      </c>
      <c r="G39" s="19" t="s">
        <v>617</v>
      </c>
      <c r="H39" s="31">
        <v>24.62</v>
      </c>
      <c r="I39" s="31"/>
      <c r="J39" s="19" t="s">
        <v>118</v>
      </c>
      <c r="K39" s="20">
        <v>0.72</v>
      </c>
      <c r="L39" s="19" t="s">
        <v>35</v>
      </c>
      <c r="M39" s="19" t="s">
        <v>35</v>
      </c>
      <c r="N39" s="19" t="s">
        <v>117</v>
      </c>
      <c r="O39" s="19" t="s">
        <v>119</v>
      </c>
      <c r="P39" s="19" t="s">
        <v>120</v>
      </c>
      <c r="Q39" s="19" t="s">
        <v>121</v>
      </c>
      <c r="R39" s="19" t="s">
        <v>122</v>
      </c>
      <c r="S39" s="19" t="s">
        <v>123</v>
      </c>
    </row>
    <row r="40" spans="1:19" ht="32" outlineLevel="2" x14ac:dyDescent="0.2">
      <c r="A40" s="28" t="s">
        <v>60</v>
      </c>
      <c r="B40" s="21" t="s">
        <v>29</v>
      </c>
      <c r="C40" s="21" t="s">
        <v>80</v>
      </c>
      <c r="D40" s="21" t="s">
        <v>47</v>
      </c>
      <c r="E40" s="21" t="s">
        <v>48</v>
      </c>
      <c r="F40" s="21" t="s">
        <v>615</v>
      </c>
      <c r="G40" s="21" t="s">
        <v>617</v>
      </c>
      <c r="H40" s="32">
        <v>36.5</v>
      </c>
      <c r="I40" s="32"/>
      <c r="J40" s="21" t="s">
        <v>81</v>
      </c>
      <c r="K40" s="22">
        <v>1.06</v>
      </c>
      <c r="L40" s="21" t="s">
        <v>35</v>
      </c>
      <c r="M40" s="21" t="s">
        <v>35</v>
      </c>
      <c r="N40" s="21" t="s">
        <v>80</v>
      </c>
      <c r="O40" s="21" t="s">
        <v>82</v>
      </c>
      <c r="P40" s="21" t="s">
        <v>83</v>
      </c>
      <c r="Q40" s="21" t="s">
        <v>84</v>
      </c>
      <c r="R40" s="21" t="s">
        <v>85</v>
      </c>
      <c r="S40" s="21" t="s">
        <v>86</v>
      </c>
    </row>
    <row r="41" spans="1:19" ht="32" outlineLevel="2" x14ac:dyDescent="0.2">
      <c r="A41" s="27" t="s">
        <v>29</v>
      </c>
      <c r="B41" s="19" t="s">
        <v>30</v>
      </c>
      <c r="C41" s="19" t="s">
        <v>31</v>
      </c>
      <c r="D41" s="19" t="s">
        <v>32</v>
      </c>
      <c r="E41" s="19" t="s">
        <v>33</v>
      </c>
      <c r="F41" s="19" t="s">
        <v>612</v>
      </c>
      <c r="G41" s="19" t="s">
        <v>617</v>
      </c>
      <c r="H41" s="31">
        <v>1.49</v>
      </c>
      <c r="I41" s="32">
        <f>H41/11</f>
        <v>0.13545454545454547</v>
      </c>
      <c r="J41" s="19" t="s">
        <v>34</v>
      </c>
      <c r="K41" s="20" t="s">
        <v>35</v>
      </c>
      <c r="L41" s="19" t="s">
        <v>35</v>
      </c>
      <c r="M41" s="19" t="s">
        <v>35</v>
      </c>
      <c r="N41" s="19" t="s">
        <v>31</v>
      </c>
      <c r="O41" s="19" t="s">
        <v>36</v>
      </c>
      <c r="P41" s="19" t="s">
        <v>37</v>
      </c>
      <c r="Q41" s="19" t="s">
        <v>38</v>
      </c>
      <c r="R41" s="19" t="s">
        <v>39</v>
      </c>
      <c r="S41" s="19" t="s">
        <v>40</v>
      </c>
    </row>
    <row r="42" spans="1:19" ht="16" outlineLevel="1" x14ac:dyDescent="0.2">
      <c r="A42" s="27"/>
      <c r="B42" s="19"/>
      <c r="C42" s="19"/>
      <c r="D42" s="19"/>
      <c r="E42" s="19"/>
      <c r="F42" s="19"/>
      <c r="G42" s="50" t="s">
        <v>652</v>
      </c>
      <c r="H42" s="31">
        <f>SUBTOTAL(9,H10:H41)</f>
        <v>3072.9799999999982</v>
      </c>
      <c r="I42" s="32"/>
      <c r="J42" s="19"/>
      <c r="K42" s="20"/>
      <c r="L42" s="19"/>
      <c r="M42" s="19"/>
      <c r="N42" s="19"/>
      <c r="O42" s="19"/>
      <c r="P42" s="19"/>
      <c r="Q42" s="19"/>
      <c r="R42" s="19"/>
      <c r="S42" s="19"/>
    </row>
    <row r="43" spans="1:19" ht="32" outlineLevel="2" x14ac:dyDescent="0.2">
      <c r="A43" s="28" t="s">
        <v>60</v>
      </c>
      <c r="B43" s="21" t="s">
        <v>60</v>
      </c>
      <c r="C43" s="21" t="s">
        <v>72</v>
      </c>
      <c r="D43" s="21" t="s">
        <v>73</v>
      </c>
      <c r="E43" s="21" t="s">
        <v>74</v>
      </c>
      <c r="F43" s="21" t="s">
        <v>615</v>
      </c>
      <c r="G43" s="21" t="s">
        <v>634</v>
      </c>
      <c r="H43" s="32">
        <v>188.63</v>
      </c>
      <c r="I43" s="32"/>
      <c r="J43" s="21" t="s">
        <v>34</v>
      </c>
      <c r="K43" s="22" t="s">
        <v>35</v>
      </c>
      <c r="L43" s="21" t="s">
        <v>35</v>
      </c>
      <c r="M43" s="21" t="s">
        <v>35</v>
      </c>
      <c r="N43" s="21" t="s">
        <v>72</v>
      </c>
      <c r="O43" s="21" t="s">
        <v>75</v>
      </c>
      <c r="P43" s="21" t="s">
        <v>76</v>
      </c>
      <c r="Q43" s="21" t="s">
        <v>77</v>
      </c>
      <c r="R43" s="21" t="s">
        <v>39</v>
      </c>
      <c r="S43" s="21" t="s">
        <v>78</v>
      </c>
    </row>
    <row r="44" spans="1:19" ht="32" outlineLevel="2" x14ac:dyDescent="0.2">
      <c r="A44" s="27" t="s">
        <v>60</v>
      </c>
      <c r="B44" s="19" t="s">
        <v>60</v>
      </c>
      <c r="C44" s="19" t="s">
        <v>72</v>
      </c>
      <c r="D44" s="19" t="s">
        <v>73</v>
      </c>
      <c r="E44" s="19" t="s">
        <v>74</v>
      </c>
      <c r="F44" s="21" t="s">
        <v>615</v>
      </c>
      <c r="G44" s="21" t="s">
        <v>634</v>
      </c>
      <c r="H44" s="31">
        <v>620.05999999999995</v>
      </c>
      <c r="I44" s="31"/>
      <c r="J44" s="19" t="s">
        <v>34</v>
      </c>
      <c r="K44" s="20" t="s">
        <v>35</v>
      </c>
      <c r="L44" s="19" t="s">
        <v>35</v>
      </c>
      <c r="M44" s="19" t="s">
        <v>35</v>
      </c>
      <c r="N44" s="19" t="s">
        <v>72</v>
      </c>
      <c r="O44" s="19" t="s">
        <v>75</v>
      </c>
      <c r="P44" s="19" t="s">
        <v>76</v>
      </c>
      <c r="Q44" s="19" t="s">
        <v>77</v>
      </c>
      <c r="R44" s="19" t="s">
        <v>39</v>
      </c>
      <c r="S44" s="19" t="s">
        <v>79</v>
      </c>
    </row>
    <row r="45" spans="1:19" ht="16" outlineLevel="1" x14ac:dyDescent="0.2">
      <c r="A45" s="27"/>
      <c r="B45" s="19"/>
      <c r="C45" s="19"/>
      <c r="D45" s="19"/>
      <c r="E45" s="19"/>
      <c r="F45" s="21"/>
      <c r="G45" s="51" t="s">
        <v>653</v>
      </c>
      <c r="H45" s="31">
        <f>SUBTOTAL(9,H43:H44)</f>
        <v>808.68999999999994</v>
      </c>
      <c r="I45" s="31"/>
      <c r="J45" s="19"/>
      <c r="K45" s="20"/>
      <c r="L45" s="19"/>
      <c r="M45" s="19"/>
      <c r="N45" s="19"/>
      <c r="O45" s="19"/>
      <c r="P45" s="19"/>
      <c r="Q45" s="19"/>
      <c r="R45" s="19"/>
      <c r="S45" s="19"/>
    </row>
    <row r="46" spans="1:19" outlineLevel="2" x14ac:dyDescent="0.2">
      <c r="A46" s="36">
        <v>45665</v>
      </c>
      <c r="B46" s="38"/>
      <c r="C46" s="7" t="s">
        <v>564</v>
      </c>
      <c r="D46" s="8" t="s">
        <v>544</v>
      </c>
      <c r="E46" s="7" t="s">
        <v>545</v>
      </c>
      <c r="F46" s="7" t="s">
        <v>615</v>
      </c>
      <c r="G46" s="7" t="s">
        <v>616</v>
      </c>
      <c r="H46" s="9">
        <v>12.68</v>
      </c>
      <c r="I46" s="9"/>
      <c r="J46" s="7"/>
      <c r="K46" s="7"/>
      <c r="L46" s="7"/>
      <c r="M46" s="7"/>
      <c r="N46" s="7"/>
      <c r="O46" s="7"/>
      <c r="P46" s="7"/>
      <c r="Q46" s="7"/>
      <c r="R46" s="7"/>
      <c r="S46" s="7"/>
    </row>
    <row r="47" spans="1:19" outlineLevel="1" x14ac:dyDescent="0.2">
      <c r="A47" s="36"/>
      <c r="B47" s="38"/>
      <c r="C47" s="7"/>
      <c r="D47" s="8"/>
      <c r="E47" s="7"/>
      <c r="F47" s="7"/>
      <c r="G47" s="49" t="s">
        <v>654</v>
      </c>
      <c r="H47" s="9">
        <f>SUBTOTAL(9,H46:H46)</f>
        <v>12.68</v>
      </c>
      <c r="I47" s="9"/>
      <c r="J47" s="7"/>
      <c r="K47" s="7"/>
      <c r="L47" s="7"/>
      <c r="M47" s="7"/>
      <c r="N47" s="7"/>
      <c r="O47" s="7"/>
      <c r="P47" s="7"/>
      <c r="Q47" s="7"/>
      <c r="R47" s="7"/>
      <c r="S47" s="7"/>
    </row>
    <row r="48" spans="1:19" ht="32" outlineLevel="2" x14ac:dyDescent="0.2">
      <c r="A48" s="27" t="s">
        <v>341</v>
      </c>
      <c r="B48" s="19" t="s">
        <v>343</v>
      </c>
      <c r="C48" s="19" t="s">
        <v>344</v>
      </c>
      <c r="D48" s="19" t="s">
        <v>47</v>
      </c>
      <c r="E48" s="19" t="s">
        <v>48</v>
      </c>
      <c r="F48" s="19" t="s">
        <v>612</v>
      </c>
      <c r="G48" s="19" t="s">
        <v>627</v>
      </c>
      <c r="H48" s="31">
        <v>359.45</v>
      </c>
      <c r="I48" s="32">
        <f>H48/11</f>
        <v>32.677272727272729</v>
      </c>
      <c r="J48" s="19" t="s">
        <v>34</v>
      </c>
      <c r="K48" s="20" t="s">
        <v>35</v>
      </c>
      <c r="L48" s="19" t="s">
        <v>35</v>
      </c>
      <c r="M48" s="19" t="s">
        <v>35</v>
      </c>
      <c r="N48" s="19" t="s">
        <v>344</v>
      </c>
      <c r="O48" s="19" t="s">
        <v>291</v>
      </c>
      <c r="P48" s="19" t="s">
        <v>292</v>
      </c>
      <c r="Q48" s="19" t="s">
        <v>293</v>
      </c>
      <c r="R48" s="19" t="s">
        <v>39</v>
      </c>
      <c r="S48" s="19" t="s">
        <v>345</v>
      </c>
    </row>
    <row r="49" spans="1:19" ht="32" outlineLevel="2" x14ac:dyDescent="0.2">
      <c r="A49" s="28" t="s">
        <v>341</v>
      </c>
      <c r="B49" s="21" t="s">
        <v>343</v>
      </c>
      <c r="C49" s="21" t="s">
        <v>346</v>
      </c>
      <c r="D49" s="21" t="s">
        <v>47</v>
      </c>
      <c r="E49" s="21" t="s">
        <v>48</v>
      </c>
      <c r="F49" s="19" t="s">
        <v>612</v>
      </c>
      <c r="G49" s="19" t="s">
        <v>627</v>
      </c>
      <c r="H49" s="32">
        <v>20.82</v>
      </c>
      <c r="I49" s="32">
        <f>H49/11</f>
        <v>1.8927272727272728</v>
      </c>
      <c r="J49" s="21" t="s">
        <v>34</v>
      </c>
      <c r="K49" s="22" t="s">
        <v>35</v>
      </c>
      <c r="L49" s="21" t="s">
        <v>35</v>
      </c>
      <c r="M49" s="21" t="s">
        <v>35</v>
      </c>
      <c r="N49" s="21" t="s">
        <v>346</v>
      </c>
      <c r="O49" s="21" t="s">
        <v>291</v>
      </c>
      <c r="P49" s="21" t="s">
        <v>292</v>
      </c>
      <c r="Q49" s="21" t="s">
        <v>293</v>
      </c>
      <c r="R49" s="21" t="s">
        <v>39</v>
      </c>
      <c r="S49" s="21" t="s">
        <v>347</v>
      </c>
    </row>
    <row r="50" spans="1:19" ht="32" outlineLevel="2" x14ac:dyDescent="0.2">
      <c r="A50" s="28" t="s">
        <v>341</v>
      </c>
      <c r="B50" s="21" t="s">
        <v>343</v>
      </c>
      <c r="C50" s="21" t="s">
        <v>490</v>
      </c>
      <c r="D50" s="21" t="s">
        <v>32</v>
      </c>
      <c r="E50" s="21" t="s">
        <v>425</v>
      </c>
      <c r="F50" s="19" t="s">
        <v>612</v>
      </c>
      <c r="G50" s="19" t="s">
        <v>627</v>
      </c>
      <c r="H50" s="32">
        <v>1368.2</v>
      </c>
      <c r="I50" s="32">
        <f>H50/11</f>
        <v>124.38181818181819</v>
      </c>
      <c r="J50" s="21" t="s">
        <v>34</v>
      </c>
      <c r="K50" s="22" t="s">
        <v>35</v>
      </c>
      <c r="L50" s="21" t="s">
        <v>35</v>
      </c>
      <c r="M50" s="21" t="s">
        <v>35</v>
      </c>
      <c r="N50" s="21" t="s">
        <v>490</v>
      </c>
      <c r="O50" s="21" t="s">
        <v>291</v>
      </c>
      <c r="P50" s="21" t="s">
        <v>292</v>
      </c>
      <c r="Q50" s="21" t="s">
        <v>293</v>
      </c>
      <c r="R50" s="21" t="s">
        <v>39</v>
      </c>
      <c r="S50" s="21" t="s">
        <v>491</v>
      </c>
    </row>
    <row r="51" spans="1:19" ht="32" outlineLevel="2" x14ac:dyDescent="0.2">
      <c r="A51" s="28" t="s">
        <v>288</v>
      </c>
      <c r="B51" s="21" t="s">
        <v>288</v>
      </c>
      <c r="C51" s="21" t="s">
        <v>473</v>
      </c>
      <c r="D51" s="21" t="s">
        <v>32</v>
      </c>
      <c r="E51" s="21" t="s">
        <v>425</v>
      </c>
      <c r="F51" s="19" t="s">
        <v>612</v>
      </c>
      <c r="G51" s="19" t="s">
        <v>627</v>
      </c>
      <c r="H51" s="32">
        <v>65.31</v>
      </c>
      <c r="I51" s="32">
        <f>H51/11</f>
        <v>5.9372727272727275</v>
      </c>
      <c r="J51" s="21" t="s">
        <v>34</v>
      </c>
      <c r="K51" s="22" t="s">
        <v>35</v>
      </c>
      <c r="L51" s="21" t="s">
        <v>35</v>
      </c>
      <c r="M51" s="21" t="s">
        <v>35</v>
      </c>
      <c r="N51" s="21" t="s">
        <v>473</v>
      </c>
      <c r="O51" s="21" t="s">
        <v>291</v>
      </c>
      <c r="P51" s="21" t="s">
        <v>292</v>
      </c>
      <c r="Q51" s="21" t="s">
        <v>293</v>
      </c>
      <c r="R51" s="21" t="s">
        <v>39</v>
      </c>
      <c r="S51" s="21" t="s">
        <v>474</v>
      </c>
    </row>
    <row r="52" spans="1:19" ht="32" outlineLevel="2" x14ac:dyDescent="0.2">
      <c r="A52" s="28" t="s">
        <v>288</v>
      </c>
      <c r="B52" s="21" t="s">
        <v>284</v>
      </c>
      <c r="C52" s="21" t="s">
        <v>290</v>
      </c>
      <c r="D52" s="21" t="s">
        <v>47</v>
      </c>
      <c r="E52" s="21" t="s">
        <v>48</v>
      </c>
      <c r="F52" s="19" t="s">
        <v>612</v>
      </c>
      <c r="G52" s="19" t="s">
        <v>627</v>
      </c>
      <c r="H52" s="32">
        <v>174</v>
      </c>
      <c r="I52" s="32">
        <f>H52/11</f>
        <v>15.818181818181818</v>
      </c>
      <c r="J52" s="21" t="s">
        <v>34</v>
      </c>
      <c r="K52" s="22" t="s">
        <v>35</v>
      </c>
      <c r="L52" s="21" t="s">
        <v>35</v>
      </c>
      <c r="M52" s="21" t="s">
        <v>35</v>
      </c>
      <c r="N52" s="21" t="s">
        <v>290</v>
      </c>
      <c r="O52" s="21" t="s">
        <v>291</v>
      </c>
      <c r="P52" s="21" t="s">
        <v>292</v>
      </c>
      <c r="Q52" s="21" t="s">
        <v>293</v>
      </c>
      <c r="R52" s="21" t="s">
        <v>39</v>
      </c>
      <c r="S52" s="21" t="s">
        <v>294</v>
      </c>
    </row>
    <row r="53" spans="1:19" ht="32" outlineLevel="2" x14ac:dyDescent="0.2">
      <c r="A53" s="27" t="s">
        <v>227</v>
      </c>
      <c r="B53" s="19" t="s">
        <v>204</v>
      </c>
      <c r="C53" s="19" t="s">
        <v>454</v>
      </c>
      <c r="D53" s="19" t="s">
        <v>32</v>
      </c>
      <c r="E53" s="19" t="s">
        <v>425</v>
      </c>
      <c r="F53" s="19" t="s">
        <v>615</v>
      </c>
      <c r="G53" s="19" t="s">
        <v>627</v>
      </c>
      <c r="H53" s="31">
        <v>43.63</v>
      </c>
      <c r="I53" s="31"/>
      <c r="J53" s="19" t="s">
        <v>455</v>
      </c>
      <c r="K53" s="20">
        <v>1.27</v>
      </c>
      <c r="L53" s="19" t="s">
        <v>35</v>
      </c>
      <c r="M53" s="19" t="s">
        <v>35</v>
      </c>
      <c r="N53" s="19" t="s">
        <v>454</v>
      </c>
      <c r="O53" s="19" t="s">
        <v>456</v>
      </c>
      <c r="P53" s="19" t="s">
        <v>457</v>
      </c>
      <c r="Q53" s="19" t="s">
        <v>458</v>
      </c>
      <c r="R53" s="19" t="s">
        <v>85</v>
      </c>
      <c r="S53" s="19" t="s">
        <v>459</v>
      </c>
    </row>
    <row r="54" spans="1:19" ht="16" outlineLevel="1" x14ac:dyDescent="0.2">
      <c r="A54" s="27"/>
      <c r="B54" s="19"/>
      <c r="C54" s="19"/>
      <c r="D54" s="19"/>
      <c r="E54" s="19"/>
      <c r="F54" s="19"/>
      <c r="G54" s="50" t="s">
        <v>655</v>
      </c>
      <c r="H54" s="31">
        <f>SUBTOTAL(9,H48:H53)</f>
        <v>2031.41</v>
      </c>
      <c r="I54" s="31"/>
      <c r="J54" s="19"/>
      <c r="K54" s="20"/>
      <c r="L54" s="19"/>
      <c r="M54" s="19"/>
      <c r="N54" s="19"/>
      <c r="O54" s="19"/>
      <c r="P54" s="19"/>
      <c r="Q54" s="19"/>
      <c r="R54" s="19"/>
      <c r="S54" s="19"/>
    </row>
    <row r="55" spans="1:19" ht="48" outlineLevel="2" x14ac:dyDescent="0.2">
      <c r="A55" s="27" t="s">
        <v>379</v>
      </c>
      <c r="B55" s="19" t="s">
        <v>379</v>
      </c>
      <c r="C55" s="19" t="s">
        <v>383</v>
      </c>
      <c r="D55" s="19" t="s">
        <v>73</v>
      </c>
      <c r="E55" s="19" t="s">
        <v>74</v>
      </c>
      <c r="F55" s="19" t="s">
        <v>612</v>
      </c>
      <c r="G55" s="19" t="s">
        <v>632</v>
      </c>
      <c r="H55" s="31">
        <v>235.65</v>
      </c>
      <c r="I55" s="32">
        <f>H55/11</f>
        <v>21.422727272727272</v>
      </c>
      <c r="J55" s="19" t="s">
        <v>34</v>
      </c>
      <c r="K55" s="20" t="s">
        <v>35</v>
      </c>
      <c r="L55" s="19" t="s">
        <v>35</v>
      </c>
      <c r="M55" s="19" t="s">
        <v>384</v>
      </c>
      <c r="N55" s="19" t="s">
        <v>383</v>
      </c>
      <c r="O55" s="19" t="s">
        <v>385</v>
      </c>
      <c r="P55" s="19" t="s">
        <v>386</v>
      </c>
      <c r="Q55" s="19" t="s">
        <v>387</v>
      </c>
      <c r="R55" s="19" t="s">
        <v>39</v>
      </c>
      <c r="S55" s="19" t="s">
        <v>388</v>
      </c>
    </row>
    <row r="56" spans="1:19" ht="16" outlineLevel="1" x14ac:dyDescent="0.2">
      <c r="A56" s="27"/>
      <c r="B56" s="19"/>
      <c r="C56" s="19"/>
      <c r="D56" s="19"/>
      <c r="E56" s="19"/>
      <c r="F56" s="19"/>
      <c r="G56" s="50" t="s">
        <v>656</v>
      </c>
      <c r="H56" s="31">
        <f>SUBTOTAL(9,H55:H55)</f>
        <v>235.65</v>
      </c>
      <c r="I56" s="32"/>
      <c r="J56" s="19"/>
      <c r="K56" s="20"/>
      <c r="L56" s="19"/>
      <c r="M56" s="19"/>
      <c r="N56" s="19"/>
      <c r="O56" s="19"/>
      <c r="P56" s="19"/>
      <c r="Q56" s="19"/>
      <c r="R56" s="19"/>
      <c r="S56" s="19"/>
    </row>
    <row r="57" spans="1:19" ht="32" outlineLevel="2" x14ac:dyDescent="0.2">
      <c r="A57" s="27" t="s">
        <v>396</v>
      </c>
      <c r="B57" s="19" t="s">
        <v>396</v>
      </c>
      <c r="C57" s="19" t="s">
        <v>506</v>
      </c>
      <c r="D57" s="19" t="s">
        <v>32</v>
      </c>
      <c r="E57" s="19" t="s">
        <v>425</v>
      </c>
      <c r="F57" s="19" t="s">
        <v>612</v>
      </c>
      <c r="G57" s="19" t="s">
        <v>621</v>
      </c>
      <c r="H57" s="31">
        <v>173.07</v>
      </c>
      <c r="I57" s="32">
        <f>H57/11</f>
        <v>15.733636363636363</v>
      </c>
      <c r="J57" s="19" t="s">
        <v>34</v>
      </c>
      <c r="K57" s="20" t="s">
        <v>35</v>
      </c>
      <c r="L57" s="19" t="s">
        <v>35</v>
      </c>
      <c r="M57" s="19" t="s">
        <v>35</v>
      </c>
      <c r="N57" s="19" t="s">
        <v>506</v>
      </c>
      <c r="O57" s="19" t="s">
        <v>507</v>
      </c>
      <c r="P57" s="19" t="s">
        <v>508</v>
      </c>
      <c r="Q57" s="19" t="s">
        <v>509</v>
      </c>
      <c r="R57" s="19" t="s">
        <v>39</v>
      </c>
      <c r="S57" s="19" t="s">
        <v>510</v>
      </c>
    </row>
    <row r="58" spans="1:19" ht="32" outlineLevel="2" x14ac:dyDescent="0.2">
      <c r="A58" s="27" t="s">
        <v>328</v>
      </c>
      <c r="B58" s="19" t="s">
        <v>307</v>
      </c>
      <c r="C58" s="19" t="s">
        <v>460</v>
      </c>
      <c r="D58" s="19" t="s">
        <v>32</v>
      </c>
      <c r="E58" s="19" t="s">
        <v>425</v>
      </c>
      <c r="F58" s="19" t="s">
        <v>612</v>
      </c>
      <c r="G58" s="19" t="s">
        <v>621</v>
      </c>
      <c r="H58" s="31">
        <v>30</v>
      </c>
      <c r="I58" s="32">
        <f>H58/11</f>
        <v>2.7272727272727271</v>
      </c>
      <c r="J58" s="19" t="s">
        <v>34</v>
      </c>
      <c r="K58" s="20" t="s">
        <v>35</v>
      </c>
      <c r="L58" s="19" t="s">
        <v>35</v>
      </c>
      <c r="M58" s="19" t="s">
        <v>35</v>
      </c>
      <c r="N58" s="19" t="s">
        <v>460</v>
      </c>
      <c r="O58" s="19" t="s">
        <v>461</v>
      </c>
      <c r="P58" s="19" t="s">
        <v>37</v>
      </c>
      <c r="Q58" s="19" t="s">
        <v>38</v>
      </c>
      <c r="R58" s="19" t="s">
        <v>39</v>
      </c>
      <c r="S58" s="19" t="s">
        <v>485</v>
      </c>
    </row>
    <row r="59" spans="1:19" ht="32" outlineLevel="2" x14ac:dyDescent="0.2">
      <c r="A59" s="28" t="s">
        <v>262</v>
      </c>
      <c r="B59" s="21" t="s">
        <v>243</v>
      </c>
      <c r="C59" s="21" t="s">
        <v>460</v>
      </c>
      <c r="D59" s="21" t="s">
        <v>32</v>
      </c>
      <c r="E59" s="21" t="s">
        <v>425</v>
      </c>
      <c r="F59" s="21" t="s">
        <v>612</v>
      </c>
      <c r="G59" s="21" t="s">
        <v>621</v>
      </c>
      <c r="H59" s="32">
        <v>30</v>
      </c>
      <c r="I59" s="32">
        <f>H59/11</f>
        <v>2.7272727272727271</v>
      </c>
      <c r="J59" s="21" t="s">
        <v>34</v>
      </c>
      <c r="K59" s="22" t="s">
        <v>35</v>
      </c>
      <c r="L59" s="21" t="s">
        <v>35</v>
      </c>
      <c r="M59" s="21" t="s">
        <v>35</v>
      </c>
      <c r="N59" s="21" t="s">
        <v>460</v>
      </c>
      <c r="O59" s="21" t="s">
        <v>461</v>
      </c>
      <c r="P59" s="21" t="s">
        <v>37</v>
      </c>
      <c r="Q59" s="21" t="s">
        <v>38</v>
      </c>
      <c r="R59" s="21" t="s">
        <v>39</v>
      </c>
      <c r="S59" s="21" t="s">
        <v>462</v>
      </c>
    </row>
    <row r="60" spans="1:19" ht="16" outlineLevel="1" x14ac:dyDescent="0.2">
      <c r="A60" s="28"/>
      <c r="B60" s="21"/>
      <c r="C60" s="21"/>
      <c r="D60" s="21"/>
      <c r="E60" s="21"/>
      <c r="F60" s="21"/>
      <c r="G60" s="51" t="s">
        <v>657</v>
      </c>
      <c r="H60" s="32">
        <f>SUBTOTAL(9,H57:H59)</f>
        <v>233.07</v>
      </c>
      <c r="I60" s="32"/>
      <c r="J60" s="21"/>
      <c r="K60" s="22"/>
      <c r="L60" s="21"/>
      <c r="M60" s="21"/>
      <c r="N60" s="21"/>
      <c r="O60" s="21"/>
      <c r="P60" s="21"/>
      <c r="Q60" s="21"/>
      <c r="R60" s="21"/>
      <c r="S60" s="21"/>
    </row>
    <row r="61" spans="1:19" ht="32" outlineLevel="2" x14ac:dyDescent="0.2">
      <c r="A61" s="27" t="s">
        <v>307</v>
      </c>
      <c r="B61" s="19" t="s">
        <v>307</v>
      </c>
      <c r="C61" s="19" t="s">
        <v>322</v>
      </c>
      <c r="D61" s="19" t="s">
        <v>47</v>
      </c>
      <c r="E61" s="19" t="s">
        <v>48</v>
      </c>
      <c r="F61" s="19" t="s">
        <v>612</v>
      </c>
      <c r="G61" s="19" t="s">
        <v>644</v>
      </c>
      <c r="H61" s="31">
        <v>1051</v>
      </c>
      <c r="I61" s="32">
        <f>H61/11</f>
        <v>95.545454545454547</v>
      </c>
      <c r="J61" s="19" t="s">
        <v>34</v>
      </c>
      <c r="K61" s="20" t="s">
        <v>35</v>
      </c>
      <c r="L61" s="19" t="s">
        <v>35</v>
      </c>
      <c r="M61" s="19" t="s">
        <v>35</v>
      </c>
      <c r="N61" s="19" t="s">
        <v>322</v>
      </c>
      <c r="O61" s="19" t="s">
        <v>323</v>
      </c>
      <c r="P61" s="19" t="s">
        <v>324</v>
      </c>
      <c r="Q61" s="19" t="s">
        <v>325</v>
      </c>
      <c r="R61" s="19" t="s">
        <v>39</v>
      </c>
      <c r="S61" s="19" t="s">
        <v>326</v>
      </c>
    </row>
    <row r="62" spans="1:19" ht="16" outlineLevel="1" x14ac:dyDescent="0.2">
      <c r="A62" s="27"/>
      <c r="B62" s="19"/>
      <c r="C62" s="19"/>
      <c r="D62" s="19"/>
      <c r="E62" s="19"/>
      <c r="F62" s="19"/>
      <c r="G62" s="50" t="s">
        <v>658</v>
      </c>
      <c r="H62" s="31">
        <f>SUBTOTAL(9,H61:H61)</f>
        <v>1051</v>
      </c>
      <c r="I62" s="32"/>
      <c r="J62" s="19"/>
      <c r="K62" s="20"/>
      <c r="L62" s="19"/>
      <c r="M62" s="19"/>
      <c r="N62" s="19"/>
      <c r="O62" s="19"/>
      <c r="P62" s="19"/>
      <c r="Q62" s="19"/>
      <c r="R62" s="19"/>
      <c r="S62" s="19"/>
    </row>
    <row r="63" spans="1:19" ht="32" outlineLevel="2" x14ac:dyDescent="0.2">
      <c r="A63" s="27" t="s">
        <v>406</v>
      </c>
      <c r="B63" s="19" t="s">
        <v>406</v>
      </c>
      <c r="C63" s="19" t="s">
        <v>409</v>
      </c>
      <c r="D63" s="19" t="s">
        <v>32</v>
      </c>
      <c r="E63" s="19" t="s">
        <v>33</v>
      </c>
      <c r="F63" s="19" t="s">
        <v>612</v>
      </c>
      <c r="G63" s="19" t="s">
        <v>626</v>
      </c>
      <c r="H63" s="31">
        <v>35</v>
      </c>
      <c r="I63" s="32">
        <f>H63/11</f>
        <v>3.1818181818181817</v>
      </c>
      <c r="J63" s="19" t="s">
        <v>34</v>
      </c>
      <c r="K63" s="20" t="s">
        <v>35</v>
      </c>
      <c r="L63" s="19" t="s">
        <v>35</v>
      </c>
      <c r="M63" s="19" t="s">
        <v>35</v>
      </c>
      <c r="N63" s="19" t="s">
        <v>409</v>
      </c>
      <c r="O63" s="19" t="s">
        <v>410</v>
      </c>
      <c r="P63" s="19" t="s">
        <v>411</v>
      </c>
      <c r="Q63" s="19" t="s">
        <v>412</v>
      </c>
      <c r="R63" s="19" t="s">
        <v>39</v>
      </c>
      <c r="S63" s="19" t="s">
        <v>413</v>
      </c>
    </row>
    <row r="64" spans="1:19" ht="32" outlineLevel="2" x14ac:dyDescent="0.2">
      <c r="A64" s="28" t="s">
        <v>399</v>
      </c>
      <c r="B64" s="21" t="s">
        <v>399</v>
      </c>
      <c r="C64" s="21" t="s">
        <v>409</v>
      </c>
      <c r="D64" s="21" t="s">
        <v>32</v>
      </c>
      <c r="E64" s="21" t="s">
        <v>425</v>
      </c>
      <c r="F64" s="21" t="s">
        <v>612</v>
      </c>
      <c r="G64" s="21" t="s">
        <v>626</v>
      </c>
      <c r="H64" s="32">
        <v>44</v>
      </c>
      <c r="I64" s="32">
        <f>H64/11</f>
        <v>4</v>
      </c>
      <c r="J64" s="21" t="s">
        <v>34</v>
      </c>
      <c r="K64" s="22" t="s">
        <v>35</v>
      </c>
      <c r="L64" s="21" t="s">
        <v>35</v>
      </c>
      <c r="M64" s="21" t="s">
        <v>35</v>
      </c>
      <c r="N64" s="21" t="s">
        <v>409</v>
      </c>
      <c r="O64" s="21" t="s">
        <v>410</v>
      </c>
      <c r="P64" s="21" t="s">
        <v>411</v>
      </c>
      <c r="Q64" s="21" t="s">
        <v>412</v>
      </c>
      <c r="R64" s="21" t="s">
        <v>39</v>
      </c>
      <c r="S64" s="21" t="s">
        <v>511</v>
      </c>
    </row>
    <row r="65" spans="1:19" ht="32" outlineLevel="2" x14ac:dyDescent="0.2">
      <c r="A65" s="28" t="s">
        <v>379</v>
      </c>
      <c r="B65" s="21" t="s">
        <v>379</v>
      </c>
      <c r="C65" s="21" t="s">
        <v>380</v>
      </c>
      <c r="D65" s="21" t="s">
        <v>47</v>
      </c>
      <c r="E65" s="21" t="s">
        <v>48</v>
      </c>
      <c r="F65" s="21" t="s">
        <v>612</v>
      </c>
      <c r="G65" s="21" t="s">
        <v>626</v>
      </c>
      <c r="H65" s="32">
        <v>64.989999999999995</v>
      </c>
      <c r="I65" s="32">
        <f>H65/11</f>
        <v>5.9081818181818173</v>
      </c>
      <c r="J65" s="21" t="s">
        <v>34</v>
      </c>
      <c r="K65" s="22" t="s">
        <v>35</v>
      </c>
      <c r="L65" s="21" t="s">
        <v>35</v>
      </c>
      <c r="M65" s="21" t="s">
        <v>35</v>
      </c>
      <c r="N65" s="21" t="s">
        <v>380</v>
      </c>
      <c r="O65" s="21" t="s">
        <v>381</v>
      </c>
      <c r="P65" s="21" t="s">
        <v>292</v>
      </c>
      <c r="Q65" s="21" t="s">
        <v>293</v>
      </c>
      <c r="R65" s="21" t="s">
        <v>39</v>
      </c>
      <c r="S65" s="21" t="s">
        <v>382</v>
      </c>
    </row>
    <row r="66" spans="1:19" ht="32" outlineLevel="2" x14ac:dyDescent="0.2">
      <c r="A66" s="27" t="s">
        <v>361</v>
      </c>
      <c r="B66" s="19" t="s">
        <v>348</v>
      </c>
      <c r="C66" s="19" t="s">
        <v>31</v>
      </c>
      <c r="D66" s="19" t="s">
        <v>32</v>
      </c>
      <c r="E66" s="19" t="s">
        <v>33</v>
      </c>
      <c r="F66" s="19" t="s">
        <v>612</v>
      </c>
      <c r="G66" s="19" t="s">
        <v>626</v>
      </c>
      <c r="H66" s="31">
        <v>19.989999999999998</v>
      </c>
      <c r="I66" s="32">
        <f>H66/11</f>
        <v>1.8172727272727272</v>
      </c>
      <c r="J66" s="19" t="s">
        <v>34</v>
      </c>
      <c r="K66" s="20" t="s">
        <v>35</v>
      </c>
      <c r="L66" s="19" t="s">
        <v>35</v>
      </c>
      <c r="M66" s="19" t="s">
        <v>35</v>
      </c>
      <c r="N66" s="19" t="s">
        <v>31</v>
      </c>
      <c r="O66" s="19" t="s">
        <v>36</v>
      </c>
      <c r="P66" s="19" t="s">
        <v>37</v>
      </c>
      <c r="Q66" s="19" t="s">
        <v>38</v>
      </c>
      <c r="R66" s="19" t="s">
        <v>39</v>
      </c>
      <c r="S66" s="19" t="s">
        <v>362</v>
      </c>
    </row>
    <row r="67" spans="1:19" ht="32" outlineLevel="2" x14ac:dyDescent="0.2">
      <c r="A67" s="27" t="s">
        <v>348</v>
      </c>
      <c r="B67" s="19" t="s">
        <v>341</v>
      </c>
      <c r="C67" s="19" t="s">
        <v>353</v>
      </c>
      <c r="D67" s="19" t="s">
        <v>47</v>
      </c>
      <c r="E67" s="19" t="s">
        <v>48</v>
      </c>
      <c r="F67" s="19" t="s">
        <v>615</v>
      </c>
      <c r="G67" s="19" t="s">
        <v>626</v>
      </c>
      <c r="H67" s="31">
        <v>179.85</v>
      </c>
      <c r="I67" s="31"/>
      <c r="J67" s="19" t="s">
        <v>354</v>
      </c>
      <c r="K67" s="20">
        <v>5.24</v>
      </c>
      <c r="L67" s="19" t="s">
        <v>35</v>
      </c>
      <c r="M67" s="19" t="s">
        <v>35</v>
      </c>
      <c r="N67" s="19" t="s">
        <v>353</v>
      </c>
      <c r="O67" s="19" t="s">
        <v>355</v>
      </c>
      <c r="P67" s="19" t="s">
        <v>109</v>
      </c>
      <c r="Q67" s="19" t="s">
        <v>356</v>
      </c>
      <c r="R67" s="19" t="s">
        <v>85</v>
      </c>
      <c r="S67" s="19" t="s">
        <v>357</v>
      </c>
    </row>
    <row r="68" spans="1:19" ht="48" outlineLevel="2" x14ac:dyDescent="0.2">
      <c r="A68" s="27" t="s">
        <v>276</v>
      </c>
      <c r="B68" s="19" t="s">
        <v>262</v>
      </c>
      <c r="C68" s="19" t="s">
        <v>279</v>
      </c>
      <c r="D68" s="19" t="s">
        <v>47</v>
      </c>
      <c r="E68" s="19" t="s">
        <v>48</v>
      </c>
      <c r="F68" s="19" t="s">
        <v>615</v>
      </c>
      <c r="G68" s="19" t="s">
        <v>626</v>
      </c>
      <c r="H68" s="31">
        <v>50</v>
      </c>
      <c r="I68" s="31"/>
      <c r="J68" s="19" t="s">
        <v>34</v>
      </c>
      <c r="K68" s="20" t="s">
        <v>35</v>
      </c>
      <c r="L68" s="19" t="s">
        <v>35</v>
      </c>
      <c r="M68" s="19" t="s">
        <v>280</v>
      </c>
      <c r="N68" s="19" t="s">
        <v>279</v>
      </c>
      <c r="O68" s="19" t="s">
        <v>142</v>
      </c>
      <c r="P68" s="19" t="s">
        <v>281</v>
      </c>
      <c r="Q68" s="19" t="s">
        <v>282</v>
      </c>
      <c r="R68" s="19" t="s">
        <v>145</v>
      </c>
      <c r="S68" s="19" t="s">
        <v>283</v>
      </c>
    </row>
    <row r="69" spans="1:19" ht="32" outlineLevel="2" x14ac:dyDescent="0.2">
      <c r="A69" s="27" t="s">
        <v>158</v>
      </c>
      <c r="B69" s="19" t="s">
        <v>158</v>
      </c>
      <c r="C69" s="19" t="s">
        <v>430</v>
      </c>
      <c r="D69" s="19" t="s">
        <v>32</v>
      </c>
      <c r="E69" s="19" t="s">
        <v>425</v>
      </c>
      <c r="F69" s="19" t="s">
        <v>612</v>
      </c>
      <c r="G69" s="19" t="s">
        <v>626</v>
      </c>
      <c r="H69" s="31">
        <v>26.95</v>
      </c>
      <c r="I69" s="32">
        <f>H69/11</f>
        <v>2.4499999999999997</v>
      </c>
      <c r="J69" s="19" t="s">
        <v>34</v>
      </c>
      <c r="K69" s="20" t="s">
        <v>35</v>
      </c>
      <c r="L69" s="19" t="s">
        <v>35</v>
      </c>
      <c r="M69" s="19" t="s">
        <v>35</v>
      </c>
      <c r="N69" s="19" t="s">
        <v>430</v>
      </c>
      <c r="O69" s="19" t="s">
        <v>431</v>
      </c>
      <c r="P69" s="19" t="s">
        <v>432</v>
      </c>
      <c r="Q69" s="19" t="s">
        <v>433</v>
      </c>
      <c r="R69" s="19" t="s">
        <v>39</v>
      </c>
      <c r="S69" s="19" t="s">
        <v>434</v>
      </c>
    </row>
    <row r="70" spans="1:19" ht="32" outlineLevel="2" x14ac:dyDescent="0.2">
      <c r="A70" s="28" t="s">
        <v>158</v>
      </c>
      <c r="B70" s="21" t="s">
        <v>124</v>
      </c>
      <c r="C70" s="21" t="s">
        <v>435</v>
      </c>
      <c r="D70" s="21" t="s">
        <v>32</v>
      </c>
      <c r="E70" s="21" t="s">
        <v>425</v>
      </c>
      <c r="F70" s="21" t="s">
        <v>615</v>
      </c>
      <c r="G70" s="21" t="s">
        <v>626</v>
      </c>
      <c r="H70" s="32">
        <v>41.34</v>
      </c>
      <c r="I70" s="32"/>
      <c r="J70" s="21" t="s">
        <v>436</v>
      </c>
      <c r="K70" s="22">
        <v>1.2</v>
      </c>
      <c r="L70" s="21" t="s">
        <v>35</v>
      </c>
      <c r="M70" s="21" t="s">
        <v>35</v>
      </c>
      <c r="N70" s="21" t="s">
        <v>435</v>
      </c>
      <c r="O70" s="21" t="s">
        <v>437</v>
      </c>
      <c r="P70" s="21" t="s">
        <v>438</v>
      </c>
      <c r="Q70" s="21" t="s">
        <v>439</v>
      </c>
      <c r="R70" s="21" t="s">
        <v>85</v>
      </c>
      <c r="S70" s="21" t="s">
        <v>440</v>
      </c>
    </row>
    <row r="71" spans="1:19" ht="16" outlineLevel="1" x14ac:dyDescent="0.2">
      <c r="A71" s="28"/>
      <c r="B71" s="21"/>
      <c r="C71" s="21"/>
      <c r="D71" s="21"/>
      <c r="E71" s="21"/>
      <c r="F71" s="21"/>
      <c r="G71" s="51" t="s">
        <v>659</v>
      </c>
      <c r="H71" s="32">
        <f>SUBTOTAL(9,H63:H70)</f>
        <v>462.12</v>
      </c>
      <c r="I71" s="32"/>
      <c r="J71" s="21"/>
      <c r="K71" s="22"/>
      <c r="L71" s="21"/>
      <c r="M71" s="21"/>
      <c r="N71" s="21"/>
      <c r="O71" s="21"/>
      <c r="P71" s="21"/>
      <c r="Q71" s="21"/>
      <c r="R71" s="21"/>
      <c r="S71" s="21"/>
    </row>
    <row r="72" spans="1:19" ht="80" outlineLevel="2" x14ac:dyDescent="0.2">
      <c r="A72" s="28" t="s">
        <v>417</v>
      </c>
      <c r="B72" s="21" t="s">
        <v>417</v>
      </c>
      <c r="C72" s="21" t="s">
        <v>420</v>
      </c>
      <c r="D72" s="21" t="s">
        <v>47</v>
      </c>
      <c r="E72" s="21" t="s">
        <v>48</v>
      </c>
      <c r="F72" s="21" t="s">
        <v>612</v>
      </c>
      <c r="G72" s="21" t="s">
        <v>647</v>
      </c>
      <c r="H72" s="32">
        <v>123.33</v>
      </c>
      <c r="I72" s="32">
        <f>H72/11</f>
        <v>11.211818181818181</v>
      </c>
      <c r="J72" s="21" t="s">
        <v>34</v>
      </c>
      <c r="K72" s="22" t="s">
        <v>35</v>
      </c>
      <c r="L72" s="21" t="s">
        <v>35</v>
      </c>
      <c r="M72" s="21" t="s">
        <v>421</v>
      </c>
      <c r="N72" s="21" t="s">
        <v>420</v>
      </c>
      <c r="O72" s="21" t="s">
        <v>422</v>
      </c>
      <c r="P72" s="21" t="s">
        <v>37</v>
      </c>
      <c r="Q72" s="21" t="s">
        <v>38</v>
      </c>
      <c r="R72" s="21" t="s">
        <v>39</v>
      </c>
      <c r="S72" s="21" t="s">
        <v>423</v>
      </c>
    </row>
    <row r="73" spans="1:19" ht="16" outlineLevel="1" x14ac:dyDescent="0.2">
      <c r="A73" s="28"/>
      <c r="B73" s="21"/>
      <c r="C73" s="21"/>
      <c r="D73" s="21"/>
      <c r="E73" s="21"/>
      <c r="F73" s="21"/>
      <c r="G73" s="51" t="s">
        <v>660</v>
      </c>
      <c r="H73" s="32">
        <f>SUBTOTAL(9,H72:H72)</f>
        <v>123.33</v>
      </c>
      <c r="I73" s="32"/>
      <c r="J73" s="21"/>
      <c r="K73" s="22"/>
      <c r="L73" s="21"/>
      <c r="M73" s="21"/>
      <c r="N73" s="21"/>
      <c r="O73" s="21"/>
      <c r="P73" s="21"/>
      <c r="Q73" s="21"/>
      <c r="R73" s="21"/>
      <c r="S73" s="21"/>
    </row>
    <row r="74" spans="1:19" outlineLevel="2" x14ac:dyDescent="0.2">
      <c r="A74" s="36">
        <v>45659</v>
      </c>
      <c r="B74" s="10"/>
      <c r="C74" s="7" t="s">
        <v>592</v>
      </c>
      <c r="D74" s="8" t="s">
        <v>571</v>
      </c>
      <c r="E74" s="7" t="s">
        <v>572</v>
      </c>
      <c r="F74" s="7" t="s">
        <v>612</v>
      </c>
      <c r="G74" s="7" t="s">
        <v>639</v>
      </c>
      <c r="H74" s="9">
        <v>2292</v>
      </c>
      <c r="I74" s="32">
        <f>H74/11</f>
        <v>208.36363636363637</v>
      </c>
      <c r="J74" s="7" t="s">
        <v>34</v>
      </c>
      <c r="K74" s="7" t="s">
        <v>573</v>
      </c>
      <c r="L74" s="7"/>
      <c r="M74" s="7">
        <v>-2477</v>
      </c>
      <c r="N74" s="7" t="s">
        <v>593</v>
      </c>
      <c r="O74" s="7" t="s">
        <v>594</v>
      </c>
      <c r="P74" s="7"/>
      <c r="Q74" s="7"/>
      <c r="R74" s="7"/>
      <c r="S74" s="7"/>
    </row>
    <row r="75" spans="1:19" outlineLevel="1" x14ac:dyDescent="0.2">
      <c r="A75" s="36"/>
      <c r="B75" s="10"/>
      <c r="C75" s="7"/>
      <c r="D75" s="8"/>
      <c r="E75" s="7"/>
      <c r="F75" s="7"/>
      <c r="G75" s="49" t="s">
        <v>661</v>
      </c>
      <c r="H75" s="9">
        <f>SUBTOTAL(9,H74:H74)</f>
        <v>2292</v>
      </c>
      <c r="I75" s="32"/>
      <c r="J75" s="7"/>
      <c r="K75" s="7"/>
      <c r="L75" s="7"/>
      <c r="M75" s="7"/>
      <c r="N75" s="7"/>
      <c r="O75" s="7"/>
      <c r="P75" s="7"/>
      <c r="Q75" s="7"/>
      <c r="R75" s="7"/>
      <c r="S75" s="7"/>
    </row>
    <row r="76" spans="1:19" ht="32" outlineLevel="2" x14ac:dyDescent="0.2">
      <c r="A76" s="28" t="s">
        <v>243</v>
      </c>
      <c r="B76" s="21" t="s">
        <v>227</v>
      </c>
      <c r="C76" s="21" t="s">
        <v>251</v>
      </c>
      <c r="D76" s="21" t="s">
        <v>47</v>
      </c>
      <c r="E76" s="21" t="s">
        <v>48</v>
      </c>
      <c r="F76" s="21" t="s">
        <v>612</v>
      </c>
      <c r="G76" s="21" t="s">
        <v>641</v>
      </c>
      <c r="H76" s="32">
        <v>409.79</v>
      </c>
      <c r="I76" s="32">
        <f>H76/11</f>
        <v>37.253636363636367</v>
      </c>
      <c r="J76" s="21" t="s">
        <v>34</v>
      </c>
      <c r="K76" s="22" t="s">
        <v>35</v>
      </c>
      <c r="L76" s="21" t="s">
        <v>35</v>
      </c>
      <c r="M76" s="21" t="s">
        <v>35</v>
      </c>
      <c r="N76" s="21" t="s">
        <v>251</v>
      </c>
      <c r="O76" s="21" t="s">
        <v>252</v>
      </c>
      <c r="P76" s="21" t="s">
        <v>50</v>
      </c>
      <c r="Q76" s="21" t="s">
        <v>51</v>
      </c>
      <c r="R76" s="21" t="s">
        <v>39</v>
      </c>
      <c r="S76" s="21" t="s">
        <v>253</v>
      </c>
    </row>
    <row r="77" spans="1:19" ht="16" outlineLevel="1" x14ac:dyDescent="0.2">
      <c r="A77" s="28"/>
      <c r="B77" s="21"/>
      <c r="C77" s="21"/>
      <c r="D77" s="21"/>
      <c r="E77" s="21"/>
      <c r="F77" s="21"/>
      <c r="G77" s="51" t="s">
        <v>662</v>
      </c>
      <c r="H77" s="32">
        <f>SUBTOTAL(9,H76:H76)</f>
        <v>409.79</v>
      </c>
      <c r="I77" s="32"/>
      <c r="J77" s="21"/>
      <c r="K77" s="22"/>
      <c r="L77" s="21"/>
      <c r="M77" s="21"/>
      <c r="N77" s="21"/>
      <c r="O77" s="21"/>
      <c r="P77" s="21"/>
      <c r="Q77" s="21"/>
      <c r="R77" s="21"/>
      <c r="S77" s="21"/>
    </row>
    <row r="78" spans="1:19" ht="48" outlineLevel="2" x14ac:dyDescent="0.2">
      <c r="A78" s="28" t="s">
        <v>158</v>
      </c>
      <c r="B78" s="21" t="s">
        <v>124</v>
      </c>
      <c r="C78" s="21" t="s">
        <v>159</v>
      </c>
      <c r="D78" s="21" t="s">
        <v>47</v>
      </c>
      <c r="E78" s="21" t="s">
        <v>48</v>
      </c>
      <c r="F78" s="21" t="s">
        <v>612</v>
      </c>
      <c r="G78" s="21" t="s">
        <v>623</v>
      </c>
      <c r="H78" s="32">
        <v>102.3</v>
      </c>
      <c r="I78" s="32">
        <f>H78/11</f>
        <v>9.2999999999999989</v>
      </c>
      <c r="J78" s="21" t="s">
        <v>34</v>
      </c>
      <c r="K78" s="22" t="s">
        <v>35</v>
      </c>
      <c r="L78" s="21" t="s">
        <v>35</v>
      </c>
      <c r="M78" s="21" t="s">
        <v>160</v>
      </c>
      <c r="N78" s="21" t="s">
        <v>159</v>
      </c>
      <c r="O78" s="21" t="s">
        <v>161</v>
      </c>
      <c r="P78" s="21" t="s">
        <v>37</v>
      </c>
      <c r="Q78" s="21" t="s">
        <v>38</v>
      </c>
      <c r="R78" s="21" t="s">
        <v>39</v>
      </c>
      <c r="S78" s="21" t="s">
        <v>162</v>
      </c>
    </row>
    <row r="79" spans="1:19" ht="16" outlineLevel="1" x14ac:dyDescent="0.2">
      <c r="A79" s="28"/>
      <c r="B79" s="21"/>
      <c r="C79" s="21"/>
      <c r="D79" s="21"/>
      <c r="E79" s="21"/>
      <c r="F79" s="21"/>
      <c r="G79" s="51" t="s">
        <v>663</v>
      </c>
      <c r="H79" s="32">
        <f>SUBTOTAL(9,H78:H78)</f>
        <v>102.3</v>
      </c>
      <c r="I79" s="32"/>
      <c r="J79" s="21"/>
      <c r="K79" s="22"/>
      <c r="L79" s="21"/>
      <c r="M79" s="21"/>
      <c r="N79" s="21"/>
      <c r="O79" s="21"/>
      <c r="P79" s="21"/>
      <c r="Q79" s="21"/>
      <c r="R79" s="21"/>
      <c r="S79" s="21"/>
    </row>
    <row r="80" spans="1:19" ht="32" outlineLevel="2" x14ac:dyDescent="0.2">
      <c r="A80" s="28" t="s">
        <v>417</v>
      </c>
      <c r="B80" s="21" t="s">
        <v>414</v>
      </c>
      <c r="C80" s="21" t="s">
        <v>536</v>
      </c>
      <c r="D80" s="21" t="s">
        <v>32</v>
      </c>
      <c r="E80" s="21" t="s">
        <v>425</v>
      </c>
      <c r="F80" s="21" t="s">
        <v>615</v>
      </c>
      <c r="G80" s="21" t="s">
        <v>620</v>
      </c>
      <c r="H80" s="32">
        <v>411.96</v>
      </c>
      <c r="I80" s="32"/>
      <c r="J80" s="21" t="s">
        <v>537</v>
      </c>
      <c r="K80" s="22">
        <v>12</v>
      </c>
      <c r="L80" s="21" t="s">
        <v>35</v>
      </c>
      <c r="M80" s="21" t="s">
        <v>35</v>
      </c>
      <c r="N80" s="21" t="s">
        <v>536</v>
      </c>
      <c r="O80" s="21" t="s">
        <v>538</v>
      </c>
      <c r="P80" s="21" t="s">
        <v>539</v>
      </c>
      <c r="Q80" s="21" t="s">
        <v>540</v>
      </c>
      <c r="R80" s="21" t="s">
        <v>85</v>
      </c>
      <c r="S80" s="21" t="s">
        <v>541</v>
      </c>
    </row>
    <row r="81" spans="1:19" ht="32" outlineLevel="2" x14ac:dyDescent="0.2">
      <c r="A81" s="27" t="s">
        <v>414</v>
      </c>
      <c r="B81" s="19" t="s">
        <v>414</v>
      </c>
      <c r="C81" s="19" t="s">
        <v>531</v>
      </c>
      <c r="D81" s="19" t="s">
        <v>500</v>
      </c>
      <c r="E81" s="19" t="s">
        <v>501</v>
      </c>
      <c r="F81" s="19" t="s">
        <v>612</v>
      </c>
      <c r="G81" s="19" t="s">
        <v>620</v>
      </c>
      <c r="H81" s="31">
        <v>29.5</v>
      </c>
      <c r="I81" s="32">
        <f>H81/11</f>
        <v>2.6818181818181817</v>
      </c>
      <c r="J81" s="19" t="s">
        <v>34</v>
      </c>
      <c r="K81" s="20" t="s">
        <v>35</v>
      </c>
      <c r="L81" s="19" t="s">
        <v>35</v>
      </c>
      <c r="M81" s="19" t="s">
        <v>35</v>
      </c>
      <c r="N81" s="19" t="s">
        <v>531</v>
      </c>
      <c r="O81" s="19" t="s">
        <v>532</v>
      </c>
      <c r="P81" s="19" t="s">
        <v>533</v>
      </c>
      <c r="Q81" s="19" t="s">
        <v>534</v>
      </c>
      <c r="R81" s="19" t="s">
        <v>39</v>
      </c>
      <c r="S81" s="19" t="s">
        <v>535</v>
      </c>
    </row>
    <row r="82" spans="1:19" ht="32" outlineLevel="2" x14ac:dyDescent="0.2">
      <c r="A82" s="27" t="s">
        <v>327</v>
      </c>
      <c r="B82" s="19" t="s">
        <v>328</v>
      </c>
      <c r="C82" s="19" t="s">
        <v>336</v>
      </c>
      <c r="D82" s="19" t="s">
        <v>47</v>
      </c>
      <c r="E82" s="19" t="s">
        <v>48</v>
      </c>
      <c r="F82" s="19" t="s">
        <v>612</v>
      </c>
      <c r="G82" s="19" t="s">
        <v>620</v>
      </c>
      <c r="H82" s="31">
        <v>75</v>
      </c>
      <c r="I82" s="32">
        <f>H82/11</f>
        <v>6.8181818181818183</v>
      </c>
      <c r="J82" s="19" t="s">
        <v>34</v>
      </c>
      <c r="K82" s="20" t="s">
        <v>35</v>
      </c>
      <c r="L82" s="19" t="s">
        <v>35</v>
      </c>
      <c r="M82" s="19" t="s">
        <v>35</v>
      </c>
      <c r="N82" s="19" t="s">
        <v>336</v>
      </c>
      <c r="O82" s="19" t="s">
        <v>337</v>
      </c>
      <c r="P82" s="19" t="s">
        <v>338</v>
      </c>
      <c r="Q82" s="19" t="s">
        <v>339</v>
      </c>
      <c r="R82" s="19" t="s">
        <v>39</v>
      </c>
      <c r="S82" s="19" t="s">
        <v>340</v>
      </c>
    </row>
    <row r="83" spans="1:19" ht="32" outlineLevel="2" x14ac:dyDescent="0.2">
      <c r="A83" s="28" t="s">
        <v>288</v>
      </c>
      <c r="B83" s="21" t="s">
        <v>284</v>
      </c>
      <c r="C83" s="21" t="s">
        <v>304</v>
      </c>
      <c r="D83" s="21" t="s">
        <v>47</v>
      </c>
      <c r="E83" s="21" t="s">
        <v>48</v>
      </c>
      <c r="F83" s="21" t="s">
        <v>612</v>
      </c>
      <c r="G83" s="21" t="s">
        <v>620</v>
      </c>
      <c r="H83" s="32">
        <v>772.5</v>
      </c>
      <c r="I83" s="32">
        <f>H83/11</f>
        <v>70.227272727272734</v>
      </c>
      <c r="J83" s="21" t="s">
        <v>34</v>
      </c>
      <c r="K83" s="22" t="s">
        <v>35</v>
      </c>
      <c r="L83" s="21" t="s">
        <v>35</v>
      </c>
      <c r="M83" s="21" t="s">
        <v>35</v>
      </c>
      <c r="N83" s="21" t="s">
        <v>304</v>
      </c>
      <c r="O83" s="21" t="s">
        <v>305</v>
      </c>
      <c r="P83" s="21" t="s">
        <v>37</v>
      </c>
      <c r="Q83" s="21" t="s">
        <v>38</v>
      </c>
      <c r="R83" s="21" t="s">
        <v>39</v>
      </c>
      <c r="S83" s="21" t="s">
        <v>306</v>
      </c>
    </row>
    <row r="84" spans="1:19" ht="16" outlineLevel="1" x14ac:dyDescent="0.2">
      <c r="A84" s="28"/>
      <c r="B84" s="21"/>
      <c r="C84" s="21"/>
      <c r="D84" s="21"/>
      <c r="E84" s="21"/>
      <c r="F84" s="21"/>
      <c r="G84" s="51" t="s">
        <v>664</v>
      </c>
      <c r="H84" s="32">
        <f>SUBTOTAL(9,H80:H83)</f>
        <v>1288.96</v>
      </c>
      <c r="I84" s="32"/>
      <c r="J84" s="21"/>
      <c r="K84" s="22"/>
      <c r="L84" s="21"/>
      <c r="M84" s="21"/>
      <c r="N84" s="21"/>
      <c r="O84" s="21"/>
      <c r="P84" s="21"/>
      <c r="Q84" s="21"/>
      <c r="R84" s="21"/>
      <c r="S84" s="21"/>
    </row>
    <row r="85" spans="1:19" outlineLevel="2" x14ac:dyDescent="0.2">
      <c r="A85" s="36">
        <v>45679</v>
      </c>
      <c r="B85" s="8"/>
      <c r="C85" s="7" t="s">
        <v>601</v>
      </c>
      <c r="D85" s="8">
        <v>465083897</v>
      </c>
      <c r="E85" s="7" t="s">
        <v>596</v>
      </c>
      <c r="F85" s="7" t="s">
        <v>612</v>
      </c>
      <c r="G85" s="7" t="s">
        <v>636</v>
      </c>
      <c r="H85" s="9">
        <v>1074.1500000000001</v>
      </c>
      <c r="I85" s="32">
        <f>H85/11</f>
        <v>97.65</v>
      </c>
      <c r="J85" s="7" t="s">
        <v>597</v>
      </c>
      <c r="K85" s="7">
        <v>13594.52</v>
      </c>
      <c r="L85" s="7" t="s">
        <v>598</v>
      </c>
      <c r="M85" s="7">
        <v>112879</v>
      </c>
      <c r="N85" s="7">
        <v>946</v>
      </c>
      <c r="O85" s="7"/>
      <c r="P85" s="7"/>
      <c r="Q85" s="7"/>
      <c r="R85" s="7"/>
      <c r="S85" s="7"/>
    </row>
    <row r="86" spans="1:19" outlineLevel="1" x14ac:dyDescent="0.2">
      <c r="A86" s="36"/>
      <c r="B86" s="8"/>
      <c r="C86" s="7"/>
      <c r="D86" s="8"/>
      <c r="E86" s="7"/>
      <c r="F86" s="7"/>
      <c r="G86" s="49" t="s">
        <v>665</v>
      </c>
      <c r="H86" s="9">
        <f>SUBTOTAL(9,H85:H85)</f>
        <v>1074.1500000000001</v>
      </c>
      <c r="I86" s="32"/>
      <c r="J86" s="7"/>
      <c r="K86" s="7"/>
      <c r="L86" s="7"/>
      <c r="M86" s="7"/>
      <c r="N86" s="7"/>
      <c r="O86" s="7"/>
      <c r="P86" s="7"/>
      <c r="Q86" s="7"/>
      <c r="R86" s="7"/>
      <c r="S86" s="7"/>
    </row>
    <row r="87" spans="1:19" outlineLevel="2" x14ac:dyDescent="0.2">
      <c r="A87" s="36">
        <v>45679</v>
      </c>
      <c r="B87" s="8"/>
      <c r="C87" s="7" t="s">
        <v>602</v>
      </c>
      <c r="D87" s="8">
        <v>465083897</v>
      </c>
      <c r="E87" s="7" t="s">
        <v>596</v>
      </c>
      <c r="F87" s="7" t="s">
        <v>612</v>
      </c>
      <c r="G87" s="7" t="s">
        <v>637</v>
      </c>
      <c r="H87" s="9">
        <v>1984.41</v>
      </c>
      <c r="I87" s="32">
        <f>H87/11</f>
        <v>180.4009090909091</v>
      </c>
      <c r="J87" s="7" t="s">
        <v>597</v>
      </c>
      <c r="K87" s="7">
        <v>11610.11</v>
      </c>
      <c r="L87" s="7" t="s">
        <v>598</v>
      </c>
      <c r="M87" s="7">
        <v>112879</v>
      </c>
      <c r="N87" s="7">
        <v>946</v>
      </c>
      <c r="O87" s="7"/>
      <c r="P87" s="7"/>
      <c r="Q87" s="7"/>
      <c r="R87" s="7"/>
      <c r="S87" s="7"/>
    </row>
    <row r="88" spans="1:19" outlineLevel="1" x14ac:dyDescent="0.2">
      <c r="A88" s="36"/>
      <c r="B88" s="8"/>
      <c r="C88" s="7"/>
      <c r="D88" s="8"/>
      <c r="E88" s="7"/>
      <c r="F88" s="7"/>
      <c r="G88" s="49" t="s">
        <v>666</v>
      </c>
      <c r="H88" s="9">
        <f>SUBTOTAL(9,H87:H87)</f>
        <v>1984.41</v>
      </c>
      <c r="I88" s="32"/>
      <c r="J88" s="7"/>
      <c r="K88" s="7"/>
      <c r="L88" s="7"/>
      <c r="M88" s="7"/>
      <c r="N88" s="7"/>
      <c r="O88" s="7"/>
      <c r="P88" s="7"/>
      <c r="Q88" s="7"/>
      <c r="R88" s="7"/>
      <c r="S88" s="7"/>
    </row>
    <row r="89" spans="1:19" outlineLevel="2" x14ac:dyDescent="0.2">
      <c r="A89" s="36">
        <v>45679</v>
      </c>
      <c r="B89" s="8"/>
      <c r="C89" s="7" t="s">
        <v>603</v>
      </c>
      <c r="D89" s="8">
        <v>465083897</v>
      </c>
      <c r="E89" s="7" t="s">
        <v>596</v>
      </c>
      <c r="F89" s="7" t="s">
        <v>612</v>
      </c>
      <c r="G89" s="7" t="s">
        <v>638</v>
      </c>
      <c r="H89" s="9">
        <v>5643</v>
      </c>
      <c r="I89" s="32">
        <f>H89/11</f>
        <v>513</v>
      </c>
      <c r="J89" s="7" t="s">
        <v>597</v>
      </c>
      <c r="K89" s="7">
        <v>5967.11</v>
      </c>
      <c r="L89" s="7" t="s">
        <v>598</v>
      </c>
      <c r="M89" s="7">
        <v>112879</v>
      </c>
      <c r="N89" s="7">
        <v>946</v>
      </c>
      <c r="O89" s="7"/>
      <c r="P89" s="7"/>
      <c r="Q89" s="7"/>
      <c r="R89" s="7"/>
      <c r="S89" s="7"/>
    </row>
    <row r="90" spans="1:19" outlineLevel="1" x14ac:dyDescent="0.2">
      <c r="A90" s="36"/>
      <c r="B90" s="8"/>
      <c r="C90" s="7"/>
      <c r="D90" s="8"/>
      <c r="E90" s="7"/>
      <c r="F90" s="7"/>
      <c r="G90" s="49" t="s">
        <v>667</v>
      </c>
      <c r="H90" s="9">
        <f>SUBTOTAL(9,H89:H89)</f>
        <v>5643</v>
      </c>
      <c r="I90" s="32"/>
      <c r="J90" s="7"/>
      <c r="K90" s="7"/>
      <c r="L90" s="7"/>
      <c r="M90" s="7"/>
      <c r="N90" s="7"/>
      <c r="O90" s="7"/>
      <c r="P90" s="7"/>
      <c r="Q90" s="7"/>
      <c r="R90" s="7"/>
      <c r="S90" s="7"/>
    </row>
    <row r="91" spans="1:19" ht="16" outlineLevel="2" x14ac:dyDescent="0.2">
      <c r="A91" s="36">
        <v>45664</v>
      </c>
      <c r="B91" s="38"/>
      <c r="C91" s="7" t="s">
        <v>565</v>
      </c>
      <c r="D91" s="8" t="s">
        <v>544</v>
      </c>
      <c r="E91" s="7" t="s">
        <v>545</v>
      </c>
      <c r="F91" s="19" t="s">
        <v>612</v>
      </c>
      <c r="G91" s="19" t="s">
        <v>645</v>
      </c>
      <c r="H91" s="9">
        <v>1.1499999999999999</v>
      </c>
      <c r="I91" s="32">
        <f t="shared" ref="I91:I100" si="0">H91/11</f>
        <v>0.10454545454545454</v>
      </c>
      <c r="J91" s="7"/>
      <c r="K91" s="7"/>
      <c r="L91" s="7"/>
      <c r="M91" s="7"/>
      <c r="N91" s="7"/>
      <c r="O91" s="7"/>
      <c r="P91" s="7"/>
      <c r="Q91" s="7"/>
      <c r="R91" s="7"/>
      <c r="S91" s="7"/>
    </row>
    <row r="92" spans="1:19" ht="32" outlineLevel="2" x14ac:dyDescent="0.2">
      <c r="A92" s="27" t="s">
        <v>327</v>
      </c>
      <c r="B92" s="19" t="s">
        <v>328</v>
      </c>
      <c r="C92" s="19" t="s">
        <v>220</v>
      </c>
      <c r="D92" s="19" t="s">
        <v>47</v>
      </c>
      <c r="E92" s="19" t="s">
        <v>48</v>
      </c>
      <c r="F92" s="19" t="s">
        <v>612</v>
      </c>
      <c r="G92" s="19" t="s">
        <v>645</v>
      </c>
      <c r="H92" s="31">
        <v>3</v>
      </c>
      <c r="I92" s="32">
        <f t="shared" si="0"/>
        <v>0.27272727272727271</v>
      </c>
      <c r="J92" s="19" t="s">
        <v>34</v>
      </c>
      <c r="K92" s="20" t="s">
        <v>35</v>
      </c>
      <c r="L92" s="19" t="s">
        <v>35</v>
      </c>
      <c r="M92" s="19" t="s">
        <v>35</v>
      </c>
      <c r="N92" s="19" t="s">
        <v>220</v>
      </c>
      <c r="O92" s="19" t="s">
        <v>221</v>
      </c>
      <c r="P92" s="19" t="s">
        <v>222</v>
      </c>
      <c r="Q92" s="19" t="s">
        <v>223</v>
      </c>
      <c r="R92" s="19" t="s">
        <v>39</v>
      </c>
      <c r="S92" s="19" t="s">
        <v>334</v>
      </c>
    </row>
    <row r="93" spans="1:19" ht="32" outlineLevel="2" x14ac:dyDescent="0.2">
      <c r="A93" s="28" t="s">
        <v>327</v>
      </c>
      <c r="B93" s="21" t="s">
        <v>328</v>
      </c>
      <c r="C93" s="21" t="s">
        <v>220</v>
      </c>
      <c r="D93" s="21" t="s">
        <v>47</v>
      </c>
      <c r="E93" s="21" t="s">
        <v>48</v>
      </c>
      <c r="F93" s="19" t="s">
        <v>612</v>
      </c>
      <c r="G93" s="19" t="s">
        <v>645</v>
      </c>
      <c r="H93" s="32">
        <v>29.49</v>
      </c>
      <c r="I93" s="32">
        <f t="shared" si="0"/>
        <v>2.6809090909090907</v>
      </c>
      <c r="J93" s="21" t="s">
        <v>34</v>
      </c>
      <c r="K93" s="22" t="s">
        <v>35</v>
      </c>
      <c r="L93" s="21" t="s">
        <v>35</v>
      </c>
      <c r="M93" s="21" t="s">
        <v>35</v>
      </c>
      <c r="N93" s="21" t="s">
        <v>220</v>
      </c>
      <c r="O93" s="21" t="s">
        <v>221</v>
      </c>
      <c r="P93" s="21" t="s">
        <v>222</v>
      </c>
      <c r="Q93" s="21" t="s">
        <v>223</v>
      </c>
      <c r="R93" s="21" t="s">
        <v>39</v>
      </c>
      <c r="S93" s="21" t="s">
        <v>335</v>
      </c>
    </row>
    <row r="94" spans="1:19" ht="32" outlineLevel="2" x14ac:dyDescent="0.2">
      <c r="A94" s="28" t="s">
        <v>288</v>
      </c>
      <c r="B94" s="21" t="s">
        <v>284</v>
      </c>
      <c r="C94" s="21" t="s">
        <v>220</v>
      </c>
      <c r="D94" s="21" t="s">
        <v>47</v>
      </c>
      <c r="E94" s="21" t="s">
        <v>48</v>
      </c>
      <c r="F94" s="19" t="s">
        <v>612</v>
      </c>
      <c r="G94" s="19" t="s">
        <v>645</v>
      </c>
      <c r="H94" s="32">
        <v>5</v>
      </c>
      <c r="I94" s="32">
        <f t="shared" si="0"/>
        <v>0.45454545454545453</v>
      </c>
      <c r="J94" s="21" t="s">
        <v>34</v>
      </c>
      <c r="K94" s="22" t="s">
        <v>35</v>
      </c>
      <c r="L94" s="21" t="s">
        <v>35</v>
      </c>
      <c r="M94" s="21" t="s">
        <v>35</v>
      </c>
      <c r="N94" s="21" t="s">
        <v>220</v>
      </c>
      <c r="O94" s="21" t="s">
        <v>221</v>
      </c>
      <c r="P94" s="21" t="s">
        <v>222</v>
      </c>
      <c r="Q94" s="21" t="s">
        <v>223</v>
      </c>
      <c r="R94" s="21" t="s">
        <v>39</v>
      </c>
      <c r="S94" s="21" t="s">
        <v>300</v>
      </c>
    </row>
    <row r="95" spans="1:19" ht="32" outlineLevel="2" x14ac:dyDescent="0.2">
      <c r="A95" s="27" t="s">
        <v>288</v>
      </c>
      <c r="B95" s="19" t="s">
        <v>284</v>
      </c>
      <c r="C95" s="19" t="s">
        <v>220</v>
      </c>
      <c r="D95" s="19" t="s">
        <v>47</v>
      </c>
      <c r="E95" s="19" t="s">
        <v>48</v>
      </c>
      <c r="F95" s="19" t="s">
        <v>612</v>
      </c>
      <c r="G95" s="19" t="s">
        <v>645</v>
      </c>
      <c r="H95" s="31">
        <v>5</v>
      </c>
      <c r="I95" s="32">
        <f t="shared" si="0"/>
        <v>0.45454545454545453</v>
      </c>
      <c r="J95" s="19" t="s">
        <v>34</v>
      </c>
      <c r="K95" s="20" t="s">
        <v>35</v>
      </c>
      <c r="L95" s="19" t="s">
        <v>35</v>
      </c>
      <c r="M95" s="19" t="s">
        <v>35</v>
      </c>
      <c r="N95" s="19" t="s">
        <v>220</v>
      </c>
      <c r="O95" s="19" t="s">
        <v>221</v>
      </c>
      <c r="P95" s="19" t="s">
        <v>222</v>
      </c>
      <c r="Q95" s="19" t="s">
        <v>223</v>
      </c>
      <c r="R95" s="19" t="s">
        <v>39</v>
      </c>
      <c r="S95" s="19" t="s">
        <v>301</v>
      </c>
    </row>
    <row r="96" spans="1:19" ht="32" outlineLevel="2" x14ac:dyDescent="0.2">
      <c r="A96" s="28" t="s">
        <v>288</v>
      </c>
      <c r="B96" s="21" t="s">
        <v>284</v>
      </c>
      <c r="C96" s="21" t="s">
        <v>220</v>
      </c>
      <c r="D96" s="21" t="s">
        <v>47</v>
      </c>
      <c r="E96" s="21" t="s">
        <v>48</v>
      </c>
      <c r="F96" s="19" t="s">
        <v>612</v>
      </c>
      <c r="G96" s="19" t="s">
        <v>645</v>
      </c>
      <c r="H96" s="32">
        <v>80.790000000000006</v>
      </c>
      <c r="I96" s="32">
        <f t="shared" si="0"/>
        <v>7.3445454545454547</v>
      </c>
      <c r="J96" s="21" t="s">
        <v>34</v>
      </c>
      <c r="K96" s="22" t="s">
        <v>35</v>
      </c>
      <c r="L96" s="21" t="s">
        <v>35</v>
      </c>
      <c r="M96" s="21" t="s">
        <v>35</v>
      </c>
      <c r="N96" s="21" t="s">
        <v>220</v>
      </c>
      <c r="O96" s="21" t="s">
        <v>221</v>
      </c>
      <c r="P96" s="21" t="s">
        <v>222</v>
      </c>
      <c r="Q96" s="21" t="s">
        <v>223</v>
      </c>
      <c r="R96" s="21" t="s">
        <v>39</v>
      </c>
      <c r="S96" s="21" t="s">
        <v>302</v>
      </c>
    </row>
    <row r="97" spans="1:19" ht="32" outlineLevel="2" x14ac:dyDescent="0.2">
      <c r="A97" s="27" t="s">
        <v>288</v>
      </c>
      <c r="B97" s="19" t="s">
        <v>284</v>
      </c>
      <c r="C97" s="19" t="s">
        <v>220</v>
      </c>
      <c r="D97" s="19" t="s">
        <v>47</v>
      </c>
      <c r="E97" s="19" t="s">
        <v>48</v>
      </c>
      <c r="F97" s="19" t="s">
        <v>612</v>
      </c>
      <c r="G97" s="19" t="s">
        <v>645</v>
      </c>
      <c r="H97" s="31">
        <v>92.29</v>
      </c>
      <c r="I97" s="32">
        <f t="shared" si="0"/>
        <v>8.39</v>
      </c>
      <c r="J97" s="19" t="s">
        <v>34</v>
      </c>
      <c r="K97" s="20" t="s">
        <v>35</v>
      </c>
      <c r="L97" s="19" t="s">
        <v>35</v>
      </c>
      <c r="M97" s="19" t="s">
        <v>35</v>
      </c>
      <c r="N97" s="19" t="s">
        <v>220</v>
      </c>
      <c r="O97" s="19" t="s">
        <v>221</v>
      </c>
      <c r="P97" s="19" t="s">
        <v>222</v>
      </c>
      <c r="Q97" s="19" t="s">
        <v>223</v>
      </c>
      <c r="R97" s="19" t="s">
        <v>39</v>
      </c>
      <c r="S97" s="19" t="s">
        <v>303</v>
      </c>
    </row>
    <row r="98" spans="1:19" ht="32" outlineLevel="2" x14ac:dyDescent="0.2">
      <c r="A98" s="27" t="s">
        <v>204</v>
      </c>
      <c r="B98" s="19" t="s">
        <v>188</v>
      </c>
      <c r="C98" s="19" t="s">
        <v>220</v>
      </c>
      <c r="D98" s="19" t="s">
        <v>47</v>
      </c>
      <c r="E98" s="19" t="s">
        <v>48</v>
      </c>
      <c r="F98" s="19" t="s">
        <v>612</v>
      </c>
      <c r="G98" s="19" t="s">
        <v>645</v>
      </c>
      <c r="H98" s="31">
        <v>3</v>
      </c>
      <c r="I98" s="32">
        <f t="shared" si="0"/>
        <v>0.27272727272727271</v>
      </c>
      <c r="J98" s="19" t="s">
        <v>34</v>
      </c>
      <c r="K98" s="20" t="s">
        <v>35</v>
      </c>
      <c r="L98" s="19" t="s">
        <v>35</v>
      </c>
      <c r="M98" s="19" t="s">
        <v>35</v>
      </c>
      <c r="N98" s="19" t="s">
        <v>220</v>
      </c>
      <c r="O98" s="19" t="s">
        <v>221</v>
      </c>
      <c r="P98" s="19" t="s">
        <v>222</v>
      </c>
      <c r="Q98" s="19" t="s">
        <v>223</v>
      </c>
      <c r="R98" s="19" t="s">
        <v>39</v>
      </c>
      <c r="S98" s="19" t="s">
        <v>224</v>
      </c>
    </row>
    <row r="99" spans="1:19" ht="32" outlineLevel="2" x14ac:dyDescent="0.2">
      <c r="A99" s="28" t="s">
        <v>204</v>
      </c>
      <c r="B99" s="21" t="s">
        <v>188</v>
      </c>
      <c r="C99" s="21" t="s">
        <v>220</v>
      </c>
      <c r="D99" s="21" t="s">
        <v>47</v>
      </c>
      <c r="E99" s="21" t="s">
        <v>48</v>
      </c>
      <c r="F99" s="19" t="s">
        <v>612</v>
      </c>
      <c r="G99" s="19" t="s">
        <v>645</v>
      </c>
      <c r="H99" s="32">
        <v>3</v>
      </c>
      <c r="I99" s="32">
        <f t="shared" si="0"/>
        <v>0.27272727272727271</v>
      </c>
      <c r="J99" s="21" t="s">
        <v>34</v>
      </c>
      <c r="K99" s="22" t="s">
        <v>35</v>
      </c>
      <c r="L99" s="21" t="s">
        <v>35</v>
      </c>
      <c r="M99" s="21" t="s">
        <v>35</v>
      </c>
      <c r="N99" s="21" t="s">
        <v>220</v>
      </c>
      <c r="O99" s="21" t="s">
        <v>221</v>
      </c>
      <c r="P99" s="21" t="s">
        <v>222</v>
      </c>
      <c r="Q99" s="21" t="s">
        <v>223</v>
      </c>
      <c r="R99" s="21" t="s">
        <v>39</v>
      </c>
      <c r="S99" s="21" t="s">
        <v>225</v>
      </c>
    </row>
    <row r="100" spans="1:19" ht="32" outlineLevel="2" x14ac:dyDescent="0.2">
      <c r="A100" s="27" t="s">
        <v>204</v>
      </c>
      <c r="B100" s="19" t="s">
        <v>188</v>
      </c>
      <c r="C100" s="19" t="s">
        <v>220</v>
      </c>
      <c r="D100" s="19" t="s">
        <v>47</v>
      </c>
      <c r="E100" s="19" t="s">
        <v>48</v>
      </c>
      <c r="F100" s="19" t="s">
        <v>612</v>
      </c>
      <c r="G100" s="19" t="s">
        <v>645</v>
      </c>
      <c r="H100" s="31">
        <v>44.97</v>
      </c>
      <c r="I100" s="32">
        <f t="shared" si="0"/>
        <v>4.0881818181818179</v>
      </c>
      <c r="J100" s="19" t="s">
        <v>34</v>
      </c>
      <c r="K100" s="20" t="s">
        <v>35</v>
      </c>
      <c r="L100" s="19" t="s">
        <v>35</v>
      </c>
      <c r="M100" s="19" t="s">
        <v>35</v>
      </c>
      <c r="N100" s="19" t="s">
        <v>220</v>
      </c>
      <c r="O100" s="19" t="s">
        <v>221</v>
      </c>
      <c r="P100" s="19" t="s">
        <v>222</v>
      </c>
      <c r="Q100" s="19" t="s">
        <v>223</v>
      </c>
      <c r="R100" s="19" t="s">
        <v>39</v>
      </c>
      <c r="S100" s="19" t="s">
        <v>226</v>
      </c>
    </row>
    <row r="101" spans="1:19" ht="16" outlineLevel="1" x14ac:dyDescent="0.2">
      <c r="A101" s="27"/>
      <c r="B101" s="19"/>
      <c r="C101" s="19"/>
      <c r="D101" s="19"/>
      <c r="E101" s="19"/>
      <c r="F101" s="19"/>
      <c r="G101" s="50" t="s">
        <v>668</v>
      </c>
      <c r="H101" s="31">
        <f>SUBTOTAL(9,H91:H100)</f>
        <v>267.69000000000005</v>
      </c>
      <c r="I101" s="32"/>
      <c r="J101" s="19"/>
      <c r="K101" s="20"/>
      <c r="L101" s="19"/>
      <c r="M101" s="19"/>
      <c r="N101" s="19"/>
      <c r="O101" s="19"/>
      <c r="P101" s="19"/>
      <c r="Q101" s="19"/>
      <c r="R101" s="19"/>
      <c r="S101" s="19"/>
    </row>
    <row r="102" spans="1:19" ht="32" outlineLevel="2" x14ac:dyDescent="0.2">
      <c r="A102" s="28" t="s">
        <v>284</v>
      </c>
      <c r="B102" s="21" t="s">
        <v>284</v>
      </c>
      <c r="C102" s="21" t="s">
        <v>285</v>
      </c>
      <c r="D102" s="21" t="s">
        <v>73</v>
      </c>
      <c r="E102" s="21" t="s">
        <v>74</v>
      </c>
      <c r="F102" s="21" t="s">
        <v>612</v>
      </c>
      <c r="G102" s="21" t="s">
        <v>630</v>
      </c>
      <c r="H102" s="32">
        <v>33.369999999999997</v>
      </c>
      <c r="I102" s="32">
        <f>H102/11</f>
        <v>3.0336363636363632</v>
      </c>
      <c r="J102" s="21" t="s">
        <v>34</v>
      </c>
      <c r="K102" s="22" t="s">
        <v>35</v>
      </c>
      <c r="L102" s="21" t="s">
        <v>35</v>
      </c>
      <c r="M102" s="21" t="s">
        <v>35</v>
      </c>
      <c r="N102" s="21" t="s">
        <v>285</v>
      </c>
      <c r="O102" s="21" t="s">
        <v>286</v>
      </c>
      <c r="P102" s="21" t="s">
        <v>37</v>
      </c>
      <c r="Q102" s="21" t="s">
        <v>38</v>
      </c>
      <c r="R102" s="21" t="s">
        <v>39</v>
      </c>
      <c r="S102" s="21" t="s">
        <v>287</v>
      </c>
    </row>
    <row r="103" spans="1:19" ht="16" outlineLevel="1" x14ac:dyDescent="0.2">
      <c r="A103" s="28"/>
      <c r="B103" s="21"/>
      <c r="C103" s="21"/>
      <c r="D103" s="21"/>
      <c r="E103" s="21"/>
      <c r="F103" s="21"/>
      <c r="G103" s="51" t="s">
        <v>669</v>
      </c>
      <c r="H103" s="32">
        <f>SUBTOTAL(9,H102:H102)</f>
        <v>33.369999999999997</v>
      </c>
      <c r="I103" s="32"/>
      <c r="J103" s="21"/>
      <c r="K103" s="22"/>
      <c r="L103" s="21"/>
      <c r="M103" s="21"/>
      <c r="N103" s="21"/>
      <c r="O103" s="21"/>
      <c r="P103" s="21"/>
      <c r="Q103" s="21"/>
      <c r="R103" s="21"/>
      <c r="S103" s="21"/>
    </row>
    <row r="104" spans="1:19" ht="32" outlineLevel="2" x14ac:dyDescent="0.2">
      <c r="A104" s="27" t="s">
        <v>361</v>
      </c>
      <c r="B104" s="19" t="s">
        <v>361</v>
      </c>
      <c r="C104" s="19" t="s">
        <v>112</v>
      </c>
      <c r="D104" s="19" t="s">
        <v>47</v>
      </c>
      <c r="E104" s="19" t="s">
        <v>48</v>
      </c>
      <c r="F104" s="19" t="s">
        <v>612</v>
      </c>
      <c r="G104" s="19" t="s">
        <v>629</v>
      </c>
      <c r="H104" s="31">
        <v>15.33</v>
      </c>
      <c r="I104" s="32">
        <f t="shared" ref="I104:I109" si="1">H104/11</f>
        <v>1.3936363636363636</v>
      </c>
      <c r="J104" s="19" t="s">
        <v>34</v>
      </c>
      <c r="K104" s="20" t="s">
        <v>35</v>
      </c>
      <c r="L104" s="19" t="s">
        <v>35</v>
      </c>
      <c r="M104" s="19" t="s">
        <v>35</v>
      </c>
      <c r="N104" s="19" t="s">
        <v>112</v>
      </c>
      <c r="O104" s="19" t="s">
        <v>113</v>
      </c>
      <c r="P104" s="19" t="s">
        <v>114</v>
      </c>
      <c r="Q104" s="19" t="s">
        <v>115</v>
      </c>
      <c r="R104" s="19" t="s">
        <v>39</v>
      </c>
      <c r="S104" s="19" t="s">
        <v>374</v>
      </c>
    </row>
    <row r="105" spans="1:19" ht="32" outlineLevel="2" x14ac:dyDescent="0.2">
      <c r="A105" s="27" t="s">
        <v>307</v>
      </c>
      <c r="B105" s="19" t="s">
        <v>307</v>
      </c>
      <c r="C105" s="19" t="s">
        <v>308</v>
      </c>
      <c r="D105" s="19" t="s">
        <v>47</v>
      </c>
      <c r="E105" s="19" t="s">
        <v>48</v>
      </c>
      <c r="F105" s="19" t="s">
        <v>612</v>
      </c>
      <c r="G105" s="19" t="s">
        <v>629</v>
      </c>
      <c r="H105" s="31">
        <v>25.39</v>
      </c>
      <c r="I105" s="32">
        <f t="shared" si="1"/>
        <v>2.3081818181818181</v>
      </c>
      <c r="J105" s="19" t="s">
        <v>34</v>
      </c>
      <c r="K105" s="20" t="s">
        <v>35</v>
      </c>
      <c r="L105" s="19" t="s">
        <v>35</v>
      </c>
      <c r="M105" s="19" t="s">
        <v>35</v>
      </c>
      <c r="N105" s="19" t="s">
        <v>308</v>
      </c>
      <c r="O105" s="19" t="s">
        <v>309</v>
      </c>
      <c r="P105" s="19" t="s">
        <v>310</v>
      </c>
      <c r="Q105" s="19" t="s">
        <v>311</v>
      </c>
      <c r="R105" s="19" t="s">
        <v>39</v>
      </c>
      <c r="S105" s="19" t="s">
        <v>312</v>
      </c>
    </row>
    <row r="106" spans="1:19" ht="32" outlineLevel="2" x14ac:dyDescent="0.2">
      <c r="A106" s="28" t="s">
        <v>262</v>
      </c>
      <c r="B106" s="21" t="s">
        <v>243</v>
      </c>
      <c r="C106" s="21" t="s">
        <v>264</v>
      </c>
      <c r="D106" s="21" t="s">
        <v>47</v>
      </c>
      <c r="E106" s="21" t="s">
        <v>48</v>
      </c>
      <c r="F106" s="21" t="s">
        <v>612</v>
      </c>
      <c r="G106" s="21" t="s">
        <v>629</v>
      </c>
      <c r="H106" s="32">
        <v>324.10000000000002</v>
      </c>
      <c r="I106" s="32">
        <f t="shared" si="1"/>
        <v>29.463636363636365</v>
      </c>
      <c r="J106" s="21" t="s">
        <v>34</v>
      </c>
      <c r="K106" s="22" t="s">
        <v>35</v>
      </c>
      <c r="L106" s="21" t="s">
        <v>35</v>
      </c>
      <c r="M106" s="21" t="s">
        <v>35</v>
      </c>
      <c r="N106" s="21" t="s">
        <v>264</v>
      </c>
      <c r="O106" s="21" t="s">
        <v>265</v>
      </c>
      <c r="P106" s="21" t="s">
        <v>181</v>
      </c>
      <c r="Q106" s="21" t="s">
        <v>182</v>
      </c>
      <c r="R106" s="21" t="s">
        <v>39</v>
      </c>
      <c r="S106" s="21" t="s">
        <v>266</v>
      </c>
    </row>
    <row r="107" spans="1:19" ht="32" outlineLevel="2" x14ac:dyDescent="0.2">
      <c r="A107" s="27" t="s">
        <v>176</v>
      </c>
      <c r="B107" s="19" t="s">
        <v>176</v>
      </c>
      <c r="C107" s="19" t="s">
        <v>112</v>
      </c>
      <c r="D107" s="19" t="s">
        <v>47</v>
      </c>
      <c r="E107" s="19" t="s">
        <v>48</v>
      </c>
      <c r="F107" s="19" t="s">
        <v>612</v>
      </c>
      <c r="G107" s="19" t="s">
        <v>629</v>
      </c>
      <c r="H107" s="31">
        <v>3.83</v>
      </c>
      <c r="I107" s="32">
        <f t="shared" si="1"/>
        <v>0.3481818181818182</v>
      </c>
      <c r="J107" s="19" t="s">
        <v>34</v>
      </c>
      <c r="K107" s="20" t="s">
        <v>35</v>
      </c>
      <c r="L107" s="19" t="s">
        <v>35</v>
      </c>
      <c r="M107" s="19" t="s">
        <v>35</v>
      </c>
      <c r="N107" s="19" t="s">
        <v>112</v>
      </c>
      <c r="O107" s="19" t="s">
        <v>113</v>
      </c>
      <c r="P107" s="19" t="s">
        <v>114</v>
      </c>
      <c r="Q107" s="19" t="s">
        <v>115</v>
      </c>
      <c r="R107" s="19" t="s">
        <v>39</v>
      </c>
      <c r="S107" s="19" t="s">
        <v>184</v>
      </c>
    </row>
    <row r="108" spans="1:19" ht="32" outlineLevel="2" x14ac:dyDescent="0.2">
      <c r="A108" s="27" t="s">
        <v>158</v>
      </c>
      <c r="B108" s="19" t="s">
        <v>158</v>
      </c>
      <c r="C108" s="19" t="s">
        <v>112</v>
      </c>
      <c r="D108" s="19" t="s">
        <v>47</v>
      </c>
      <c r="E108" s="19" t="s">
        <v>48</v>
      </c>
      <c r="F108" s="19" t="s">
        <v>612</v>
      </c>
      <c r="G108" s="19" t="s">
        <v>629</v>
      </c>
      <c r="H108" s="31">
        <v>4.74</v>
      </c>
      <c r="I108" s="32">
        <f t="shared" si="1"/>
        <v>0.43090909090909091</v>
      </c>
      <c r="J108" s="19" t="s">
        <v>34</v>
      </c>
      <c r="K108" s="20" t="s">
        <v>35</v>
      </c>
      <c r="L108" s="19" t="s">
        <v>35</v>
      </c>
      <c r="M108" s="19" t="s">
        <v>35</v>
      </c>
      <c r="N108" s="19" t="s">
        <v>112</v>
      </c>
      <c r="O108" s="19" t="s">
        <v>113</v>
      </c>
      <c r="P108" s="19" t="s">
        <v>114</v>
      </c>
      <c r="Q108" s="19" t="s">
        <v>115</v>
      </c>
      <c r="R108" s="19" t="s">
        <v>39</v>
      </c>
      <c r="S108" s="19" t="s">
        <v>166</v>
      </c>
    </row>
    <row r="109" spans="1:19" ht="32" outlineLevel="2" x14ac:dyDescent="0.2">
      <c r="A109" s="28" t="s">
        <v>95</v>
      </c>
      <c r="B109" s="21" t="s">
        <v>95</v>
      </c>
      <c r="C109" s="21" t="s">
        <v>112</v>
      </c>
      <c r="D109" s="21" t="s">
        <v>47</v>
      </c>
      <c r="E109" s="21" t="s">
        <v>48</v>
      </c>
      <c r="F109" s="19" t="s">
        <v>612</v>
      </c>
      <c r="G109" s="19" t="s">
        <v>629</v>
      </c>
      <c r="H109" s="32">
        <v>15.33</v>
      </c>
      <c r="I109" s="32">
        <f t="shared" si="1"/>
        <v>1.3936363636363636</v>
      </c>
      <c r="J109" s="21" t="s">
        <v>34</v>
      </c>
      <c r="K109" s="22" t="s">
        <v>35</v>
      </c>
      <c r="L109" s="21" t="s">
        <v>35</v>
      </c>
      <c r="M109" s="21" t="s">
        <v>35</v>
      </c>
      <c r="N109" s="21" t="s">
        <v>112</v>
      </c>
      <c r="O109" s="21" t="s">
        <v>113</v>
      </c>
      <c r="P109" s="21" t="s">
        <v>114</v>
      </c>
      <c r="Q109" s="21" t="s">
        <v>115</v>
      </c>
      <c r="R109" s="21" t="s">
        <v>39</v>
      </c>
      <c r="S109" s="21" t="s">
        <v>116</v>
      </c>
    </row>
    <row r="110" spans="1:19" ht="16" outlineLevel="1" x14ac:dyDescent="0.2">
      <c r="A110" s="28"/>
      <c r="B110" s="21"/>
      <c r="C110" s="21"/>
      <c r="D110" s="21"/>
      <c r="E110" s="21"/>
      <c r="F110" s="19"/>
      <c r="G110" s="50" t="s">
        <v>670</v>
      </c>
      <c r="H110" s="32">
        <f>SUBTOTAL(9,H104:H109)</f>
        <v>388.72</v>
      </c>
      <c r="I110" s="32"/>
      <c r="J110" s="21"/>
      <c r="K110" s="22"/>
      <c r="L110" s="21"/>
      <c r="M110" s="21"/>
      <c r="N110" s="21"/>
      <c r="O110" s="21"/>
      <c r="P110" s="21"/>
      <c r="Q110" s="21"/>
      <c r="R110" s="21"/>
      <c r="S110" s="21"/>
    </row>
    <row r="111" spans="1:19" ht="32" outlineLevel="2" x14ac:dyDescent="0.2">
      <c r="A111" s="28" t="s">
        <v>176</v>
      </c>
      <c r="B111" s="21" t="s">
        <v>158</v>
      </c>
      <c r="C111" s="21" t="s">
        <v>185</v>
      </c>
      <c r="D111" s="21" t="s">
        <v>47</v>
      </c>
      <c r="E111" s="21" t="s">
        <v>48</v>
      </c>
      <c r="F111" s="21" t="s">
        <v>612</v>
      </c>
      <c r="G111" s="21" t="s">
        <v>640</v>
      </c>
      <c r="H111" s="32">
        <v>64.900000000000006</v>
      </c>
      <c r="I111" s="32">
        <f>H111/11</f>
        <v>5.9</v>
      </c>
      <c r="J111" s="21" t="s">
        <v>34</v>
      </c>
      <c r="K111" s="22" t="s">
        <v>35</v>
      </c>
      <c r="L111" s="21" t="s">
        <v>35</v>
      </c>
      <c r="M111" s="21" t="s">
        <v>35</v>
      </c>
      <c r="N111" s="21" t="s">
        <v>185</v>
      </c>
      <c r="O111" s="21" t="s">
        <v>186</v>
      </c>
      <c r="P111" s="21" t="s">
        <v>76</v>
      </c>
      <c r="Q111" s="21" t="s">
        <v>77</v>
      </c>
      <c r="R111" s="21" t="s">
        <v>39</v>
      </c>
      <c r="S111" s="21" t="s">
        <v>187</v>
      </c>
    </row>
    <row r="112" spans="1:19" ht="16" outlineLevel="1" x14ac:dyDescent="0.2">
      <c r="A112" s="28"/>
      <c r="B112" s="21"/>
      <c r="C112" s="21"/>
      <c r="D112" s="21"/>
      <c r="E112" s="21"/>
      <c r="F112" s="21"/>
      <c r="G112" s="51" t="s">
        <v>671</v>
      </c>
      <c r="H112" s="32">
        <f>SUBTOTAL(9,H111:H111)</f>
        <v>64.900000000000006</v>
      </c>
      <c r="I112" s="32"/>
      <c r="J112" s="21"/>
      <c r="K112" s="22"/>
      <c r="L112" s="21"/>
      <c r="M112" s="21"/>
      <c r="N112" s="21"/>
      <c r="O112" s="21"/>
      <c r="P112" s="21"/>
      <c r="Q112" s="21"/>
      <c r="R112" s="21"/>
      <c r="S112" s="21"/>
    </row>
    <row r="113" spans="1:19" ht="32" outlineLevel="2" x14ac:dyDescent="0.2">
      <c r="A113" s="27" t="s">
        <v>204</v>
      </c>
      <c r="B113" s="19" t="s">
        <v>176</v>
      </c>
      <c r="C113" s="19" t="s">
        <v>179</v>
      </c>
      <c r="D113" s="19" t="s">
        <v>47</v>
      </c>
      <c r="E113" s="19" t="s">
        <v>48</v>
      </c>
      <c r="F113" s="19" t="s">
        <v>612</v>
      </c>
      <c r="G113" s="19" t="s">
        <v>631</v>
      </c>
      <c r="H113" s="31">
        <v>5</v>
      </c>
      <c r="I113" s="32">
        <f>H113/11</f>
        <v>0.45454545454545453</v>
      </c>
      <c r="J113" s="19" t="s">
        <v>34</v>
      </c>
      <c r="K113" s="20" t="s">
        <v>35</v>
      </c>
      <c r="L113" s="19" t="s">
        <v>35</v>
      </c>
      <c r="M113" s="19" t="s">
        <v>35</v>
      </c>
      <c r="N113" s="19" t="s">
        <v>179</v>
      </c>
      <c r="O113" s="19" t="s">
        <v>180</v>
      </c>
      <c r="P113" s="19" t="s">
        <v>181</v>
      </c>
      <c r="Q113" s="19" t="s">
        <v>182</v>
      </c>
      <c r="R113" s="19" t="s">
        <v>39</v>
      </c>
      <c r="S113" s="19" t="s">
        <v>218</v>
      </c>
    </row>
    <row r="114" spans="1:19" ht="32" outlineLevel="2" x14ac:dyDescent="0.2">
      <c r="A114" s="28" t="s">
        <v>176</v>
      </c>
      <c r="B114" s="21" t="s">
        <v>158</v>
      </c>
      <c r="C114" s="21" t="s">
        <v>179</v>
      </c>
      <c r="D114" s="21" t="s">
        <v>47</v>
      </c>
      <c r="E114" s="21" t="s">
        <v>48</v>
      </c>
      <c r="F114" s="21" t="s">
        <v>612</v>
      </c>
      <c r="G114" s="21" t="s">
        <v>631</v>
      </c>
      <c r="H114" s="32">
        <v>5</v>
      </c>
      <c r="I114" s="32">
        <f>H114/11</f>
        <v>0.45454545454545453</v>
      </c>
      <c r="J114" s="21" t="s">
        <v>34</v>
      </c>
      <c r="K114" s="22" t="s">
        <v>35</v>
      </c>
      <c r="L114" s="21" t="s">
        <v>35</v>
      </c>
      <c r="M114" s="21" t="s">
        <v>35</v>
      </c>
      <c r="N114" s="21" t="s">
        <v>179</v>
      </c>
      <c r="O114" s="21" t="s">
        <v>180</v>
      </c>
      <c r="P114" s="21" t="s">
        <v>181</v>
      </c>
      <c r="Q114" s="21" t="s">
        <v>182</v>
      </c>
      <c r="R114" s="21" t="s">
        <v>39</v>
      </c>
      <c r="S114" s="21" t="s">
        <v>183</v>
      </c>
    </row>
    <row r="115" spans="1:19" ht="16" outlineLevel="1" x14ac:dyDescent="0.2">
      <c r="A115" s="28"/>
      <c r="B115" s="21"/>
      <c r="C115" s="21"/>
      <c r="D115" s="21"/>
      <c r="E115" s="21"/>
      <c r="F115" s="21"/>
      <c r="G115" s="51" t="s">
        <v>672</v>
      </c>
      <c r="H115" s="32">
        <f>SUBTOTAL(9,H113:H114)</f>
        <v>10</v>
      </c>
      <c r="I115" s="32"/>
      <c r="J115" s="21"/>
      <c r="K115" s="22"/>
      <c r="L115" s="21"/>
      <c r="M115" s="21"/>
      <c r="N115" s="21"/>
      <c r="O115" s="21"/>
      <c r="P115" s="21"/>
      <c r="Q115" s="21"/>
      <c r="R115" s="21"/>
      <c r="S115" s="21"/>
    </row>
    <row r="116" spans="1:19" ht="32" outlineLevel="2" x14ac:dyDescent="0.2">
      <c r="A116" s="27" t="s">
        <v>29</v>
      </c>
      <c r="B116" s="19" t="s">
        <v>55</v>
      </c>
      <c r="C116" s="19" t="s">
        <v>424</v>
      </c>
      <c r="D116" s="19" t="s">
        <v>32</v>
      </c>
      <c r="E116" s="19" t="s">
        <v>425</v>
      </c>
      <c r="F116" s="19" t="s">
        <v>615</v>
      </c>
      <c r="G116" s="19" t="s">
        <v>622</v>
      </c>
      <c r="H116" s="31">
        <v>940.1</v>
      </c>
      <c r="I116" s="31"/>
      <c r="J116" s="19" t="s">
        <v>34</v>
      </c>
      <c r="K116" s="20" t="s">
        <v>35</v>
      </c>
      <c r="L116" s="19" t="s">
        <v>35</v>
      </c>
      <c r="M116" s="19" t="s">
        <v>35</v>
      </c>
      <c r="N116" s="19" t="s">
        <v>424</v>
      </c>
      <c r="O116" s="19" t="s">
        <v>58</v>
      </c>
      <c r="P116" s="19" t="s">
        <v>37</v>
      </c>
      <c r="Q116" s="19" t="s">
        <v>38</v>
      </c>
      <c r="R116" s="19" t="s">
        <v>39</v>
      </c>
      <c r="S116" s="19" t="s">
        <v>426</v>
      </c>
    </row>
    <row r="117" spans="1:19" ht="208" outlineLevel="2" x14ac:dyDescent="0.2">
      <c r="A117" s="28" t="s">
        <v>29</v>
      </c>
      <c r="B117" s="21" t="s">
        <v>55</v>
      </c>
      <c r="C117" s="21" t="s">
        <v>56</v>
      </c>
      <c r="D117" s="21" t="s">
        <v>32</v>
      </c>
      <c r="E117" s="21" t="s">
        <v>33</v>
      </c>
      <c r="F117" s="21" t="s">
        <v>615</v>
      </c>
      <c r="G117" s="21" t="s">
        <v>622</v>
      </c>
      <c r="H117" s="32">
        <v>1286.3499999999999</v>
      </c>
      <c r="I117" s="32"/>
      <c r="J117" s="21" t="s">
        <v>34</v>
      </c>
      <c r="K117" s="22" t="s">
        <v>35</v>
      </c>
      <c r="L117" s="21" t="s">
        <v>35</v>
      </c>
      <c r="M117" s="21" t="s">
        <v>57</v>
      </c>
      <c r="N117" s="21" t="s">
        <v>56</v>
      </c>
      <c r="O117" s="21" t="s">
        <v>58</v>
      </c>
      <c r="P117" s="21" t="s">
        <v>37</v>
      </c>
      <c r="Q117" s="21" t="s">
        <v>38</v>
      </c>
      <c r="R117" s="21" t="s">
        <v>39</v>
      </c>
      <c r="S117" s="21" t="s">
        <v>59</v>
      </c>
    </row>
    <row r="118" spans="1:19" ht="16" outlineLevel="1" x14ac:dyDescent="0.2">
      <c r="A118" s="45"/>
      <c r="B118" s="42"/>
      <c r="C118" s="42"/>
      <c r="D118" s="42"/>
      <c r="E118" s="42"/>
      <c r="F118" s="42"/>
      <c r="G118" s="52" t="s">
        <v>673</v>
      </c>
      <c r="H118" s="46">
        <f>SUBTOTAL(9,H116:H117)</f>
        <v>2226.4499999999998</v>
      </c>
      <c r="I118" s="46"/>
      <c r="J118" s="42"/>
      <c r="K118" s="47"/>
      <c r="L118" s="42"/>
      <c r="M118" s="42"/>
      <c r="N118" s="42"/>
      <c r="O118" s="42"/>
      <c r="P118" s="42"/>
      <c r="Q118" s="42"/>
      <c r="R118" s="42"/>
      <c r="S118" s="42"/>
    </row>
    <row r="119" spans="1:19" outlineLevel="1" x14ac:dyDescent="0.2"/>
    <row r="120" spans="1:19" outlineLevel="1" x14ac:dyDescent="0.2">
      <c r="G120" s="48" t="s">
        <v>674</v>
      </c>
      <c r="H120" s="4">
        <f>SUBTOTAL(9,H2:H119)</f>
        <v>24398.670000000006</v>
      </c>
    </row>
  </sheetData>
  <autoFilter ref="A1:S119" xr:uid="{2856F0E0-E9EC-B343-996B-ADA0C8C9E469}"/>
  <sortState xmlns:xlrd2="http://schemas.microsoft.com/office/spreadsheetml/2017/richdata2" ref="A2:S117">
    <sortCondition ref="G2:G117"/>
    <sortCondition ref="A2:A11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15"/>
  <sheetViews>
    <sheetView workbookViewId="0">
      <pane ySplit="1" topLeftCell="A2" activePane="bottomLeft" state="frozen"/>
      <selection pane="bottomLeft" activeCell="A94" sqref="A2:XFD94"/>
    </sheetView>
  </sheetViews>
  <sheetFormatPr baseColWidth="10" defaultColWidth="25.83203125" defaultRowHeight="15" x14ac:dyDescent="0.2"/>
  <cols>
    <col min="1" max="1" width="10.5" style="37" bestFit="1" customWidth="1"/>
    <col min="2" max="2" width="13" style="11" bestFit="1" customWidth="1"/>
    <col min="3" max="3" width="60.1640625" bestFit="1" customWidth="1"/>
    <col min="4" max="4" width="25.83203125" style="11"/>
    <col min="6" max="6" width="12.6640625" customWidth="1"/>
    <col min="7" max="7" width="38" customWidth="1"/>
    <col min="8" max="9" width="25.83203125" style="4"/>
  </cols>
  <sheetData>
    <row r="1" spans="1:19" s="16" customFormat="1" ht="16" x14ac:dyDescent="0.2">
      <c r="A1" s="35" t="s">
        <v>0</v>
      </c>
      <c r="B1" s="14" t="s">
        <v>1</v>
      </c>
      <c r="C1" s="13" t="s">
        <v>2</v>
      </c>
      <c r="D1" s="14" t="s">
        <v>3</v>
      </c>
      <c r="E1" s="13" t="s">
        <v>4</v>
      </c>
      <c r="F1" s="15" t="s">
        <v>16</v>
      </c>
      <c r="G1" s="15" t="s">
        <v>17</v>
      </c>
      <c r="H1" s="17" t="s">
        <v>5</v>
      </c>
      <c r="I1" s="18" t="s">
        <v>18</v>
      </c>
      <c r="J1" s="13" t="s">
        <v>6</v>
      </c>
      <c r="K1" s="13" t="s">
        <v>7</v>
      </c>
      <c r="L1" s="13" t="s">
        <v>8</v>
      </c>
      <c r="M1" s="13" t="s">
        <v>9</v>
      </c>
      <c r="N1" s="13" t="s">
        <v>10</v>
      </c>
      <c r="O1" s="13" t="s">
        <v>11</v>
      </c>
      <c r="P1" s="13" t="s">
        <v>12</v>
      </c>
      <c r="Q1" s="13" t="s">
        <v>13</v>
      </c>
      <c r="R1" s="13" t="s">
        <v>14</v>
      </c>
      <c r="S1" s="13" t="s">
        <v>15</v>
      </c>
    </row>
    <row r="2" spans="1:19" ht="64" x14ac:dyDescent="0.2">
      <c r="A2" s="28" t="s">
        <v>417</v>
      </c>
      <c r="B2" s="21" t="s">
        <v>417</v>
      </c>
      <c r="C2" s="21" t="s">
        <v>420</v>
      </c>
      <c r="D2" s="21" t="s">
        <v>47</v>
      </c>
      <c r="E2" s="21" t="s">
        <v>48</v>
      </c>
      <c r="F2" s="21" t="s">
        <v>612</v>
      </c>
      <c r="G2" s="21" t="s">
        <v>647</v>
      </c>
      <c r="H2" s="32">
        <v>123.33</v>
      </c>
      <c r="I2" s="32">
        <f>H2/11</f>
        <v>11.211818181818181</v>
      </c>
      <c r="J2" s="21" t="s">
        <v>34</v>
      </c>
      <c r="K2" s="22" t="s">
        <v>35</v>
      </c>
      <c r="L2" s="21" t="s">
        <v>35</v>
      </c>
      <c r="M2" s="21" t="s">
        <v>421</v>
      </c>
      <c r="N2" s="21" t="s">
        <v>420</v>
      </c>
      <c r="O2" s="21" t="s">
        <v>422</v>
      </c>
      <c r="P2" s="21" t="s">
        <v>37</v>
      </c>
      <c r="Q2" s="21" t="s">
        <v>38</v>
      </c>
      <c r="R2" s="21" t="s">
        <v>39</v>
      </c>
      <c r="S2" s="21" t="s">
        <v>423</v>
      </c>
    </row>
    <row r="3" spans="1:19" x14ac:dyDescent="0.2">
      <c r="A3" s="36">
        <v>45659</v>
      </c>
      <c r="B3" s="10"/>
      <c r="C3" s="7" t="s">
        <v>592</v>
      </c>
      <c r="D3" s="8" t="s">
        <v>571</v>
      </c>
      <c r="E3" s="7" t="s">
        <v>572</v>
      </c>
      <c r="F3" s="7" t="s">
        <v>612</v>
      </c>
      <c r="G3" s="7" t="s">
        <v>639</v>
      </c>
      <c r="H3" s="9">
        <v>2292</v>
      </c>
      <c r="I3" s="32">
        <f t="shared" ref="I3:I62" si="0">H3/11</f>
        <v>208.36363636363637</v>
      </c>
      <c r="J3" s="7" t="s">
        <v>34</v>
      </c>
      <c r="K3" s="7" t="s">
        <v>573</v>
      </c>
      <c r="L3" s="7"/>
      <c r="M3" s="7">
        <v>-2477</v>
      </c>
      <c r="N3" s="7" t="s">
        <v>593</v>
      </c>
      <c r="O3" s="7" t="s">
        <v>594</v>
      </c>
      <c r="P3" s="7"/>
      <c r="Q3" s="7"/>
      <c r="R3" s="7"/>
      <c r="S3" s="7"/>
    </row>
    <row r="4" spans="1:19" ht="32" x14ac:dyDescent="0.2">
      <c r="A4" s="27" t="s">
        <v>414</v>
      </c>
      <c r="B4" s="19" t="s">
        <v>414</v>
      </c>
      <c r="C4" s="19" t="s">
        <v>531</v>
      </c>
      <c r="D4" s="19" t="s">
        <v>500</v>
      </c>
      <c r="E4" s="19" t="s">
        <v>501</v>
      </c>
      <c r="F4" s="19" t="s">
        <v>612</v>
      </c>
      <c r="G4" s="19" t="s">
        <v>620</v>
      </c>
      <c r="H4" s="31">
        <v>29.5</v>
      </c>
      <c r="I4" s="32">
        <f t="shared" si="0"/>
        <v>2.6818181818181817</v>
      </c>
      <c r="J4" s="19" t="s">
        <v>34</v>
      </c>
      <c r="K4" s="20" t="s">
        <v>35</v>
      </c>
      <c r="L4" s="19" t="s">
        <v>35</v>
      </c>
      <c r="M4" s="19" t="s">
        <v>35</v>
      </c>
      <c r="N4" s="19" t="s">
        <v>531</v>
      </c>
      <c r="O4" s="19" t="s">
        <v>532</v>
      </c>
      <c r="P4" s="19" t="s">
        <v>533</v>
      </c>
      <c r="Q4" s="19" t="s">
        <v>534</v>
      </c>
      <c r="R4" s="19" t="s">
        <v>39</v>
      </c>
      <c r="S4" s="19" t="s">
        <v>535</v>
      </c>
    </row>
    <row r="5" spans="1:19" ht="32" x14ac:dyDescent="0.2">
      <c r="A5" s="27" t="s">
        <v>406</v>
      </c>
      <c r="B5" s="19" t="s">
        <v>406</v>
      </c>
      <c r="C5" s="19" t="s">
        <v>409</v>
      </c>
      <c r="D5" s="19" t="s">
        <v>32</v>
      </c>
      <c r="E5" s="19" t="s">
        <v>33</v>
      </c>
      <c r="F5" s="19" t="s">
        <v>612</v>
      </c>
      <c r="G5" s="19" t="s">
        <v>626</v>
      </c>
      <c r="H5" s="31">
        <v>35</v>
      </c>
      <c r="I5" s="32">
        <f t="shared" si="0"/>
        <v>3.1818181818181817</v>
      </c>
      <c r="J5" s="19" t="s">
        <v>34</v>
      </c>
      <c r="K5" s="20" t="s">
        <v>35</v>
      </c>
      <c r="L5" s="19" t="s">
        <v>35</v>
      </c>
      <c r="M5" s="19" t="s">
        <v>35</v>
      </c>
      <c r="N5" s="19" t="s">
        <v>409</v>
      </c>
      <c r="O5" s="19" t="s">
        <v>410</v>
      </c>
      <c r="P5" s="19" t="s">
        <v>411</v>
      </c>
      <c r="Q5" s="19" t="s">
        <v>412</v>
      </c>
      <c r="R5" s="19" t="s">
        <v>39</v>
      </c>
      <c r="S5" s="19" t="s">
        <v>413</v>
      </c>
    </row>
    <row r="6" spans="1:19" ht="32" x14ac:dyDescent="0.2">
      <c r="A6" s="28" t="s">
        <v>399</v>
      </c>
      <c r="B6" s="21" t="s">
        <v>399</v>
      </c>
      <c r="C6" s="21" t="s">
        <v>409</v>
      </c>
      <c r="D6" s="21" t="s">
        <v>32</v>
      </c>
      <c r="E6" s="21" t="s">
        <v>425</v>
      </c>
      <c r="F6" s="21" t="s">
        <v>612</v>
      </c>
      <c r="G6" s="21" t="s">
        <v>626</v>
      </c>
      <c r="H6" s="32">
        <v>44</v>
      </c>
      <c r="I6" s="32">
        <f t="shared" si="0"/>
        <v>4</v>
      </c>
      <c r="J6" s="21" t="s">
        <v>34</v>
      </c>
      <c r="K6" s="22" t="s">
        <v>35</v>
      </c>
      <c r="L6" s="21" t="s">
        <v>35</v>
      </c>
      <c r="M6" s="21" t="s">
        <v>35</v>
      </c>
      <c r="N6" s="21" t="s">
        <v>409</v>
      </c>
      <c r="O6" s="21" t="s">
        <v>410</v>
      </c>
      <c r="P6" s="21" t="s">
        <v>411</v>
      </c>
      <c r="Q6" s="21" t="s">
        <v>412</v>
      </c>
      <c r="R6" s="21" t="s">
        <v>39</v>
      </c>
      <c r="S6" s="21" t="s">
        <v>511</v>
      </c>
    </row>
    <row r="7" spans="1:19" ht="32" x14ac:dyDescent="0.2">
      <c r="A7" s="28" t="s">
        <v>396</v>
      </c>
      <c r="B7" s="21" t="s">
        <v>379</v>
      </c>
      <c r="C7" s="21" t="s">
        <v>31</v>
      </c>
      <c r="D7" s="21" t="s">
        <v>32</v>
      </c>
      <c r="E7" s="21" t="s">
        <v>33</v>
      </c>
      <c r="F7" s="21" t="s">
        <v>612</v>
      </c>
      <c r="G7" s="21" t="s">
        <v>617</v>
      </c>
      <c r="H7" s="32">
        <v>7.99</v>
      </c>
      <c r="I7" s="32">
        <f t="shared" si="0"/>
        <v>0.72636363636363643</v>
      </c>
      <c r="J7" s="21" t="s">
        <v>34</v>
      </c>
      <c r="K7" s="22" t="s">
        <v>35</v>
      </c>
      <c r="L7" s="21" t="s">
        <v>35</v>
      </c>
      <c r="M7" s="21" t="s">
        <v>35</v>
      </c>
      <c r="N7" s="21" t="s">
        <v>31</v>
      </c>
      <c r="O7" s="21" t="s">
        <v>36</v>
      </c>
      <c r="P7" s="21" t="s">
        <v>37</v>
      </c>
      <c r="Q7" s="21" t="s">
        <v>38</v>
      </c>
      <c r="R7" s="21" t="s">
        <v>39</v>
      </c>
      <c r="S7" s="21" t="s">
        <v>397</v>
      </c>
    </row>
    <row r="8" spans="1:19" ht="32" x14ac:dyDescent="0.2">
      <c r="A8" s="27" t="s">
        <v>396</v>
      </c>
      <c r="B8" s="19" t="s">
        <v>396</v>
      </c>
      <c r="C8" s="19" t="s">
        <v>506</v>
      </c>
      <c r="D8" s="19" t="s">
        <v>32</v>
      </c>
      <c r="E8" s="19" t="s">
        <v>425</v>
      </c>
      <c r="F8" s="19" t="s">
        <v>612</v>
      </c>
      <c r="G8" s="19" t="s">
        <v>621</v>
      </c>
      <c r="H8" s="31">
        <v>173.07</v>
      </c>
      <c r="I8" s="32">
        <f t="shared" si="0"/>
        <v>15.733636363636363</v>
      </c>
      <c r="J8" s="19" t="s">
        <v>34</v>
      </c>
      <c r="K8" s="20" t="s">
        <v>35</v>
      </c>
      <c r="L8" s="19" t="s">
        <v>35</v>
      </c>
      <c r="M8" s="19" t="s">
        <v>35</v>
      </c>
      <c r="N8" s="19" t="s">
        <v>506</v>
      </c>
      <c r="O8" s="19" t="s">
        <v>507</v>
      </c>
      <c r="P8" s="19" t="s">
        <v>508</v>
      </c>
      <c r="Q8" s="19" t="s">
        <v>509</v>
      </c>
      <c r="R8" s="19" t="s">
        <v>39</v>
      </c>
      <c r="S8" s="19" t="s">
        <v>510</v>
      </c>
    </row>
    <row r="9" spans="1:19" ht="32" x14ac:dyDescent="0.2">
      <c r="A9" s="28" t="s">
        <v>379</v>
      </c>
      <c r="B9" s="21" t="s">
        <v>379</v>
      </c>
      <c r="C9" s="21" t="s">
        <v>380</v>
      </c>
      <c r="D9" s="21" t="s">
        <v>47</v>
      </c>
      <c r="E9" s="21" t="s">
        <v>48</v>
      </c>
      <c r="F9" s="21" t="s">
        <v>612</v>
      </c>
      <c r="G9" s="21" t="s">
        <v>626</v>
      </c>
      <c r="H9" s="32">
        <v>64.989999999999995</v>
      </c>
      <c r="I9" s="32">
        <f t="shared" si="0"/>
        <v>5.9081818181818173</v>
      </c>
      <c r="J9" s="21" t="s">
        <v>34</v>
      </c>
      <c r="K9" s="22" t="s">
        <v>35</v>
      </c>
      <c r="L9" s="21" t="s">
        <v>35</v>
      </c>
      <c r="M9" s="21" t="s">
        <v>35</v>
      </c>
      <c r="N9" s="21" t="s">
        <v>380</v>
      </c>
      <c r="O9" s="21" t="s">
        <v>381</v>
      </c>
      <c r="P9" s="21" t="s">
        <v>292</v>
      </c>
      <c r="Q9" s="21" t="s">
        <v>293</v>
      </c>
      <c r="R9" s="21" t="s">
        <v>39</v>
      </c>
      <c r="S9" s="21" t="s">
        <v>382</v>
      </c>
    </row>
    <row r="10" spans="1:19" ht="48" x14ac:dyDescent="0.2">
      <c r="A10" s="27" t="s">
        <v>379</v>
      </c>
      <c r="B10" s="19" t="s">
        <v>379</v>
      </c>
      <c r="C10" s="19" t="s">
        <v>383</v>
      </c>
      <c r="D10" s="19" t="s">
        <v>73</v>
      </c>
      <c r="E10" s="19" t="s">
        <v>74</v>
      </c>
      <c r="F10" s="19" t="s">
        <v>612</v>
      </c>
      <c r="G10" s="19" t="s">
        <v>632</v>
      </c>
      <c r="H10" s="31">
        <v>235.65</v>
      </c>
      <c r="I10" s="32">
        <f t="shared" si="0"/>
        <v>21.422727272727272</v>
      </c>
      <c r="J10" s="19" t="s">
        <v>34</v>
      </c>
      <c r="K10" s="20" t="s">
        <v>35</v>
      </c>
      <c r="L10" s="19" t="s">
        <v>35</v>
      </c>
      <c r="M10" s="19" t="s">
        <v>384</v>
      </c>
      <c r="N10" s="19" t="s">
        <v>383</v>
      </c>
      <c r="O10" s="19" t="s">
        <v>385</v>
      </c>
      <c r="P10" s="19" t="s">
        <v>386</v>
      </c>
      <c r="Q10" s="19" t="s">
        <v>387</v>
      </c>
      <c r="R10" s="19" t="s">
        <v>39</v>
      </c>
      <c r="S10" s="19" t="s">
        <v>388</v>
      </c>
    </row>
    <row r="11" spans="1:19" ht="32" x14ac:dyDescent="0.2">
      <c r="A11" s="28" t="s">
        <v>379</v>
      </c>
      <c r="B11" s="21" t="s">
        <v>361</v>
      </c>
      <c r="C11" s="21" t="s">
        <v>499</v>
      </c>
      <c r="D11" s="21" t="s">
        <v>500</v>
      </c>
      <c r="E11" s="21" t="s">
        <v>501</v>
      </c>
      <c r="F11" s="21" t="s">
        <v>612</v>
      </c>
      <c r="G11" s="21" t="s">
        <v>617</v>
      </c>
      <c r="H11" s="32">
        <v>39.99</v>
      </c>
      <c r="I11" s="32">
        <f t="shared" si="0"/>
        <v>3.6354545454545457</v>
      </c>
      <c r="J11" s="21" t="s">
        <v>34</v>
      </c>
      <c r="K11" s="22" t="s">
        <v>35</v>
      </c>
      <c r="L11" s="21" t="s">
        <v>35</v>
      </c>
      <c r="M11" s="21" t="s">
        <v>35</v>
      </c>
      <c r="N11" s="21" t="s">
        <v>499</v>
      </c>
      <c r="O11" s="21" t="s">
        <v>502</v>
      </c>
      <c r="P11" s="21" t="s">
        <v>503</v>
      </c>
      <c r="Q11" s="21" t="s">
        <v>504</v>
      </c>
      <c r="R11" s="21" t="s">
        <v>39</v>
      </c>
      <c r="S11" s="21" t="s">
        <v>505</v>
      </c>
    </row>
    <row r="12" spans="1:19" ht="16" x14ac:dyDescent="0.2">
      <c r="A12" s="36">
        <v>45664</v>
      </c>
      <c r="B12" s="38"/>
      <c r="C12" s="7" t="s">
        <v>565</v>
      </c>
      <c r="D12" s="8" t="s">
        <v>544</v>
      </c>
      <c r="E12" s="7" t="s">
        <v>545</v>
      </c>
      <c r="F12" s="19" t="s">
        <v>612</v>
      </c>
      <c r="G12" s="19" t="s">
        <v>645</v>
      </c>
      <c r="H12" s="9">
        <v>1.1499999999999999</v>
      </c>
      <c r="I12" s="32">
        <f t="shared" si="0"/>
        <v>0.10454545454545454</v>
      </c>
      <c r="J12" s="7"/>
      <c r="K12" s="7"/>
      <c r="L12" s="7"/>
      <c r="M12" s="7"/>
      <c r="N12" s="7"/>
      <c r="O12" s="7"/>
      <c r="P12" s="7"/>
      <c r="Q12" s="7"/>
      <c r="R12" s="7"/>
      <c r="S12" s="7"/>
    </row>
    <row r="13" spans="1:19" ht="32" x14ac:dyDescent="0.2">
      <c r="A13" s="27" t="s">
        <v>361</v>
      </c>
      <c r="B13" s="19" t="s">
        <v>348</v>
      </c>
      <c r="C13" s="19" t="s">
        <v>31</v>
      </c>
      <c r="D13" s="19" t="s">
        <v>32</v>
      </c>
      <c r="E13" s="19" t="s">
        <v>33</v>
      </c>
      <c r="F13" s="19" t="s">
        <v>612</v>
      </c>
      <c r="G13" s="19" t="s">
        <v>626</v>
      </c>
      <c r="H13" s="31">
        <v>19.989999999999998</v>
      </c>
      <c r="I13" s="32">
        <f t="shared" si="0"/>
        <v>1.8172727272727272</v>
      </c>
      <c r="J13" s="19" t="s">
        <v>34</v>
      </c>
      <c r="K13" s="20" t="s">
        <v>35</v>
      </c>
      <c r="L13" s="19" t="s">
        <v>35</v>
      </c>
      <c r="M13" s="19" t="s">
        <v>35</v>
      </c>
      <c r="N13" s="19" t="s">
        <v>31</v>
      </c>
      <c r="O13" s="19" t="s">
        <v>36</v>
      </c>
      <c r="P13" s="19" t="s">
        <v>37</v>
      </c>
      <c r="Q13" s="19" t="s">
        <v>38</v>
      </c>
      <c r="R13" s="19" t="s">
        <v>39</v>
      </c>
      <c r="S13" s="19" t="s">
        <v>362</v>
      </c>
    </row>
    <row r="14" spans="1:19" ht="48" x14ac:dyDescent="0.2">
      <c r="A14" s="27" t="s">
        <v>361</v>
      </c>
      <c r="B14" s="19" t="s">
        <v>361</v>
      </c>
      <c r="C14" s="19" t="s">
        <v>112</v>
      </c>
      <c r="D14" s="19" t="s">
        <v>47</v>
      </c>
      <c r="E14" s="19" t="s">
        <v>48</v>
      </c>
      <c r="F14" s="19" t="s">
        <v>612</v>
      </c>
      <c r="G14" s="19" t="s">
        <v>629</v>
      </c>
      <c r="H14" s="31">
        <v>15.33</v>
      </c>
      <c r="I14" s="32">
        <f t="shared" si="0"/>
        <v>1.3936363636363636</v>
      </c>
      <c r="J14" s="19" t="s">
        <v>34</v>
      </c>
      <c r="K14" s="20" t="s">
        <v>35</v>
      </c>
      <c r="L14" s="19" t="s">
        <v>35</v>
      </c>
      <c r="M14" s="19" t="s">
        <v>35</v>
      </c>
      <c r="N14" s="19" t="s">
        <v>112</v>
      </c>
      <c r="O14" s="19" t="s">
        <v>113</v>
      </c>
      <c r="P14" s="19" t="s">
        <v>114</v>
      </c>
      <c r="Q14" s="19" t="s">
        <v>115</v>
      </c>
      <c r="R14" s="19" t="s">
        <v>39</v>
      </c>
      <c r="S14" s="19" t="s">
        <v>374</v>
      </c>
    </row>
    <row r="15" spans="1:19" ht="32" x14ac:dyDescent="0.2">
      <c r="A15" s="27" t="s">
        <v>341</v>
      </c>
      <c r="B15" s="19" t="s">
        <v>343</v>
      </c>
      <c r="C15" s="19" t="s">
        <v>344</v>
      </c>
      <c r="D15" s="19" t="s">
        <v>47</v>
      </c>
      <c r="E15" s="19" t="s">
        <v>48</v>
      </c>
      <c r="F15" s="19" t="s">
        <v>612</v>
      </c>
      <c r="G15" s="19" t="s">
        <v>627</v>
      </c>
      <c r="H15" s="31">
        <v>359.45</v>
      </c>
      <c r="I15" s="32">
        <f t="shared" si="0"/>
        <v>32.677272727272729</v>
      </c>
      <c r="J15" s="19" t="s">
        <v>34</v>
      </c>
      <c r="K15" s="20" t="s">
        <v>35</v>
      </c>
      <c r="L15" s="19" t="s">
        <v>35</v>
      </c>
      <c r="M15" s="19" t="s">
        <v>35</v>
      </c>
      <c r="N15" s="19" t="s">
        <v>344</v>
      </c>
      <c r="O15" s="19" t="s">
        <v>291</v>
      </c>
      <c r="P15" s="19" t="s">
        <v>292</v>
      </c>
      <c r="Q15" s="19" t="s">
        <v>293</v>
      </c>
      <c r="R15" s="19" t="s">
        <v>39</v>
      </c>
      <c r="S15" s="19" t="s">
        <v>345</v>
      </c>
    </row>
    <row r="16" spans="1:19" ht="32" x14ac:dyDescent="0.2">
      <c r="A16" s="28" t="s">
        <v>341</v>
      </c>
      <c r="B16" s="21" t="s">
        <v>343</v>
      </c>
      <c r="C16" s="21" t="s">
        <v>346</v>
      </c>
      <c r="D16" s="21" t="s">
        <v>47</v>
      </c>
      <c r="E16" s="21" t="s">
        <v>48</v>
      </c>
      <c r="F16" s="19" t="s">
        <v>612</v>
      </c>
      <c r="G16" s="19" t="s">
        <v>627</v>
      </c>
      <c r="H16" s="32">
        <v>20.82</v>
      </c>
      <c r="I16" s="32">
        <f t="shared" si="0"/>
        <v>1.8927272727272728</v>
      </c>
      <c r="J16" s="21" t="s">
        <v>34</v>
      </c>
      <c r="K16" s="22" t="s">
        <v>35</v>
      </c>
      <c r="L16" s="21" t="s">
        <v>35</v>
      </c>
      <c r="M16" s="21" t="s">
        <v>35</v>
      </c>
      <c r="N16" s="21" t="s">
        <v>346</v>
      </c>
      <c r="O16" s="21" t="s">
        <v>291</v>
      </c>
      <c r="P16" s="21" t="s">
        <v>292</v>
      </c>
      <c r="Q16" s="21" t="s">
        <v>293</v>
      </c>
      <c r="R16" s="21" t="s">
        <v>39</v>
      </c>
      <c r="S16" s="21" t="s">
        <v>347</v>
      </c>
    </row>
    <row r="17" spans="1:19" ht="32" x14ac:dyDescent="0.2">
      <c r="A17" s="28" t="s">
        <v>341</v>
      </c>
      <c r="B17" s="21" t="s">
        <v>343</v>
      </c>
      <c r="C17" s="21" t="s">
        <v>490</v>
      </c>
      <c r="D17" s="21" t="s">
        <v>32</v>
      </c>
      <c r="E17" s="21" t="s">
        <v>425</v>
      </c>
      <c r="F17" s="19" t="s">
        <v>612</v>
      </c>
      <c r="G17" s="19" t="s">
        <v>627</v>
      </c>
      <c r="H17" s="32">
        <v>1368.2</v>
      </c>
      <c r="I17" s="32">
        <f t="shared" si="0"/>
        <v>124.38181818181819</v>
      </c>
      <c r="J17" s="21" t="s">
        <v>34</v>
      </c>
      <c r="K17" s="22" t="s">
        <v>35</v>
      </c>
      <c r="L17" s="21" t="s">
        <v>35</v>
      </c>
      <c r="M17" s="21" t="s">
        <v>35</v>
      </c>
      <c r="N17" s="21" t="s">
        <v>490</v>
      </c>
      <c r="O17" s="21" t="s">
        <v>291</v>
      </c>
      <c r="P17" s="21" t="s">
        <v>292</v>
      </c>
      <c r="Q17" s="21" t="s">
        <v>293</v>
      </c>
      <c r="R17" s="21" t="s">
        <v>39</v>
      </c>
      <c r="S17" s="21" t="s">
        <v>491</v>
      </c>
    </row>
    <row r="18" spans="1:19" ht="32" x14ac:dyDescent="0.2">
      <c r="A18" s="27" t="s">
        <v>327</v>
      </c>
      <c r="B18" s="19" t="s">
        <v>328</v>
      </c>
      <c r="C18" s="19" t="s">
        <v>220</v>
      </c>
      <c r="D18" s="19" t="s">
        <v>47</v>
      </c>
      <c r="E18" s="19" t="s">
        <v>48</v>
      </c>
      <c r="F18" s="19" t="s">
        <v>612</v>
      </c>
      <c r="G18" s="19" t="s">
        <v>645</v>
      </c>
      <c r="H18" s="31">
        <v>3</v>
      </c>
      <c r="I18" s="32">
        <f t="shared" si="0"/>
        <v>0.27272727272727271</v>
      </c>
      <c r="J18" s="19" t="s">
        <v>34</v>
      </c>
      <c r="K18" s="20" t="s">
        <v>35</v>
      </c>
      <c r="L18" s="19" t="s">
        <v>35</v>
      </c>
      <c r="M18" s="19" t="s">
        <v>35</v>
      </c>
      <c r="N18" s="19" t="s">
        <v>220</v>
      </c>
      <c r="O18" s="19" t="s">
        <v>221</v>
      </c>
      <c r="P18" s="19" t="s">
        <v>222</v>
      </c>
      <c r="Q18" s="19" t="s">
        <v>223</v>
      </c>
      <c r="R18" s="19" t="s">
        <v>39</v>
      </c>
      <c r="S18" s="19" t="s">
        <v>334</v>
      </c>
    </row>
    <row r="19" spans="1:19" ht="32" x14ac:dyDescent="0.2">
      <c r="A19" s="28" t="s">
        <v>327</v>
      </c>
      <c r="B19" s="21" t="s">
        <v>328</v>
      </c>
      <c r="C19" s="21" t="s">
        <v>220</v>
      </c>
      <c r="D19" s="21" t="s">
        <v>47</v>
      </c>
      <c r="E19" s="21" t="s">
        <v>48</v>
      </c>
      <c r="F19" s="19" t="s">
        <v>612</v>
      </c>
      <c r="G19" s="19" t="s">
        <v>645</v>
      </c>
      <c r="H19" s="32">
        <v>29.49</v>
      </c>
      <c r="I19" s="32">
        <f t="shared" si="0"/>
        <v>2.6809090909090907</v>
      </c>
      <c r="J19" s="21" t="s">
        <v>34</v>
      </c>
      <c r="K19" s="22" t="s">
        <v>35</v>
      </c>
      <c r="L19" s="21" t="s">
        <v>35</v>
      </c>
      <c r="M19" s="21" t="s">
        <v>35</v>
      </c>
      <c r="N19" s="21" t="s">
        <v>220</v>
      </c>
      <c r="O19" s="21" t="s">
        <v>221</v>
      </c>
      <c r="P19" s="21" t="s">
        <v>222</v>
      </c>
      <c r="Q19" s="21" t="s">
        <v>223</v>
      </c>
      <c r="R19" s="21" t="s">
        <v>39</v>
      </c>
      <c r="S19" s="21" t="s">
        <v>335</v>
      </c>
    </row>
    <row r="20" spans="1:19" ht="32" x14ac:dyDescent="0.2">
      <c r="A20" s="27" t="s">
        <v>327</v>
      </c>
      <c r="B20" s="19" t="s">
        <v>328</v>
      </c>
      <c r="C20" s="19" t="s">
        <v>336</v>
      </c>
      <c r="D20" s="19" t="s">
        <v>47</v>
      </c>
      <c r="E20" s="19" t="s">
        <v>48</v>
      </c>
      <c r="F20" s="19" t="s">
        <v>612</v>
      </c>
      <c r="G20" s="19" t="s">
        <v>620</v>
      </c>
      <c r="H20" s="31">
        <v>75</v>
      </c>
      <c r="I20" s="32">
        <f t="shared" si="0"/>
        <v>6.8181818181818183</v>
      </c>
      <c r="J20" s="19" t="s">
        <v>34</v>
      </c>
      <c r="K20" s="20" t="s">
        <v>35</v>
      </c>
      <c r="L20" s="19" t="s">
        <v>35</v>
      </c>
      <c r="M20" s="19" t="s">
        <v>35</v>
      </c>
      <c r="N20" s="19" t="s">
        <v>336</v>
      </c>
      <c r="O20" s="19" t="s">
        <v>337</v>
      </c>
      <c r="P20" s="19" t="s">
        <v>338</v>
      </c>
      <c r="Q20" s="19" t="s">
        <v>339</v>
      </c>
      <c r="R20" s="19" t="s">
        <v>39</v>
      </c>
      <c r="S20" s="19" t="s">
        <v>340</v>
      </c>
    </row>
    <row r="21" spans="1:19" ht="32" x14ac:dyDescent="0.2">
      <c r="A21" s="27" t="s">
        <v>328</v>
      </c>
      <c r="B21" s="19" t="s">
        <v>307</v>
      </c>
      <c r="C21" s="19" t="s">
        <v>460</v>
      </c>
      <c r="D21" s="19" t="s">
        <v>32</v>
      </c>
      <c r="E21" s="19" t="s">
        <v>425</v>
      </c>
      <c r="F21" s="19" t="s">
        <v>612</v>
      </c>
      <c r="G21" s="19" t="s">
        <v>621</v>
      </c>
      <c r="H21" s="31">
        <v>30</v>
      </c>
      <c r="I21" s="32">
        <f t="shared" si="0"/>
        <v>2.7272727272727271</v>
      </c>
      <c r="J21" s="19" t="s">
        <v>34</v>
      </c>
      <c r="K21" s="20" t="s">
        <v>35</v>
      </c>
      <c r="L21" s="19" t="s">
        <v>35</v>
      </c>
      <c r="M21" s="19" t="s">
        <v>35</v>
      </c>
      <c r="N21" s="19" t="s">
        <v>460</v>
      </c>
      <c r="O21" s="19" t="s">
        <v>461</v>
      </c>
      <c r="P21" s="19" t="s">
        <v>37</v>
      </c>
      <c r="Q21" s="19" t="s">
        <v>38</v>
      </c>
      <c r="R21" s="19" t="s">
        <v>39</v>
      </c>
      <c r="S21" s="19" t="s">
        <v>485</v>
      </c>
    </row>
    <row r="22" spans="1:19" ht="48" x14ac:dyDescent="0.2">
      <c r="A22" s="27" t="s">
        <v>307</v>
      </c>
      <c r="B22" s="19" t="s">
        <v>307</v>
      </c>
      <c r="C22" s="19" t="s">
        <v>308</v>
      </c>
      <c r="D22" s="19" t="s">
        <v>47</v>
      </c>
      <c r="E22" s="19" t="s">
        <v>48</v>
      </c>
      <c r="F22" s="19" t="s">
        <v>612</v>
      </c>
      <c r="G22" s="19" t="s">
        <v>629</v>
      </c>
      <c r="H22" s="31">
        <v>25.39</v>
      </c>
      <c r="I22" s="32">
        <f t="shared" si="0"/>
        <v>2.3081818181818181</v>
      </c>
      <c r="J22" s="19" t="s">
        <v>34</v>
      </c>
      <c r="K22" s="20" t="s">
        <v>35</v>
      </c>
      <c r="L22" s="19" t="s">
        <v>35</v>
      </c>
      <c r="M22" s="19" t="s">
        <v>35</v>
      </c>
      <c r="N22" s="19" t="s">
        <v>308</v>
      </c>
      <c r="O22" s="19" t="s">
        <v>309</v>
      </c>
      <c r="P22" s="19" t="s">
        <v>310</v>
      </c>
      <c r="Q22" s="19" t="s">
        <v>311</v>
      </c>
      <c r="R22" s="19" t="s">
        <v>39</v>
      </c>
      <c r="S22" s="19" t="s">
        <v>312</v>
      </c>
    </row>
    <row r="23" spans="1:19" ht="32" x14ac:dyDescent="0.2">
      <c r="A23" s="28" t="s">
        <v>307</v>
      </c>
      <c r="B23" s="21" t="s">
        <v>307</v>
      </c>
      <c r="C23" s="21" t="s">
        <v>313</v>
      </c>
      <c r="D23" s="21" t="s">
        <v>73</v>
      </c>
      <c r="E23" s="21" t="s">
        <v>74</v>
      </c>
      <c r="F23" s="21" t="s">
        <v>612</v>
      </c>
      <c r="G23" s="21" t="s">
        <v>617</v>
      </c>
      <c r="H23" s="32">
        <v>155.36000000000001</v>
      </c>
      <c r="I23" s="32">
        <f t="shared" si="0"/>
        <v>14.123636363636365</v>
      </c>
      <c r="J23" s="21" t="s">
        <v>34</v>
      </c>
      <c r="K23" s="22" t="s">
        <v>35</v>
      </c>
      <c r="L23" s="21" t="s">
        <v>35</v>
      </c>
      <c r="M23" s="21" t="s">
        <v>35</v>
      </c>
      <c r="N23" s="21" t="s">
        <v>313</v>
      </c>
      <c r="O23" s="21" t="s">
        <v>314</v>
      </c>
      <c r="P23" s="21" t="s">
        <v>315</v>
      </c>
      <c r="Q23" s="21" t="s">
        <v>316</v>
      </c>
      <c r="R23" s="21" t="s">
        <v>39</v>
      </c>
      <c r="S23" s="21" t="s">
        <v>317</v>
      </c>
    </row>
    <row r="24" spans="1:19" ht="32" x14ac:dyDescent="0.2">
      <c r="A24" s="27" t="s">
        <v>307</v>
      </c>
      <c r="B24" s="19" t="s">
        <v>307</v>
      </c>
      <c r="C24" s="19" t="s">
        <v>322</v>
      </c>
      <c r="D24" s="19" t="s">
        <v>47</v>
      </c>
      <c r="E24" s="19" t="s">
        <v>48</v>
      </c>
      <c r="F24" s="19" t="s">
        <v>612</v>
      </c>
      <c r="G24" s="19" t="s">
        <v>644</v>
      </c>
      <c r="H24" s="31">
        <v>1051</v>
      </c>
      <c r="I24" s="32">
        <f t="shared" si="0"/>
        <v>95.545454545454547</v>
      </c>
      <c r="J24" s="19" t="s">
        <v>34</v>
      </c>
      <c r="K24" s="20" t="s">
        <v>35</v>
      </c>
      <c r="L24" s="19" t="s">
        <v>35</v>
      </c>
      <c r="M24" s="19" t="s">
        <v>35</v>
      </c>
      <c r="N24" s="19" t="s">
        <v>322</v>
      </c>
      <c r="O24" s="19" t="s">
        <v>323</v>
      </c>
      <c r="P24" s="19" t="s">
        <v>324</v>
      </c>
      <c r="Q24" s="19" t="s">
        <v>325</v>
      </c>
      <c r="R24" s="19" t="s">
        <v>39</v>
      </c>
      <c r="S24" s="19" t="s">
        <v>326</v>
      </c>
    </row>
    <row r="25" spans="1:19" ht="32" x14ac:dyDescent="0.2">
      <c r="A25" s="27" t="s">
        <v>288</v>
      </c>
      <c r="B25" s="19" t="s">
        <v>284</v>
      </c>
      <c r="C25" s="19" t="s">
        <v>31</v>
      </c>
      <c r="D25" s="19" t="s">
        <v>32</v>
      </c>
      <c r="E25" s="19" t="s">
        <v>33</v>
      </c>
      <c r="F25" s="19" t="s">
        <v>612</v>
      </c>
      <c r="G25" s="19" t="s">
        <v>617</v>
      </c>
      <c r="H25" s="31">
        <v>7.99</v>
      </c>
      <c r="I25" s="32">
        <f t="shared" si="0"/>
        <v>0.72636363636363643</v>
      </c>
      <c r="J25" s="19" t="s">
        <v>649</v>
      </c>
      <c r="K25" s="20" t="s">
        <v>35</v>
      </c>
      <c r="L25" s="19" t="s">
        <v>35</v>
      </c>
      <c r="M25" s="19" t="s">
        <v>35</v>
      </c>
      <c r="N25" s="19" t="s">
        <v>31</v>
      </c>
      <c r="O25" s="19" t="s">
        <v>36</v>
      </c>
      <c r="P25" s="19" t="s">
        <v>37</v>
      </c>
      <c r="Q25" s="19" t="s">
        <v>38</v>
      </c>
      <c r="R25" s="19" t="s">
        <v>39</v>
      </c>
      <c r="S25" s="19" t="s">
        <v>289</v>
      </c>
    </row>
    <row r="26" spans="1:19" ht="32" x14ac:dyDescent="0.2">
      <c r="A26" s="28" t="s">
        <v>288</v>
      </c>
      <c r="B26" s="21" t="s">
        <v>288</v>
      </c>
      <c r="C26" s="21" t="s">
        <v>473</v>
      </c>
      <c r="D26" s="21" t="s">
        <v>32</v>
      </c>
      <c r="E26" s="21" t="s">
        <v>425</v>
      </c>
      <c r="F26" s="19" t="s">
        <v>612</v>
      </c>
      <c r="G26" s="19" t="s">
        <v>627</v>
      </c>
      <c r="H26" s="32">
        <v>65.31</v>
      </c>
      <c r="I26" s="32">
        <f t="shared" si="0"/>
        <v>5.9372727272727275</v>
      </c>
      <c r="J26" s="21" t="s">
        <v>34</v>
      </c>
      <c r="K26" s="22" t="s">
        <v>35</v>
      </c>
      <c r="L26" s="21" t="s">
        <v>35</v>
      </c>
      <c r="M26" s="21" t="s">
        <v>35</v>
      </c>
      <c r="N26" s="21" t="s">
        <v>473</v>
      </c>
      <c r="O26" s="21" t="s">
        <v>291</v>
      </c>
      <c r="P26" s="21" t="s">
        <v>292</v>
      </c>
      <c r="Q26" s="21" t="s">
        <v>293</v>
      </c>
      <c r="R26" s="21" t="s">
        <v>39</v>
      </c>
      <c r="S26" s="21" t="s">
        <v>474</v>
      </c>
    </row>
    <row r="27" spans="1:19" ht="32" x14ac:dyDescent="0.2">
      <c r="A27" s="28" t="s">
        <v>288</v>
      </c>
      <c r="B27" s="21" t="s">
        <v>284</v>
      </c>
      <c r="C27" s="21" t="s">
        <v>290</v>
      </c>
      <c r="D27" s="21" t="s">
        <v>47</v>
      </c>
      <c r="E27" s="21" t="s">
        <v>48</v>
      </c>
      <c r="F27" s="19" t="s">
        <v>612</v>
      </c>
      <c r="G27" s="19" t="s">
        <v>627</v>
      </c>
      <c r="H27" s="32">
        <v>174</v>
      </c>
      <c r="I27" s="32">
        <f t="shared" si="0"/>
        <v>15.818181818181818</v>
      </c>
      <c r="J27" s="21" t="s">
        <v>34</v>
      </c>
      <c r="K27" s="22" t="s">
        <v>35</v>
      </c>
      <c r="L27" s="21" t="s">
        <v>35</v>
      </c>
      <c r="M27" s="21" t="s">
        <v>35</v>
      </c>
      <c r="N27" s="21" t="s">
        <v>290</v>
      </c>
      <c r="O27" s="21" t="s">
        <v>291</v>
      </c>
      <c r="P27" s="21" t="s">
        <v>292</v>
      </c>
      <c r="Q27" s="21" t="s">
        <v>293</v>
      </c>
      <c r="R27" s="21" t="s">
        <v>39</v>
      </c>
      <c r="S27" s="21" t="s">
        <v>294</v>
      </c>
    </row>
    <row r="28" spans="1:19" ht="32" x14ac:dyDescent="0.2">
      <c r="A28" s="27" t="s">
        <v>288</v>
      </c>
      <c r="B28" s="19" t="s">
        <v>288</v>
      </c>
      <c r="C28" s="19" t="s">
        <v>295</v>
      </c>
      <c r="D28" s="19" t="s">
        <v>47</v>
      </c>
      <c r="E28" s="19" t="s">
        <v>48</v>
      </c>
      <c r="F28" s="19" t="s">
        <v>612</v>
      </c>
      <c r="G28" s="19" t="s">
        <v>617</v>
      </c>
      <c r="H28" s="31">
        <v>108.9</v>
      </c>
      <c r="I28" s="32">
        <f t="shared" si="0"/>
        <v>9.9</v>
      </c>
      <c r="J28" s="19" t="s">
        <v>34</v>
      </c>
      <c r="K28" s="20" t="s">
        <v>35</v>
      </c>
      <c r="L28" s="19" t="s">
        <v>35</v>
      </c>
      <c r="M28" s="19" t="s">
        <v>35</v>
      </c>
      <c r="N28" s="19" t="s">
        <v>295</v>
      </c>
      <c r="O28" s="19" t="s">
        <v>296</v>
      </c>
      <c r="P28" s="19" t="s">
        <v>297</v>
      </c>
      <c r="Q28" s="19" t="s">
        <v>298</v>
      </c>
      <c r="R28" s="19" t="s">
        <v>39</v>
      </c>
      <c r="S28" s="19" t="s">
        <v>299</v>
      </c>
    </row>
    <row r="29" spans="1:19" ht="32" x14ac:dyDescent="0.2">
      <c r="A29" s="28" t="s">
        <v>288</v>
      </c>
      <c r="B29" s="21" t="s">
        <v>284</v>
      </c>
      <c r="C29" s="21" t="s">
        <v>220</v>
      </c>
      <c r="D29" s="21" t="s">
        <v>47</v>
      </c>
      <c r="E29" s="21" t="s">
        <v>48</v>
      </c>
      <c r="F29" s="19" t="s">
        <v>612</v>
      </c>
      <c r="G29" s="19" t="s">
        <v>645</v>
      </c>
      <c r="H29" s="32">
        <v>5</v>
      </c>
      <c r="I29" s="32">
        <f t="shared" si="0"/>
        <v>0.45454545454545453</v>
      </c>
      <c r="J29" s="21" t="s">
        <v>34</v>
      </c>
      <c r="K29" s="22" t="s">
        <v>35</v>
      </c>
      <c r="L29" s="21" t="s">
        <v>35</v>
      </c>
      <c r="M29" s="21" t="s">
        <v>35</v>
      </c>
      <c r="N29" s="21" t="s">
        <v>220</v>
      </c>
      <c r="O29" s="21" t="s">
        <v>221</v>
      </c>
      <c r="P29" s="21" t="s">
        <v>222</v>
      </c>
      <c r="Q29" s="21" t="s">
        <v>223</v>
      </c>
      <c r="R29" s="21" t="s">
        <v>39</v>
      </c>
      <c r="S29" s="21" t="s">
        <v>300</v>
      </c>
    </row>
    <row r="30" spans="1:19" ht="32" x14ac:dyDescent="0.2">
      <c r="A30" s="27" t="s">
        <v>288</v>
      </c>
      <c r="B30" s="19" t="s">
        <v>284</v>
      </c>
      <c r="C30" s="19" t="s">
        <v>220</v>
      </c>
      <c r="D30" s="19" t="s">
        <v>47</v>
      </c>
      <c r="E30" s="19" t="s">
        <v>48</v>
      </c>
      <c r="F30" s="19" t="s">
        <v>612</v>
      </c>
      <c r="G30" s="19" t="s">
        <v>645</v>
      </c>
      <c r="H30" s="31">
        <v>5</v>
      </c>
      <c r="I30" s="32">
        <f t="shared" si="0"/>
        <v>0.45454545454545453</v>
      </c>
      <c r="J30" s="19" t="s">
        <v>34</v>
      </c>
      <c r="K30" s="20" t="s">
        <v>35</v>
      </c>
      <c r="L30" s="19" t="s">
        <v>35</v>
      </c>
      <c r="M30" s="19" t="s">
        <v>35</v>
      </c>
      <c r="N30" s="19" t="s">
        <v>220</v>
      </c>
      <c r="O30" s="19" t="s">
        <v>221</v>
      </c>
      <c r="P30" s="19" t="s">
        <v>222</v>
      </c>
      <c r="Q30" s="19" t="s">
        <v>223</v>
      </c>
      <c r="R30" s="19" t="s">
        <v>39</v>
      </c>
      <c r="S30" s="19" t="s">
        <v>301</v>
      </c>
    </row>
    <row r="31" spans="1:19" ht="32" x14ac:dyDescent="0.2">
      <c r="A31" s="28" t="s">
        <v>288</v>
      </c>
      <c r="B31" s="21" t="s">
        <v>284</v>
      </c>
      <c r="C31" s="21" t="s">
        <v>220</v>
      </c>
      <c r="D31" s="21" t="s">
        <v>47</v>
      </c>
      <c r="E31" s="21" t="s">
        <v>48</v>
      </c>
      <c r="F31" s="19" t="s">
        <v>612</v>
      </c>
      <c r="G31" s="19" t="s">
        <v>645</v>
      </c>
      <c r="H31" s="32">
        <v>80.790000000000006</v>
      </c>
      <c r="I31" s="32">
        <f t="shared" si="0"/>
        <v>7.3445454545454547</v>
      </c>
      <c r="J31" s="21" t="s">
        <v>34</v>
      </c>
      <c r="K31" s="22" t="s">
        <v>35</v>
      </c>
      <c r="L31" s="21" t="s">
        <v>35</v>
      </c>
      <c r="M31" s="21" t="s">
        <v>35</v>
      </c>
      <c r="N31" s="21" t="s">
        <v>220</v>
      </c>
      <c r="O31" s="21" t="s">
        <v>221</v>
      </c>
      <c r="P31" s="21" t="s">
        <v>222</v>
      </c>
      <c r="Q31" s="21" t="s">
        <v>223</v>
      </c>
      <c r="R31" s="21" t="s">
        <v>39</v>
      </c>
      <c r="S31" s="21" t="s">
        <v>302</v>
      </c>
    </row>
    <row r="32" spans="1:19" ht="32" x14ac:dyDescent="0.2">
      <c r="A32" s="27" t="s">
        <v>288</v>
      </c>
      <c r="B32" s="19" t="s">
        <v>284</v>
      </c>
      <c r="C32" s="19" t="s">
        <v>220</v>
      </c>
      <c r="D32" s="19" t="s">
        <v>47</v>
      </c>
      <c r="E32" s="19" t="s">
        <v>48</v>
      </c>
      <c r="F32" s="19" t="s">
        <v>612</v>
      </c>
      <c r="G32" s="19" t="s">
        <v>645</v>
      </c>
      <c r="H32" s="31">
        <v>92.29</v>
      </c>
      <c r="I32" s="32">
        <f t="shared" si="0"/>
        <v>8.39</v>
      </c>
      <c r="J32" s="19" t="s">
        <v>34</v>
      </c>
      <c r="K32" s="20" t="s">
        <v>35</v>
      </c>
      <c r="L32" s="19" t="s">
        <v>35</v>
      </c>
      <c r="M32" s="19" t="s">
        <v>35</v>
      </c>
      <c r="N32" s="19" t="s">
        <v>220</v>
      </c>
      <c r="O32" s="19" t="s">
        <v>221</v>
      </c>
      <c r="P32" s="19" t="s">
        <v>222</v>
      </c>
      <c r="Q32" s="19" t="s">
        <v>223</v>
      </c>
      <c r="R32" s="19" t="s">
        <v>39</v>
      </c>
      <c r="S32" s="19" t="s">
        <v>303</v>
      </c>
    </row>
    <row r="33" spans="1:19" ht="32" x14ac:dyDescent="0.2">
      <c r="A33" s="28" t="s">
        <v>288</v>
      </c>
      <c r="B33" s="21" t="s">
        <v>284</v>
      </c>
      <c r="C33" s="21" t="s">
        <v>304</v>
      </c>
      <c r="D33" s="21" t="s">
        <v>47</v>
      </c>
      <c r="E33" s="21" t="s">
        <v>48</v>
      </c>
      <c r="F33" s="21" t="s">
        <v>612</v>
      </c>
      <c r="G33" s="21" t="s">
        <v>620</v>
      </c>
      <c r="H33" s="32">
        <v>772.5</v>
      </c>
      <c r="I33" s="32">
        <f t="shared" si="0"/>
        <v>70.227272727272734</v>
      </c>
      <c r="J33" s="21" t="s">
        <v>34</v>
      </c>
      <c r="K33" s="22" t="s">
        <v>35</v>
      </c>
      <c r="L33" s="21" t="s">
        <v>35</v>
      </c>
      <c r="M33" s="21" t="s">
        <v>35</v>
      </c>
      <c r="N33" s="21" t="s">
        <v>304</v>
      </c>
      <c r="O33" s="21" t="s">
        <v>305</v>
      </c>
      <c r="P33" s="21" t="s">
        <v>37</v>
      </c>
      <c r="Q33" s="21" t="s">
        <v>38</v>
      </c>
      <c r="R33" s="21" t="s">
        <v>39</v>
      </c>
      <c r="S33" s="21" t="s">
        <v>306</v>
      </c>
    </row>
    <row r="34" spans="1:19" ht="32" x14ac:dyDescent="0.2">
      <c r="A34" s="28" t="s">
        <v>284</v>
      </c>
      <c r="B34" s="21" t="s">
        <v>284</v>
      </c>
      <c r="C34" s="21" t="s">
        <v>285</v>
      </c>
      <c r="D34" s="21" t="s">
        <v>73</v>
      </c>
      <c r="E34" s="21" t="s">
        <v>74</v>
      </c>
      <c r="F34" s="21" t="s">
        <v>612</v>
      </c>
      <c r="G34" s="21" t="s">
        <v>630</v>
      </c>
      <c r="H34" s="32">
        <v>33.369999999999997</v>
      </c>
      <c r="I34" s="32">
        <f t="shared" si="0"/>
        <v>3.0336363636363632</v>
      </c>
      <c r="J34" s="21" t="s">
        <v>34</v>
      </c>
      <c r="K34" s="22" t="s">
        <v>35</v>
      </c>
      <c r="L34" s="21" t="s">
        <v>35</v>
      </c>
      <c r="M34" s="21" t="s">
        <v>35</v>
      </c>
      <c r="N34" s="21" t="s">
        <v>285</v>
      </c>
      <c r="O34" s="21" t="s">
        <v>286</v>
      </c>
      <c r="P34" s="21" t="s">
        <v>37</v>
      </c>
      <c r="Q34" s="21" t="s">
        <v>38</v>
      </c>
      <c r="R34" s="21" t="s">
        <v>39</v>
      </c>
      <c r="S34" s="21" t="s">
        <v>287</v>
      </c>
    </row>
    <row r="35" spans="1:19" ht="32" x14ac:dyDescent="0.2">
      <c r="A35" s="27" t="s">
        <v>267</v>
      </c>
      <c r="B35" s="19" t="s">
        <v>262</v>
      </c>
      <c r="C35" s="19" t="s">
        <v>31</v>
      </c>
      <c r="D35" s="19" t="s">
        <v>32</v>
      </c>
      <c r="E35" s="19" t="s">
        <v>33</v>
      </c>
      <c r="F35" s="19" t="s">
        <v>612</v>
      </c>
      <c r="G35" s="19" t="s">
        <v>617</v>
      </c>
      <c r="H35" s="31">
        <v>45.97</v>
      </c>
      <c r="I35" s="32">
        <f t="shared" si="0"/>
        <v>4.1790909090909087</v>
      </c>
      <c r="J35" s="19" t="s">
        <v>34</v>
      </c>
      <c r="K35" s="20" t="s">
        <v>35</v>
      </c>
      <c r="L35" s="19" t="s">
        <v>35</v>
      </c>
      <c r="M35" s="19" t="s">
        <v>35</v>
      </c>
      <c r="N35" s="19" t="s">
        <v>31</v>
      </c>
      <c r="O35" s="19" t="s">
        <v>36</v>
      </c>
      <c r="P35" s="19" t="s">
        <v>37</v>
      </c>
      <c r="Q35" s="19" t="s">
        <v>38</v>
      </c>
      <c r="R35" s="19" t="s">
        <v>39</v>
      </c>
      <c r="S35" s="19" t="s">
        <v>268</v>
      </c>
    </row>
    <row r="36" spans="1:19" ht="32" x14ac:dyDescent="0.2">
      <c r="A36" s="27" t="s">
        <v>267</v>
      </c>
      <c r="B36" s="19" t="s">
        <v>267</v>
      </c>
      <c r="C36" s="19" t="s">
        <v>463</v>
      </c>
      <c r="D36" s="19" t="s">
        <v>32</v>
      </c>
      <c r="E36" s="19" t="s">
        <v>425</v>
      </c>
      <c r="F36" s="19" t="s">
        <v>612</v>
      </c>
      <c r="G36" s="19" t="s">
        <v>617</v>
      </c>
      <c r="H36" s="31">
        <v>164.99</v>
      </c>
      <c r="I36" s="32">
        <f t="shared" si="0"/>
        <v>14.99909090909091</v>
      </c>
      <c r="J36" s="19" t="s">
        <v>34</v>
      </c>
      <c r="K36" s="20" t="s">
        <v>35</v>
      </c>
      <c r="L36" s="19" t="s">
        <v>35</v>
      </c>
      <c r="M36" s="19" t="s">
        <v>35</v>
      </c>
      <c r="N36" s="19" t="s">
        <v>463</v>
      </c>
      <c r="O36" s="19" t="s">
        <v>464</v>
      </c>
      <c r="P36" s="19" t="s">
        <v>411</v>
      </c>
      <c r="Q36" s="19" t="s">
        <v>412</v>
      </c>
      <c r="R36" s="19" t="s">
        <v>39</v>
      </c>
      <c r="S36" s="19" t="s">
        <v>465</v>
      </c>
    </row>
    <row r="37" spans="1:19" ht="32" x14ac:dyDescent="0.2">
      <c r="A37" s="28" t="s">
        <v>262</v>
      </c>
      <c r="B37" s="21" t="s">
        <v>243</v>
      </c>
      <c r="C37" s="21" t="s">
        <v>460</v>
      </c>
      <c r="D37" s="21" t="s">
        <v>32</v>
      </c>
      <c r="E37" s="21" t="s">
        <v>425</v>
      </c>
      <c r="F37" s="21" t="s">
        <v>612</v>
      </c>
      <c r="G37" s="21" t="s">
        <v>621</v>
      </c>
      <c r="H37" s="32">
        <v>30</v>
      </c>
      <c r="I37" s="32">
        <f t="shared" si="0"/>
        <v>2.7272727272727271</v>
      </c>
      <c r="J37" s="21" t="s">
        <v>34</v>
      </c>
      <c r="K37" s="22" t="s">
        <v>35</v>
      </c>
      <c r="L37" s="21" t="s">
        <v>35</v>
      </c>
      <c r="M37" s="21" t="s">
        <v>35</v>
      </c>
      <c r="N37" s="21" t="s">
        <v>460</v>
      </c>
      <c r="O37" s="21" t="s">
        <v>461</v>
      </c>
      <c r="P37" s="21" t="s">
        <v>37</v>
      </c>
      <c r="Q37" s="21" t="s">
        <v>38</v>
      </c>
      <c r="R37" s="21" t="s">
        <v>39</v>
      </c>
      <c r="S37" s="21" t="s">
        <v>462</v>
      </c>
    </row>
    <row r="38" spans="1:19" ht="32" x14ac:dyDescent="0.2">
      <c r="A38" s="28" t="s">
        <v>262</v>
      </c>
      <c r="B38" s="21" t="s">
        <v>243</v>
      </c>
      <c r="C38" s="21" t="s">
        <v>264</v>
      </c>
      <c r="D38" s="21" t="s">
        <v>47</v>
      </c>
      <c r="E38" s="21" t="s">
        <v>48</v>
      </c>
      <c r="F38" s="21" t="s">
        <v>612</v>
      </c>
      <c r="G38" s="21" t="s">
        <v>629</v>
      </c>
      <c r="H38" s="32">
        <v>324.10000000000002</v>
      </c>
      <c r="I38" s="32">
        <f t="shared" si="0"/>
        <v>29.463636363636365</v>
      </c>
      <c r="J38" s="21" t="s">
        <v>34</v>
      </c>
      <c r="K38" s="22" t="s">
        <v>35</v>
      </c>
      <c r="L38" s="21" t="s">
        <v>35</v>
      </c>
      <c r="M38" s="21" t="s">
        <v>35</v>
      </c>
      <c r="N38" s="21" t="s">
        <v>264</v>
      </c>
      <c r="O38" s="21" t="s">
        <v>265</v>
      </c>
      <c r="P38" s="21" t="s">
        <v>181</v>
      </c>
      <c r="Q38" s="21" t="s">
        <v>182</v>
      </c>
      <c r="R38" s="21" t="s">
        <v>39</v>
      </c>
      <c r="S38" s="21" t="s">
        <v>266</v>
      </c>
    </row>
    <row r="39" spans="1:19" ht="32" x14ac:dyDescent="0.2">
      <c r="A39" s="28" t="s">
        <v>243</v>
      </c>
      <c r="B39" s="21" t="s">
        <v>227</v>
      </c>
      <c r="C39" s="21" t="s">
        <v>251</v>
      </c>
      <c r="D39" s="21" t="s">
        <v>47</v>
      </c>
      <c r="E39" s="21" t="s">
        <v>48</v>
      </c>
      <c r="F39" s="21" t="s">
        <v>612</v>
      </c>
      <c r="G39" s="21" t="s">
        <v>641</v>
      </c>
      <c r="H39" s="32">
        <v>409.79</v>
      </c>
      <c r="I39" s="32">
        <f t="shared" si="0"/>
        <v>37.253636363636367</v>
      </c>
      <c r="J39" s="21" t="s">
        <v>34</v>
      </c>
      <c r="K39" s="22" t="s">
        <v>35</v>
      </c>
      <c r="L39" s="21" t="s">
        <v>35</v>
      </c>
      <c r="M39" s="21" t="s">
        <v>35</v>
      </c>
      <c r="N39" s="21" t="s">
        <v>251</v>
      </c>
      <c r="O39" s="21" t="s">
        <v>252</v>
      </c>
      <c r="P39" s="21" t="s">
        <v>50</v>
      </c>
      <c r="Q39" s="21" t="s">
        <v>51</v>
      </c>
      <c r="R39" s="21" t="s">
        <v>39</v>
      </c>
      <c r="S39" s="21" t="s">
        <v>253</v>
      </c>
    </row>
    <row r="40" spans="1:19" ht="32" x14ac:dyDescent="0.2">
      <c r="A40" s="27" t="s">
        <v>227</v>
      </c>
      <c r="B40" s="19" t="s">
        <v>227</v>
      </c>
      <c r="C40" s="19" t="s">
        <v>31</v>
      </c>
      <c r="D40" s="19" t="s">
        <v>32</v>
      </c>
      <c r="E40" s="19" t="s">
        <v>33</v>
      </c>
      <c r="F40" s="19" t="s">
        <v>612</v>
      </c>
      <c r="G40" s="19" t="s">
        <v>617</v>
      </c>
      <c r="H40" s="31">
        <v>14.99</v>
      </c>
      <c r="I40" s="32">
        <f t="shared" si="0"/>
        <v>1.3627272727272728</v>
      </c>
      <c r="J40" s="19" t="s">
        <v>34</v>
      </c>
      <c r="K40" s="20" t="s">
        <v>35</v>
      </c>
      <c r="L40" s="19" t="s">
        <v>35</v>
      </c>
      <c r="M40" s="19" t="s">
        <v>35</v>
      </c>
      <c r="N40" s="19" t="s">
        <v>31</v>
      </c>
      <c r="O40" s="19" t="s">
        <v>36</v>
      </c>
      <c r="P40" s="19" t="s">
        <v>37</v>
      </c>
      <c r="Q40" s="19" t="s">
        <v>38</v>
      </c>
      <c r="R40" s="19" t="s">
        <v>39</v>
      </c>
      <c r="S40" s="19" t="s">
        <v>234</v>
      </c>
    </row>
    <row r="41" spans="1:19" ht="32" x14ac:dyDescent="0.2">
      <c r="A41" s="28" t="s">
        <v>227</v>
      </c>
      <c r="B41" s="21" t="s">
        <v>204</v>
      </c>
      <c r="C41" s="21" t="s">
        <v>31</v>
      </c>
      <c r="D41" s="21" t="s">
        <v>32</v>
      </c>
      <c r="E41" s="21" t="s">
        <v>33</v>
      </c>
      <c r="F41" s="21" t="s">
        <v>612</v>
      </c>
      <c r="G41" s="21" t="s">
        <v>617</v>
      </c>
      <c r="H41" s="32">
        <v>20.49</v>
      </c>
      <c r="I41" s="32">
        <f t="shared" si="0"/>
        <v>1.8627272727272726</v>
      </c>
      <c r="J41" s="21" t="s">
        <v>34</v>
      </c>
      <c r="K41" s="22" t="s">
        <v>35</v>
      </c>
      <c r="L41" s="21" t="s">
        <v>35</v>
      </c>
      <c r="M41" s="21" t="s">
        <v>35</v>
      </c>
      <c r="N41" s="21" t="s">
        <v>31</v>
      </c>
      <c r="O41" s="21" t="s">
        <v>36</v>
      </c>
      <c r="P41" s="21" t="s">
        <v>37</v>
      </c>
      <c r="Q41" s="21" t="s">
        <v>38</v>
      </c>
      <c r="R41" s="21" t="s">
        <v>39</v>
      </c>
      <c r="S41" s="21" t="s">
        <v>235</v>
      </c>
    </row>
    <row r="42" spans="1:19" ht="16" x14ac:dyDescent="0.2">
      <c r="A42" s="36">
        <v>45678</v>
      </c>
      <c r="B42" s="8"/>
      <c r="C42" s="7" t="s">
        <v>600</v>
      </c>
      <c r="D42" s="8">
        <v>465083897</v>
      </c>
      <c r="E42" s="7" t="s">
        <v>596</v>
      </c>
      <c r="F42" s="21" t="s">
        <v>612</v>
      </c>
      <c r="G42" s="21" t="s">
        <v>617</v>
      </c>
      <c r="H42" s="9">
        <v>264.39</v>
      </c>
      <c r="I42" s="32">
        <f t="shared" si="0"/>
        <v>24.035454545454545</v>
      </c>
      <c r="J42" s="7" t="s">
        <v>597</v>
      </c>
      <c r="K42" s="7">
        <v>14091.17</v>
      </c>
      <c r="L42" s="7" t="s">
        <v>598</v>
      </c>
      <c r="M42" s="7">
        <v>112879</v>
      </c>
      <c r="N42" s="7">
        <v>908</v>
      </c>
      <c r="O42" s="7"/>
      <c r="P42" s="7"/>
      <c r="Q42" s="7"/>
      <c r="R42" s="7"/>
      <c r="S42" s="7"/>
    </row>
    <row r="43" spans="1:19" ht="32" x14ac:dyDescent="0.2">
      <c r="A43" s="27" t="s">
        <v>204</v>
      </c>
      <c r="B43" s="19" t="s">
        <v>204</v>
      </c>
      <c r="C43" s="19" t="s">
        <v>31</v>
      </c>
      <c r="D43" s="19" t="s">
        <v>32</v>
      </c>
      <c r="E43" s="19" t="s">
        <v>33</v>
      </c>
      <c r="F43" s="19" t="s">
        <v>612</v>
      </c>
      <c r="G43" s="19" t="s">
        <v>617</v>
      </c>
      <c r="H43" s="31">
        <v>23.49</v>
      </c>
      <c r="I43" s="32">
        <f t="shared" si="0"/>
        <v>2.1354545454545453</v>
      </c>
      <c r="J43" s="19" t="s">
        <v>34</v>
      </c>
      <c r="K43" s="20" t="s">
        <v>35</v>
      </c>
      <c r="L43" s="19" t="s">
        <v>35</v>
      </c>
      <c r="M43" s="19" t="s">
        <v>35</v>
      </c>
      <c r="N43" s="19" t="s">
        <v>31</v>
      </c>
      <c r="O43" s="19" t="s">
        <v>36</v>
      </c>
      <c r="P43" s="19" t="s">
        <v>37</v>
      </c>
      <c r="Q43" s="19" t="s">
        <v>38</v>
      </c>
      <c r="R43" s="19" t="s">
        <v>39</v>
      </c>
      <c r="S43" s="19" t="s">
        <v>211</v>
      </c>
    </row>
    <row r="44" spans="1:19" ht="32" x14ac:dyDescent="0.2">
      <c r="A44" s="27" t="s">
        <v>204</v>
      </c>
      <c r="B44" s="19" t="s">
        <v>176</v>
      </c>
      <c r="C44" s="19" t="s">
        <v>179</v>
      </c>
      <c r="D44" s="19" t="s">
        <v>47</v>
      </c>
      <c r="E44" s="19" t="s">
        <v>48</v>
      </c>
      <c r="F44" s="19" t="s">
        <v>612</v>
      </c>
      <c r="G44" s="19" t="s">
        <v>631</v>
      </c>
      <c r="H44" s="31">
        <v>5</v>
      </c>
      <c r="I44" s="32">
        <f t="shared" si="0"/>
        <v>0.45454545454545453</v>
      </c>
      <c r="J44" s="19" t="s">
        <v>34</v>
      </c>
      <c r="K44" s="20" t="s">
        <v>35</v>
      </c>
      <c r="L44" s="19" t="s">
        <v>35</v>
      </c>
      <c r="M44" s="19" t="s">
        <v>35</v>
      </c>
      <c r="N44" s="19" t="s">
        <v>179</v>
      </c>
      <c r="O44" s="19" t="s">
        <v>180</v>
      </c>
      <c r="P44" s="19" t="s">
        <v>181</v>
      </c>
      <c r="Q44" s="19" t="s">
        <v>182</v>
      </c>
      <c r="R44" s="19" t="s">
        <v>39</v>
      </c>
      <c r="S44" s="19" t="s">
        <v>218</v>
      </c>
    </row>
    <row r="45" spans="1:19" x14ac:dyDescent="0.2">
      <c r="A45" s="36">
        <v>45679</v>
      </c>
      <c r="B45" s="8"/>
      <c r="C45" s="7" t="s">
        <v>601</v>
      </c>
      <c r="D45" s="8">
        <v>465083897</v>
      </c>
      <c r="E45" s="7" t="s">
        <v>596</v>
      </c>
      <c r="F45" s="7" t="s">
        <v>612</v>
      </c>
      <c r="G45" s="7" t="s">
        <v>636</v>
      </c>
      <c r="H45" s="9">
        <v>1074.1500000000001</v>
      </c>
      <c r="I45" s="32">
        <f t="shared" si="0"/>
        <v>97.65</v>
      </c>
      <c r="J45" s="7" t="s">
        <v>597</v>
      </c>
      <c r="K45" s="7">
        <v>13594.52</v>
      </c>
      <c r="L45" s="7" t="s">
        <v>598</v>
      </c>
      <c r="M45" s="7">
        <v>112879</v>
      </c>
      <c r="N45" s="7">
        <v>946</v>
      </c>
      <c r="O45" s="7"/>
      <c r="P45" s="7"/>
      <c r="Q45" s="7"/>
      <c r="R45" s="7"/>
      <c r="S45" s="7"/>
    </row>
    <row r="46" spans="1:19" x14ac:dyDescent="0.2">
      <c r="A46" s="36">
        <v>45679</v>
      </c>
      <c r="B46" s="8"/>
      <c r="C46" s="7" t="s">
        <v>602</v>
      </c>
      <c r="D46" s="8">
        <v>465083897</v>
      </c>
      <c r="E46" s="7" t="s">
        <v>596</v>
      </c>
      <c r="F46" s="7" t="s">
        <v>612</v>
      </c>
      <c r="G46" s="7" t="s">
        <v>637</v>
      </c>
      <c r="H46" s="9">
        <v>1984.41</v>
      </c>
      <c r="I46" s="32">
        <f t="shared" si="0"/>
        <v>180.4009090909091</v>
      </c>
      <c r="J46" s="7" t="s">
        <v>597</v>
      </c>
      <c r="K46" s="7">
        <v>11610.11</v>
      </c>
      <c r="L46" s="7" t="s">
        <v>598</v>
      </c>
      <c r="M46" s="7">
        <v>112879</v>
      </c>
      <c r="N46" s="7">
        <v>946</v>
      </c>
      <c r="O46" s="7"/>
      <c r="P46" s="7"/>
      <c r="Q46" s="7"/>
      <c r="R46" s="7"/>
      <c r="S46" s="7"/>
    </row>
    <row r="47" spans="1:19" x14ac:dyDescent="0.2">
      <c r="A47" s="36">
        <v>45679</v>
      </c>
      <c r="B47" s="8"/>
      <c r="C47" s="7" t="s">
        <v>603</v>
      </c>
      <c r="D47" s="8">
        <v>465083897</v>
      </c>
      <c r="E47" s="7" t="s">
        <v>596</v>
      </c>
      <c r="F47" s="7" t="s">
        <v>612</v>
      </c>
      <c r="G47" s="7" t="s">
        <v>638</v>
      </c>
      <c r="H47" s="9">
        <v>5643</v>
      </c>
      <c r="I47" s="32">
        <f t="shared" si="0"/>
        <v>513</v>
      </c>
      <c r="J47" s="7" t="s">
        <v>597</v>
      </c>
      <c r="K47" s="7">
        <v>5967.11</v>
      </c>
      <c r="L47" s="7" t="s">
        <v>598</v>
      </c>
      <c r="M47" s="7">
        <v>112879</v>
      </c>
      <c r="N47" s="7">
        <v>946</v>
      </c>
      <c r="O47" s="7"/>
      <c r="P47" s="7"/>
      <c r="Q47" s="7"/>
      <c r="R47" s="7"/>
      <c r="S47" s="7"/>
    </row>
    <row r="48" spans="1:19" ht="32" x14ac:dyDescent="0.2">
      <c r="A48" s="28" t="s">
        <v>204</v>
      </c>
      <c r="B48" s="21" t="s">
        <v>204</v>
      </c>
      <c r="C48" s="21" t="s">
        <v>442</v>
      </c>
      <c r="D48" s="21" t="s">
        <v>32</v>
      </c>
      <c r="E48" s="21" t="s">
        <v>425</v>
      </c>
      <c r="F48" s="21" t="s">
        <v>612</v>
      </c>
      <c r="G48" s="21" t="s">
        <v>617</v>
      </c>
      <c r="H48" s="32">
        <v>89.95</v>
      </c>
      <c r="I48" s="32">
        <f t="shared" si="0"/>
        <v>8.1772727272727277</v>
      </c>
      <c r="J48" s="21" t="s">
        <v>34</v>
      </c>
      <c r="K48" s="22" t="s">
        <v>35</v>
      </c>
      <c r="L48" s="21" t="s">
        <v>35</v>
      </c>
      <c r="M48" s="21" t="s">
        <v>35</v>
      </c>
      <c r="N48" s="21" t="s">
        <v>442</v>
      </c>
      <c r="O48" s="21" t="s">
        <v>443</v>
      </c>
      <c r="P48" s="21" t="s">
        <v>444</v>
      </c>
      <c r="Q48" s="21" t="s">
        <v>445</v>
      </c>
      <c r="R48" s="21" t="s">
        <v>39</v>
      </c>
      <c r="S48" s="21" t="s">
        <v>446</v>
      </c>
    </row>
    <row r="49" spans="1:19" ht="32" x14ac:dyDescent="0.2">
      <c r="A49" s="27" t="s">
        <v>204</v>
      </c>
      <c r="B49" s="19" t="s">
        <v>188</v>
      </c>
      <c r="C49" s="19" t="s">
        <v>220</v>
      </c>
      <c r="D49" s="19" t="s">
        <v>47</v>
      </c>
      <c r="E49" s="19" t="s">
        <v>48</v>
      </c>
      <c r="F49" s="19" t="s">
        <v>612</v>
      </c>
      <c r="G49" s="19" t="s">
        <v>645</v>
      </c>
      <c r="H49" s="31">
        <v>3</v>
      </c>
      <c r="I49" s="32">
        <f t="shared" si="0"/>
        <v>0.27272727272727271</v>
      </c>
      <c r="J49" s="19" t="s">
        <v>34</v>
      </c>
      <c r="K49" s="20" t="s">
        <v>35</v>
      </c>
      <c r="L49" s="19" t="s">
        <v>35</v>
      </c>
      <c r="M49" s="19" t="s">
        <v>35</v>
      </c>
      <c r="N49" s="19" t="s">
        <v>220</v>
      </c>
      <c r="O49" s="19" t="s">
        <v>221</v>
      </c>
      <c r="P49" s="19" t="s">
        <v>222</v>
      </c>
      <c r="Q49" s="19" t="s">
        <v>223</v>
      </c>
      <c r="R49" s="19" t="s">
        <v>39</v>
      </c>
      <c r="S49" s="19" t="s">
        <v>224</v>
      </c>
    </row>
    <row r="50" spans="1:19" ht="32" x14ac:dyDescent="0.2">
      <c r="A50" s="28" t="s">
        <v>204</v>
      </c>
      <c r="B50" s="21" t="s">
        <v>188</v>
      </c>
      <c r="C50" s="21" t="s">
        <v>220</v>
      </c>
      <c r="D50" s="21" t="s">
        <v>47</v>
      </c>
      <c r="E50" s="21" t="s">
        <v>48</v>
      </c>
      <c r="F50" s="19" t="s">
        <v>612</v>
      </c>
      <c r="G50" s="19" t="s">
        <v>645</v>
      </c>
      <c r="H50" s="32">
        <v>3</v>
      </c>
      <c r="I50" s="32">
        <f t="shared" si="0"/>
        <v>0.27272727272727271</v>
      </c>
      <c r="J50" s="21" t="s">
        <v>34</v>
      </c>
      <c r="K50" s="22" t="s">
        <v>35</v>
      </c>
      <c r="L50" s="21" t="s">
        <v>35</v>
      </c>
      <c r="M50" s="21" t="s">
        <v>35</v>
      </c>
      <c r="N50" s="21" t="s">
        <v>220</v>
      </c>
      <c r="O50" s="21" t="s">
        <v>221</v>
      </c>
      <c r="P50" s="21" t="s">
        <v>222</v>
      </c>
      <c r="Q50" s="21" t="s">
        <v>223</v>
      </c>
      <c r="R50" s="21" t="s">
        <v>39</v>
      </c>
      <c r="S50" s="21" t="s">
        <v>225</v>
      </c>
    </row>
    <row r="51" spans="1:19" ht="32" x14ac:dyDescent="0.2">
      <c r="A51" s="27" t="s">
        <v>204</v>
      </c>
      <c r="B51" s="19" t="s">
        <v>188</v>
      </c>
      <c r="C51" s="19" t="s">
        <v>220</v>
      </c>
      <c r="D51" s="19" t="s">
        <v>47</v>
      </c>
      <c r="E51" s="19" t="s">
        <v>48</v>
      </c>
      <c r="F51" s="19" t="s">
        <v>612</v>
      </c>
      <c r="G51" s="19" t="s">
        <v>645</v>
      </c>
      <c r="H51" s="31">
        <v>44.97</v>
      </c>
      <c r="I51" s="32">
        <f t="shared" si="0"/>
        <v>4.0881818181818179</v>
      </c>
      <c r="J51" s="19" t="s">
        <v>34</v>
      </c>
      <c r="K51" s="20" t="s">
        <v>35</v>
      </c>
      <c r="L51" s="19" t="s">
        <v>35</v>
      </c>
      <c r="M51" s="19" t="s">
        <v>35</v>
      </c>
      <c r="N51" s="19" t="s">
        <v>220</v>
      </c>
      <c r="O51" s="19" t="s">
        <v>221</v>
      </c>
      <c r="P51" s="19" t="s">
        <v>222</v>
      </c>
      <c r="Q51" s="19" t="s">
        <v>223</v>
      </c>
      <c r="R51" s="19" t="s">
        <v>39</v>
      </c>
      <c r="S51" s="19" t="s">
        <v>226</v>
      </c>
    </row>
    <row r="52" spans="1:19" ht="32" x14ac:dyDescent="0.2">
      <c r="A52" s="27" t="s">
        <v>188</v>
      </c>
      <c r="B52" s="19" t="s">
        <v>176</v>
      </c>
      <c r="C52" s="19" t="s">
        <v>31</v>
      </c>
      <c r="D52" s="19" t="s">
        <v>32</v>
      </c>
      <c r="E52" s="19" t="s">
        <v>33</v>
      </c>
      <c r="F52" s="19" t="s">
        <v>612</v>
      </c>
      <c r="G52" s="19" t="s">
        <v>617</v>
      </c>
      <c r="H52" s="31">
        <v>4.49</v>
      </c>
      <c r="I52" s="32">
        <f t="shared" si="0"/>
        <v>0.4081818181818182</v>
      </c>
      <c r="J52" s="19" t="s">
        <v>34</v>
      </c>
      <c r="K52" s="20" t="s">
        <v>35</v>
      </c>
      <c r="L52" s="19" t="s">
        <v>35</v>
      </c>
      <c r="M52" s="19" t="s">
        <v>35</v>
      </c>
      <c r="N52" s="19" t="s">
        <v>31</v>
      </c>
      <c r="O52" s="19" t="s">
        <v>36</v>
      </c>
      <c r="P52" s="19" t="s">
        <v>37</v>
      </c>
      <c r="Q52" s="19" t="s">
        <v>38</v>
      </c>
      <c r="R52" s="19" t="s">
        <v>39</v>
      </c>
      <c r="S52" s="19" t="s">
        <v>189</v>
      </c>
    </row>
    <row r="53" spans="1:19" ht="32" x14ac:dyDescent="0.2">
      <c r="A53" s="28" t="s">
        <v>176</v>
      </c>
      <c r="B53" s="21" t="s">
        <v>176</v>
      </c>
      <c r="C53" s="21" t="s">
        <v>31</v>
      </c>
      <c r="D53" s="21" t="s">
        <v>47</v>
      </c>
      <c r="E53" s="21" t="s">
        <v>48</v>
      </c>
      <c r="F53" s="21" t="s">
        <v>612</v>
      </c>
      <c r="G53" s="21" t="s">
        <v>617</v>
      </c>
      <c r="H53" s="32">
        <v>1.49</v>
      </c>
      <c r="I53" s="32">
        <f t="shared" si="0"/>
        <v>0.13545454545454547</v>
      </c>
      <c r="J53" s="21" t="s">
        <v>34</v>
      </c>
      <c r="K53" s="22" t="s">
        <v>35</v>
      </c>
      <c r="L53" s="21" t="s">
        <v>35</v>
      </c>
      <c r="M53" s="21" t="s">
        <v>35</v>
      </c>
      <c r="N53" s="21" t="s">
        <v>31</v>
      </c>
      <c r="O53" s="21" t="s">
        <v>36</v>
      </c>
      <c r="P53" s="21" t="s">
        <v>37</v>
      </c>
      <c r="Q53" s="21" t="s">
        <v>38</v>
      </c>
      <c r="R53" s="21" t="s">
        <v>39</v>
      </c>
      <c r="S53" s="21" t="s">
        <v>177</v>
      </c>
    </row>
    <row r="54" spans="1:19" ht="32" x14ac:dyDescent="0.2">
      <c r="A54" s="28" t="s">
        <v>176</v>
      </c>
      <c r="B54" s="21" t="s">
        <v>158</v>
      </c>
      <c r="C54" s="21" t="s">
        <v>179</v>
      </c>
      <c r="D54" s="21" t="s">
        <v>47</v>
      </c>
      <c r="E54" s="21" t="s">
        <v>48</v>
      </c>
      <c r="F54" s="21" t="s">
        <v>612</v>
      </c>
      <c r="G54" s="21" t="s">
        <v>631</v>
      </c>
      <c r="H54" s="32">
        <v>5</v>
      </c>
      <c r="I54" s="32">
        <f t="shared" si="0"/>
        <v>0.45454545454545453</v>
      </c>
      <c r="J54" s="21" t="s">
        <v>34</v>
      </c>
      <c r="K54" s="22" t="s">
        <v>35</v>
      </c>
      <c r="L54" s="21" t="s">
        <v>35</v>
      </c>
      <c r="M54" s="21" t="s">
        <v>35</v>
      </c>
      <c r="N54" s="21" t="s">
        <v>179</v>
      </c>
      <c r="O54" s="21" t="s">
        <v>180</v>
      </c>
      <c r="P54" s="21" t="s">
        <v>181</v>
      </c>
      <c r="Q54" s="21" t="s">
        <v>182</v>
      </c>
      <c r="R54" s="21" t="s">
        <v>39</v>
      </c>
      <c r="S54" s="21" t="s">
        <v>183</v>
      </c>
    </row>
    <row r="55" spans="1:19" ht="48" x14ac:dyDescent="0.2">
      <c r="A55" s="27" t="s">
        <v>176</v>
      </c>
      <c r="B55" s="19" t="s">
        <v>176</v>
      </c>
      <c r="C55" s="19" t="s">
        <v>112</v>
      </c>
      <c r="D55" s="19" t="s">
        <v>47</v>
      </c>
      <c r="E55" s="19" t="s">
        <v>48</v>
      </c>
      <c r="F55" s="19" t="s">
        <v>612</v>
      </c>
      <c r="G55" s="19" t="s">
        <v>629</v>
      </c>
      <c r="H55" s="31">
        <v>3.83</v>
      </c>
      <c r="I55" s="32">
        <f t="shared" si="0"/>
        <v>0.3481818181818182</v>
      </c>
      <c r="J55" s="19" t="s">
        <v>34</v>
      </c>
      <c r="K55" s="20" t="s">
        <v>35</v>
      </c>
      <c r="L55" s="19" t="s">
        <v>35</v>
      </c>
      <c r="M55" s="19" t="s">
        <v>35</v>
      </c>
      <c r="N55" s="19" t="s">
        <v>112</v>
      </c>
      <c r="O55" s="19" t="s">
        <v>113</v>
      </c>
      <c r="P55" s="19" t="s">
        <v>114</v>
      </c>
      <c r="Q55" s="19" t="s">
        <v>115</v>
      </c>
      <c r="R55" s="19" t="s">
        <v>39</v>
      </c>
      <c r="S55" s="19" t="s">
        <v>184</v>
      </c>
    </row>
    <row r="56" spans="1:19" ht="32" x14ac:dyDescent="0.2">
      <c r="A56" s="28" t="s">
        <v>176</v>
      </c>
      <c r="B56" s="21" t="s">
        <v>158</v>
      </c>
      <c r="C56" s="21" t="s">
        <v>185</v>
      </c>
      <c r="D56" s="21" t="s">
        <v>47</v>
      </c>
      <c r="E56" s="21" t="s">
        <v>48</v>
      </c>
      <c r="F56" s="21" t="s">
        <v>612</v>
      </c>
      <c r="G56" s="21" t="s">
        <v>640</v>
      </c>
      <c r="H56" s="32">
        <v>64.900000000000006</v>
      </c>
      <c r="I56" s="32">
        <f t="shared" si="0"/>
        <v>5.9</v>
      </c>
      <c r="J56" s="21" t="s">
        <v>34</v>
      </c>
      <c r="K56" s="22" t="s">
        <v>35</v>
      </c>
      <c r="L56" s="21" t="s">
        <v>35</v>
      </c>
      <c r="M56" s="21" t="s">
        <v>35</v>
      </c>
      <c r="N56" s="21" t="s">
        <v>185</v>
      </c>
      <c r="O56" s="21" t="s">
        <v>186</v>
      </c>
      <c r="P56" s="21" t="s">
        <v>76</v>
      </c>
      <c r="Q56" s="21" t="s">
        <v>77</v>
      </c>
      <c r="R56" s="21" t="s">
        <v>39</v>
      </c>
      <c r="S56" s="21" t="s">
        <v>187</v>
      </c>
    </row>
    <row r="57" spans="1:19" ht="32" x14ac:dyDescent="0.2">
      <c r="A57" s="27" t="s">
        <v>168</v>
      </c>
      <c r="B57" s="19" t="s">
        <v>158</v>
      </c>
      <c r="C57" s="19" t="s">
        <v>31</v>
      </c>
      <c r="D57" s="19" t="s">
        <v>32</v>
      </c>
      <c r="E57" s="19" t="s">
        <v>33</v>
      </c>
      <c r="F57" s="19" t="s">
        <v>612</v>
      </c>
      <c r="G57" s="19" t="s">
        <v>617</v>
      </c>
      <c r="H57" s="31">
        <v>7.99</v>
      </c>
      <c r="I57" s="32">
        <f t="shared" si="0"/>
        <v>0.72636363636363643</v>
      </c>
      <c r="J57" s="19" t="s">
        <v>649</v>
      </c>
      <c r="K57" s="20" t="s">
        <v>35</v>
      </c>
      <c r="L57" s="19" t="s">
        <v>35</v>
      </c>
      <c r="M57" s="19" t="s">
        <v>35</v>
      </c>
      <c r="N57" s="19" t="s">
        <v>31</v>
      </c>
      <c r="O57" s="19" t="s">
        <v>36</v>
      </c>
      <c r="P57" s="19" t="s">
        <v>37</v>
      </c>
      <c r="Q57" s="19" t="s">
        <v>38</v>
      </c>
      <c r="R57" s="19" t="s">
        <v>39</v>
      </c>
      <c r="S57" s="19" t="s">
        <v>169</v>
      </c>
    </row>
    <row r="58" spans="1:19" ht="32" x14ac:dyDescent="0.2">
      <c r="A58" s="28" t="s">
        <v>158</v>
      </c>
      <c r="B58" s="21" t="s">
        <v>124</v>
      </c>
      <c r="C58" s="21" t="s">
        <v>159</v>
      </c>
      <c r="D58" s="21" t="s">
        <v>47</v>
      </c>
      <c r="E58" s="21" t="s">
        <v>48</v>
      </c>
      <c r="F58" s="21" t="s">
        <v>612</v>
      </c>
      <c r="G58" s="21" t="s">
        <v>623</v>
      </c>
      <c r="H58" s="32">
        <v>102.3</v>
      </c>
      <c r="I58" s="32">
        <f t="shared" si="0"/>
        <v>9.2999999999999989</v>
      </c>
      <c r="J58" s="21" t="s">
        <v>34</v>
      </c>
      <c r="K58" s="22" t="s">
        <v>35</v>
      </c>
      <c r="L58" s="21" t="s">
        <v>35</v>
      </c>
      <c r="M58" s="21" t="s">
        <v>160</v>
      </c>
      <c r="N58" s="21" t="s">
        <v>159</v>
      </c>
      <c r="O58" s="21" t="s">
        <v>161</v>
      </c>
      <c r="P58" s="21" t="s">
        <v>37</v>
      </c>
      <c r="Q58" s="21" t="s">
        <v>38</v>
      </c>
      <c r="R58" s="21" t="s">
        <v>39</v>
      </c>
      <c r="S58" s="21" t="s">
        <v>162</v>
      </c>
    </row>
    <row r="59" spans="1:19" ht="32" x14ac:dyDescent="0.2">
      <c r="A59" s="27" t="s">
        <v>158</v>
      </c>
      <c r="B59" s="19" t="s">
        <v>158</v>
      </c>
      <c r="C59" s="19" t="s">
        <v>430</v>
      </c>
      <c r="D59" s="19" t="s">
        <v>32</v>
      </c>
      <c r="E59" s="19" t="s">
        <v>425</v>
      </c>
      <c r="F59" s="19" t="s">
        <v>612</v>
      </c>
      <c r="G59" s="19" t="s">
        <v>626</v>
      </c>
      <c r="H59" s="31">
        <v>26.95</v>
      </c>
      <c r="I59" s="32">
        <f t="shared" si="0"/>
        <v>2.4499999999999997</v>
      </c>
      <c r="J59" s="19" t="s">
        <v>34</v>
      </c>
      <c r="K59" s="20" t="s">
        <v>35</v>
      </c>
      <c r="L59" s="19" t="s">
        <v>35</v>
      </c>
      <c r="M59" s="19" t="s">
        <v>35</v>
      </c>
      <c r="N59" s="19" t="s">
        <v>430</v>
      </c>
      <c r="O59" s="19" t="s">
        <v>431</v>
      </c>
      <c r="P59" s="19" t="s">
        <v>432</v>
      </c>
      <c r="Q59" s="19" t="s">
        <v>433</v>
      </c>
      <c r="R59" s="19" t="s">
        <v>39</v>
      </c>
      <c r="S59" s="19" t="s">
        <v>434</v>
      </c>
    </row>
    <row r="60" spans="1:19" ht="48" x14ac:dyDescent="0.2">
      <c r="A60" s="27" t="s">
        <v>158</v>
      </c>
      <c r="B60" s="19" t="s">
        <v>158</v>
      </c>
      <c r="C60" s="19" t="s">
        <v>112</v>
      </c>
      <c r="D60" s="19" t="s">
        <v>47</v>
      </c>
      <c r="E60" s="19" t="s">
        <v>48</v>
      </c>
      <c r="F60" s="19" t="s">
        <v>612</v>
      </c>
      <c r="G60" s="19" t="s">
        <v>629</v>
      </c>
      <c r="H60" s="31">
        <v>4.74</v>
      </c>
      <c r="I60" s="32">
        <f t="shared" si="0"/>
        <v>0.43090909090909091</v>
      </c>
      <c r="J60" s="19" t="s">
        <v>34</v>
      </c>
      <c r="K60" s="20" t="s">
        <v>35</v>
      </c>
      <c r="L60" s="19" t="s">
        <v>35</v>
      </c>
      <c r="M60" s="19" t="s">
        <v>35</v>
      </c>
      <c r="N60" s="19" t="s">
        <v>112</v>
      </c>
      <c r="O60" s="19" t="s">
        <v>113</v>
      </c>
      <c r="P60" s="19" t="s">
        <v>114</v>
      </c>
      <c r="Q60" s="19" t="s">
        <v>115</v>
      </c>
      <c r="R60" s="19" t="s">
        <v>39</v>
      </c>
      <c r="S60" s="19" t="s">
        <v>166</v>
      </c>
    </row>
    <row r="61" spans="1:19" ht="48" x14ac:dyDescent="0.2">
      <c r="A61" s="28" t="s">
        <v>95</v>
      </c>
      <c r="B61" s="21" t="s">
        <v>95</v>
      </c>
      <c r="C61" s="21" t="s">
        <v>112</v>
      </c>
      <c r="D61" s="21" t="s">
        <v>47</v>
      </c>
      <c r="E61" s="21" t="s">
        <v>48</v>
      </c>
      <c r="F61" s="19" t="s">
        <v>612</v>
      </c>
      <c r="G61" s="19" t="s">
        <v>629</v>
      </c>
      <c r="H61" s="32">
        <v>15.33</v>
      </c>
      <c r="I61" s="32">
        <f t="shared" si="0"/>
        <v>1.3936363636363636</v>
      </c>
      <c r="J61" s="21" t="s">
        <v>34</v>
      </c>
      <c r="K61" s="22" t="s">
        <v>35</v>
      </c>
      <c r="L61" s="21" t="s">
        <v>35</v>
      </c>
      <c r="M61" s="21" t="s">
        <v>35</v>
      </c>
      <c r="N61" s="21" t="s">
        <v>112</v>
      </c>
      <c r="O61" s="21" t="s">
        <v>113</v>
      </c>
      <c r="P61" s="21" t="s">
        <v>114</v>
      </c>
      <c r="Q61" s="21" t="s">
        <v>115</v>
      </c>
      <c r="R61" s="21" t="s">
        <v>39</v>
      </c>
      <c r="S61" s="21" t="s">
        <v>116</v>
      </c>
    </row>
    <row r="62" spans="1:19" ht="32" x14ac:dyDescent="0.2">
      <c r="A62" s="27" t="s">
        <v>29</v>
      </c>
      <c r="B62" s="19" t="s">
        <v>30</v>
      </c>
      <c r="C62" s="19" t="s">
        <v>31</v>
      </c>
      <c r="D62" s="19" t="s">
        <v>32</v>
      </c>
      <c r="E62" s="19" t="s">
        <v>33</v>
      </c>
      <c r="F62" s="19" t="s">
        <v>612</v>
      </c>
      <c r="G62" s="19" t="s">
        <v>617</v>
      </c>
      <c r="H62" s="31">
        <v>1.49</v>
      </c>
      <c r="I62" s="32">
        <f t="shared" si="0"/>
        <v>0.13545454545454547</v>
      </c>
      <c r="J62" s="19" t="s">
        <v>34</v>
      </c>
      <c r="K62" s="20" t="s">
        <v>35</v>
      </c>
      <c r="L62" s="19" t="s">
        <v>35</v>
      </c>
      <c r="M62" s="19" t="s">
        <v>35</v>
      </c>
      <c r="N62" s="19" t="s">
        <v>31</v>
      </c>
      <c r="O62" s="19" t="s">
        <v>36</v>
      </c>
      <c r="P62" s="19" t="s">
        <v>37</v>
      </c>
      <c r="Q62" s="19" t="s">
        <v>38</v>
      </c>
      <c r="R62" s="19" t="s">
        <v>39</v>
      </c>
      <c r="S62" s="19" t="s">
        <v>40</v>
      </c>
    </row>
    <row r="63" spans="1:19" ht="32" x14ac:dyDescent="0.2">
      <c r="A63" s="28" t="s">
        <v>417</v>
      </c>
      <c r="B63" s="21" t="s">
        <v>414</v>
      </c>
      <c r="C63" s="21" t="s">
        <v>536</v>
      </c>
      <c r="D63" s="21" t="s">
        <v>32</v>
      </c>
      <c r="E63" s="21" t="s">
        <v>425</v>
      </c>
      <c r="F63" s="21" t="s">
        <v>615</v>
      </c>
      <c r="G63" s="21" t="s">
        <v>620</v>
      </c>
      <c r="H63" s="32">
        <v>411.96</v>
      </c>
      <c r="I63" s="32"/>
      <c r="J63" s="21" t="s">
        <v>537</v>
      </c>
      <c r="K63" s="22">
        <v>12</v>
      </c>
      <c r="L63" s="21" t="s">
        <v>35</v>
      </c>
      <c r="M63" s="21" t="s">
        <v>35</v>
      </c>
      <c r="N63" s="21" t="s">
        <v>536</v>
      </c>
      <c r="O63" s="21" t="s">
        <v>538</v>
      </c>
      <c r="P63" s="21" t="s">
        <v>539</v>
      </c>
      <c r="Q63" s="21" t="s">
        <v>540</v>
      </c>
      <c r="R63" s="21" t="s">
        <v>85</v>
      </c>
      <c r="S63" s="21" t="s">
        <v>541</v>
      </c>
    </row>
    <row r="64" spans="1:19" ht="16" x14ac:dyDescent="0.2">
      <c r="A64" s="28" t="s">
        <v>414</v>
      </c>
      <c r="B64" s="21" t="s">
        <v>414</v>
      </c>
      <c r="C64" s="21" t="s">
        <v>53</v>
      </c>
      <c r="D64" s="21" t="s">
        <v>32</v>
      </c>
      <c r="E64" s="21" t="s">
        <v>33</v>
      </c>
      <c r="F64" s="21" t="s">
        <v>615</v>
      </c>
      <c r="G64" s="21" t="s">
        <v>619</v>
      </c>
      <c r="H64" s="32">
        <v>6</v>
      </c>
      <c r="I64" s="32"/>
      <c r="J64" s="21" t="s">
        <v>34</v>
      </c>
      <c r="K64" s="22" t="s">
        <v>35</v>
      </c>
      <c r="L64" s="21" t="s">
        <v>35</v>
      </c>
      <c r="M64" s="21" t="s">
        <v>35</v>
      </c>
      <c r="N64" s="21" t="s">
        <v>53</v>
      </c>
      <c r="O64" s="21" t="s">
        <v>35</v>
      </c>
      <c r="P64" s="21" t="s">
        <v>35</v>
      </c>
      <c r="Q64" s="21" t="s">
        <v>35</v>
      </c>
      <c r="R64" s="21" t="s">
        <v>35</v>
      </c>
      <c r="S64" s="21" t="s">
        <v>415</v>
      </c>
    </row>
    <row r="65" spans="1:19" ht="32" x14ac:dyDescent="0.2">
      <c r="A65" s="28" t="s">
        <v>379</v>
      </c>
      <c r="B65" s="21" t="s">
        <v>361</v>
      </c>
      <c r="C65" s="21" t="s">
        <v>389</v>
      </c>
      <c r="D65" s="21" t="s">
        <v>47</v>
      </c>
      <c r="E65" s="21" t="s">
        <v>48</v>
      </c>
      <c r="F65" s="21" t="s">
        <v>615</v>
      </c>
      <c r="G65" s="21" t="s">
        <v>617</v>
      </c>
      <c r="H65" s="32">
        <v>100.89</v>
      </c>
      <c r="I65" s="32"/>
      <c r="J65" s="21" t="s">
        <v>390</v>
      </c>
      <c r="K65" s="22">
        <v>2.94</v>
      </c>
      <c r="L65" s="21" t="s">
        <v>35</v>
      </c>
      <c r="M65" s="21" t="s">
        <v>35</v>
      </c>
      <c r="N65" s="21" t="s">
        <v>389</v>
      </c>
      <c r="O65" s="21" t="s">
        <v>391</v>
      </c>
      <c r="P65" s="21" t="s">
        <v>35</v>
      </c>
      <c r="Q65" s="21" t="s">
        <v>392</v>
      </c>
      <c r="R65" s="21" t="s">
        <v>393</v>
      </c>
      <c r="S65" s="21" t="s">
        <v>394</v>
      </c>
    </row>
    <row r="66" spans="1:19" ht="48" x14ac:dyDescent="0.2">
      <c r="A66" s="28" t="s">
        <v>361</v>
      </c>
      <c r="B66" s="21" t="s">
        <v>348</v>
      </c>
      <c r="C66" s="21" t="s">
        <v>369</v>
      </c>
      <c r="D66" s="21" t="s">
        <v>32</v>
      </c>
      <c r="E66" s="21" t="s">
        <v>33</v>
      </c>
      <c r="F66" s="21" t="s">
        <v>615</v>
      </c>
      <c r="G66" s="21" t="s">
        <v>617</v>
      </c>
      <c r="H66" s="32">
        <v>59</v>
      </c>
      <c r="I66" s="32"/>
      <c r="J66" s="21" t="s">
        <v>34</v>
      </c>
      <c r="K66" s="22" t="s">
        <v>35</v>
      </c>
      <c r="L66" s="21" t="s">
        <v>35</v>
      </c>
      <c r="M66" s="21" t="s">
        <v>35</v>
      </c>
      <c r="N66" s="21" t="s">
        <v>369</v>
      </c>
      <c r="O66" s="21" t="s">
        <v>370</v>
      </c>
      <c r="P66" s="21" t="s">
        <v>35</v>
      </c>
      <c r="Q66" s="21" t="s">
        <v>371</v>
      </c>
      <c r="R66" s="21" t="s">
        <v>372</v>
      </c>
      <c r="S66" s="21" t="s">
        <v>373</v>
      </c>
    </row>
    <row r="67" spans="1:19" x14ac:dyDescent="0.2">
      <c r="A67" s="36">
        <v>45665</v>
      </c>
      <c r="B67" s="38"/>
      <c r="C67" s="7" t="s">
        <v>564</v>
      </c>
      <c r="D67" s="8" t="s">
        <v>544</v>
      </c>
      <c r="E67" s="7" t="s">
        <v>545</v>
      </c>
      <c r="F67" s="7" t="s">
        <v>615</v>
      </c>
      <c r="G67" s="7" t="s">
        <v>616</v>
      </c>
      <c r="H67" s="9">
        <v>12.68</v>
      </c>
      <c r="I67" s="9"/>
      <c r="J67" s="7"/>
      <c r="K67" s="7"/>
      <c r="L67" s="7"/>
      <c r="M67" s="7"/>
      <c r="N67" s="7"/>
      <c r="O67" s="7"/>
      <c r="P67" s="7"/>
      <c r="Q67" s="7"/>
      <c r="R67" s="7"/>
      <c r="S67" s="7"/>
    </row>
    <row r="68" spans="1:19" ht="48" x14ac:dyDescent="0.2">
      <c r="A68" s="28" t="s">
        <v>348</v>
      </c>
      <c r="B68" s="21" t="s">
        <v>341</v>
      </c>
      <c r="C68" s="21" t="s">
        <v>493</v>
      </c>
      <c r="D68" s="21" t="s">
        <v>32</v>
      </c>
      <c r="E68" s="21" t="s">
        <v>425</v>
      </c>
      <c r="F68" s="21" t="s">
        <v>615</v>
      </c>
      <c r="G68" s="21" t="s">
        <v>617</v>
      </c>
      <c r="H68" s="32">
        <v>257.62</v>
      </c>
      <c r="I68" s="32"/>
      <c r="J68" s="21" t="s">
        <v>494</v>
      </c>
      <c r="K68" s="22">
        <v>7.5</v>
      </c>
      <c r="L68" s="21" t="s">
        <v>35</v>
      </c>
      <c r="M68" s="21" t="s">
        <v>35</v>
      </c>
      <c r="N68" s="21" t="s">
        <v>493</v>
      </c>
      <c r="O68" s="21" t="s">
        <v>495</v>
      </c>
      <c r="P68" s="21" t="s">
        <v>35</v>
      </c>
      <c r="Q68" s="21" t="s">
        <v>496</v>
      </c>
      <c r="R68" s="21" t="s">
        <v>497</v>
      </c>
      <c r="S68" s="21" t="s">
        <v>498</v>
      </c>
    </row>
    <row r="69" spans="1:19" ht="32" x14ac:dyDescent="0.2">
      <c r="A69" s="27" t="s">
        <v>348</v>
      </c>
      <c r="B69" s="19" t="s">
        <v>341</v>
      </c>
      <c r="C69" s="19" t="s">
        <v>353</v>
      </c>
      <c r="D69" s="19" t="s">
        <v>47</v>
      </c>
      <c r="E69" s="19" t="s">
        <v>48</v>
      </c>
      <c r="F69" s="19" t="s">
        <v>615</v>
      </c>
      <c r="G69" s="19" t="s">
        <v>626</v>
      </c>
      <c r="H69" s="31">
        <v>179.85</v>
      </c>
      <c r="I69" s="31"/>
      <c r="J69" s="19" t="s">
        <v>354</v>
      </c>
      <c r="K69" s="20">
        <v>5.24</v>
      </c>
      <c r="L69" s="19" t="s">
        <v>35</v>
      </c>
      <c r="M69" s="19" t="s">
        <v>35</v>
      </c>
      <c r="N69" s="19" t="s">
        <v>353</v>
      </c>
      <c r="O69" s="19" t="s">
        <v>355</v>
      </c>
      <c r="P69" s="19" t="s">
        <v>109</v>
      </c>
      <c r="Q69" s="19" t="s">
        <v>356</v>
      </c>
      <c r="R69" s="19" t="s">
        <v>85</v>
      </c>
      <c r="S69" s="19" t="s">
        <v>357</v>
      </c>
    </row>
    <row r="70" spans="1:19" x14ac:dyDescent="0.2">
      <c r="A70" s="36">
        <v>45670</v>
      </c>
      <c r="B70" s="8"/>
      <c r="C70" s="7" t="s">
        <v>595</v>
      </c>
      <c r="D70" s="8">
        <v>465083897</v>
      </c>
      <c r="E70" s="7" t="s">
        <v>596</v>
      </c>
      <c r="F70" s="7" t="s">
        <v>615</v>
      </c>
      <c r="G70" s="7" t="s">
        <v>635</v>
      </c>
      <c r="H70" s="9">
        <v>140</v>
      </c>
      <c r="I70" s="9"/>
      <c r="J70" s="7" t="s">
        <v>597</v>
      </c>
      <c r="K70" s="7">
        <v>14495.56</v>
      </c>
      <c r="L70" s="7" t="s">
        <v>598</v>
      </c>
      <c r="M70" s="7">
        <v>112879</v>
      </c>
      <c r="N70" s="7">
        <v>946</v>
      </c>
      <c r="O70" s="7"/>
      <c r="P70" s="7"/>
      <c r="Q70" s="7"/>
      <c r="R70" s="7"/>
      <c r="S70" s="7"/>
    </row>
    <row r="71" spans="1:19" ht="64" x14ac:dyDescent="0.2">
      <c r="A71" s="28" t="s">
        <v>307</v>
      </c>
      <c r="B71" s="21" t="s">
        <v>284</v>
      </c>
      <c r="C71" s="21" t="s">
        <v>481</v>
      </c>
      <c r="D71" s="21" t="s">
        <v>32</v>
      </c>
      <c r="E71" s="21" t="s">
        <v>425</v>
      </c>
      <c r="F71" s="21" t="s">
        <v>615</v>
      </c>
      <c r="G71" s="21" t="s">
        <v>617</v>
      </c>
      <c r="H71" s="32">
        <v>79.989999999999995</v>
      </c>
      <c r="I71" s="32"/>
      <c r="J71" s="21" t="s">
        <v>34</v>
      </c>
      <c r="K71" s="22" t="s">
        <v>35</v>
      </c>
      <c r="L71" s="21" t="s">
        <v>35</v>
      </c>
      <c r="M71" s="21" t="s">
        <v>35</v>
      </c>
      <c r="N71" s="21" t="s">
        <v>481</v>
      </c>
      <c r="O71" s="21" t="s">
        <v>482</v>
      </c>
      <c r="P71" s="21" t="s">
        <v>35</v>
      </c>
      <c r="Q71" s="21" t="s">
        <v>483</v>
      </c>
      <c r="R71" s="21" t="s">
        <v>65</v>
      </c>
      <c r="S71" s="21" t="s">
        <v>484</v>
      </c>
    </row>
    <row r="72" spans="1:19" ht="32" x14ac:dyDescent="0.2">
      <c r="A72" s="27" t="s">
        <v>288</v>
      </c>
      <c r="B72" s="19" t="s">
        <v>284</v>
      </c>
      <c r="C72" s="19" t="s">
        <v>475</v>
      </c>
      <c r="D72" s="19" t="s">
        <v>32</v>
      </c>
      <c r="E72" s="19" t="s">
        <v>425</v>
      </c>
      <c r="F72" s="19" t="s">
        <v>615</v>
      </c>
      <c r="G72" s="19" t="s">
        <v>617</v>
      </c>
      <c r="H72" s="31">
        <v>36.67</v>
      </c>
      <c r="I72" s="31"/>
      <c r="J72" s="19" t="s">
        <v>476</v>
      </c>
      <c r="K72" s="20">
        <v>1.07</v>
      </c>
      <c r="L72" s="19" t="s">
        <v>35</v>
      </c>
      <c r="M72" s="19" t="s">
        <v>35</v>
      </c>
      <c r="N72" s="19" t="s">
        <v>475</v>
      </c>
      <c r="O72" s="19" t="s">
        <v>477</v>
      </c>
      <c r="P72" s="19" t="s">
        <v>35</v>
      </c>
      <c r="Q72" s="19" t="s">
        <v>478</v>
      </c>
      <c r="R72" s="19" t="s">
        <v>479</v>
      </c>
      <c r="S72" s="19" t="s">
        <v>480</v>
      </c>
    </row>
    <row r="73" spans="1:19" ht="48" x14ac:dyDescent="0.2">
      <c r="A73" s="27" t="s">
        <v>276</v>
      </c>
      <c r="B73" s="19" t="s">
        <v>262</v>
      </c>
      <c r="C73" s="19" t="s">
        <v>279</v>
      </c>
      <c r="D73" s="19" t="s">
        <v>47</v>
      </c>
      <c r="E73" s="19" t="s">
        <v>48</v>
      </c>
      <c r="F73" s="19" t="s">
        <v>615</v>
      </c>
      <c r="G73" s="19" t="s">
        <v>626</v>
      </c>
      <c r="H73" s="31">
        <v>50</v>
      </c>
      <c r="I73" s="31"/>
      <c r="J73" s="19" t="s">
        <v>34</v>
      </c>
      <c r="K73" s="20" t="s">
        <v>35</v>
      </c>
      <c r="L73" s="19" t="s">
        <v>35</v>
      </c>
      <c r="M73" s="19" t="s">
        <v>280</v>
      </c>
      <c r="N73" s="19" t="s">
        <v>279</v>
      </c>
      <c r="O73" s="19" t="s">
        <v>142</v>
      </c>
      <c r="P73" s="19" t="s">
        <v>281</v>
      </c>
      <c r="Q73" s="19" t="s">
        <v>282</v>
      </c>
      <c r="R73" s="19" t="s">
        <v>145</v>
      </c>
      <c r="S73" s="19" t="s">
        <v>283</v>
      </c>
    </row>
    <row r="74" spans="1:19" ht="32" x14ac:dyDescent="0.2">
      <c r="A74" s="28" t="s">
        <v>267</v>
      </c>
      <c r="B74" s="21" t="s">
        <v>262</v>
      </c>
      <c r="C74" s="21" t="s">
        <v>269</v>
      </c>
      <c r="D74" s="21" t="s">
        <v>47</v>
      </c>
      <c r="E74" s="21" t="s">
        <v>48</v>
      </c>
      <c r="F74" s="21" t="s">
        <v>615</v>
      </c>
      <c r="G74" s="21" t="s">
        <v>617</v>
      </c>
      <c r="H74" s="32">
        <v>175.48</v>
      </c>
      <c r="I74" s="32"/>
      <c r="J74" s="21" t="s">
        <v>270</v>
      </c>
      <c r="K74" s="22">
        <v>5.1100000000000003</v>
      </c>
      <c r="L74" s="21" t="s">
        <v>35</v>
      </c>
      <c r="M74" s="21" t="s">
        <v>35</v>
      </c>
      <c r="N74" s="21" t="s">
        <v>269</v>
      </c>
      <c r="O74" s="21" t="s">
        <v>271</v>
      </c>
      <c r="P74" s="21" t="s">
        <v>272</v>
      </c>
      <c r="Q74" s="21" t="s">
        <v>273</v>
      </c>
      <c r="R74" s="21" t="s">
        <v>274</v>
      </c>
      <c r="S74" s="21" t="s">
        <v>275</v>
      </c>
    </row>
    <row r="75" spans="1:19" ht="32" x14ac:dyDescent="0.2">
      <c r="A75" s="28" t="s">
        <v>267</v>
      </c>
      <c r="B75" s="21" t="s">
        <v>262</v>
      </c>
      <c r="C75" s="21" t="s">
        <v>466</v>
      </c>
      <c r="D75" s="21" t="s">
        <v>32</v>
      </c>
      <c r="E75" s="21" t="s">
        <v>425</v>
      </c>
      <c r="F75" s="21" t="s">
        <v>615</v>
      </c>
      <c r="G75" s="21" t="s">
        <v>617</v>
      </c>
      <c r="H75" s="32">
        <v>167.1</v>
      </c>
      <c r="I75" s="32"/>
      <c r="J75" s="21" t="s">
        <v>467</v>
      </c>
      <c r="K75" s="22">
        <v>4.87</v>
      </c>
      <c r="L75" s="21" t="s">
        <v>35</v>
      </c>
      <c r="M75" s="21" t="s">
        <v>35</v>
      </c>
      <c r="N75" s="21" t="s">
        <v>466</v>
      </c>
      <c r="O75" s="21" t="s">
        <v>468</v>
      </c>
      <c r="P75" s="21" t="s">
        <v>469</v>
      </c>
      <c r="Q75" s="21" t="s">
        <v>470</v>
      </c>
      <c r="R75" s="21" t="s">
        <v>85</v>
      </c>
      <c r="S75" s="21" t="s">
        <v>471</v>
      </c>
    </row>
    <row r="76" spans="1:19" ht="32" x14ac:dyDescent="0.2">
      <c r="A76" s="27" t="s">
        <v>243</v>
      </c>
      <c r="B76" s="19" t="s">
        <v>227</v>
      </c>
      <c r="C76" s="19" t="s">
        <v>127</v>
      </c>
      <c r="D76" s="19" t="s">
        <v>73</v>
      </c>
      <c r="E76" s="19" t="s">
        <v>74</v>
      </c>
      <c r="F76" s="19" t="s">
        <v>615</v>
      </c>
      <c r="G76" s="19" t="s">
        <v>617</v>
      </c>
      <c r="H76" s="31">
        <v>36.770000000000003</v>
      </c>
      <c r="I76" s="31"/>
      <c r="J76" s="19" t="s">
        <v>81</v>
      </c>
      <c r="K76" s="20">
        <v>1.07</v>
      </c>
      <c r="L76" s="19" t="s">
        <v>35</v>
      </c>
      <c r="M76" s="19" t="s">
        <v>35</v>
      </c>
      <c r="N76" s="19" t="s">
        <v>127</v>
      </c>
      <c r="O76" s="19" t="s">
        <v>129</v>
      </c>
      <c r="P76" s="19" t="s">
        <v>83</v>
      </c>
      <c r="Q76" s="19" t="s">
        <v>130</v>
      </c>
      <c r="R76" s="19" t="s">
        <v>85</v>
      </c>
      <c r="S76" s="19" t="s">
        <v>244</v>
      </c>
    </row>
    <row r="77" spans="1:19" x14ac:dyDescent="0.2">
      <c r="A77" s="36">
        <v>45677</v>
      </c>
      <c r="B77" s="8"/>
      <c r="C77" s="7" t="s">
        <v>599</v>
      </c>
      <c r="D77" s="8">
        <v>465083897</v>
      </c>
      <c r="E77" s="7" t="s">
        <v>596</v>
      </c>
      <c r="F77" s="7" t="s">
        <v>615</v>
      </c>
      <c r="G77" s="7" t="s">
        <v>635</v>
      </c>
      <c r="H77" s="9">
        <v>140</v>
      </c>
      <c r="I77" s="9"/>
      <c r="J77" s="7" t="s">
        <v>597</v>
      </c>
      <c r="K77" s="7">
        <v>14355.56</v>
      </c>
      <c r="L77" s="7" t="s">
        <v>598</v>
      </c>
      <c r="M77" s="7">
        <v>112879</v>
      </c>
      <c r="N77" s="7">
        <v>946</v>
      </c>
      <c r="O77" s="7"/>
      <c r="P77" s="7"/>
      <c r="Q77" s="7"/>
      <c r="R77" s="7"/>
      <c r="S77" s="7"/>
    </row>
    <row r="78" spans="1:19" ht="32" x14ac:dyDescent="0.2">
      <c r="A78" s="27" t="s">
        <v>243</v>
      </c>
      <c r="B78" s="19" t="s">
        <v>227</v>
      </c>
      <c r="C78" s="19" t="s">
        <v>254</v>
      </c>
      <c r="D78" s="19" t="s">
        <v>47</v>
      </c>
      <c r="E78" s="19" t="s">
        <v>48</v>
      </c>
      <c r="F78" s="19" t="s">
        <v>615</v>
      </c>
      <c r="G78" s="19" t="s">
        <v>617</v>
      </c>
      <c r="H78" s="31">
        <v>300.83</v>
      </c>
      <c r="I78" s="31"/>
      <c r="J78" s="19" t="s">
        <v>255</v>
      </c>
      <c r="K78" s="20">
        <v>8.76</v>
      </c>
      <c r="L78" s="19" t="s">
        <v>35</v>
      </c>
      <c r="M78" s="19" t="s">
        <v>35</v>
      </c>
      <c r="N78" s="19" t="s">
        <v>254</v>
      </c>
      <c r="O78" s="19" t="s">
        <v>256</v>
      </c>
      <c r="P78" s="19" t="s">
        <v>109</v>
      </c>
      <c r="Q78" s="19" t="s">
        <v>257</v>
      </c>
      <c r="R78" s="19" t="s">
        <v>85</v>
      </c>
      <c r="S78" s="19" t="s">
        <v>258</v>
      </c>
    </row>
    <row r="79" spans="1:19" ht="32" x14ac:dyDescent="0.2">
      <c r="A79" s="27" t="s">
        <v>227</v>
      </c>
      <c r="B79" s="19" t="s">
        <v>204</v>
      </c>
      <c r="C79" s="19" t="s">
        <v>205</v>
      </c>
      <c r="D79" s="19" t="s">
        <v>32</v>
      </c>
      <c r="E79" s="19" t="s">
        <v>425</v>
      </c>
      <c r="F79" s="19" t="s">
        <v>615</v>
      </c>
      <c r="G79" s="19" t="s">
        <v>617</v>
      </c>
      <c r="H79" s="31">
        <v>238.81</v>
      </c>
      <c r="I79" s="31"/>
      <c r="J79" s="19" t="s">
        <v>447</v>
      </c>
      <c r="K79" s="20">
        <v>6.96</v>
      </c>
      <c r="L79" s="19" t="s">
        <v>35</v>
      </c>
      <c r="M79" s="19" t="s">
        <v>35</v>
      </c>
      <c r="N79" s="19" t="s">
        <v>205</v>
      </c>
      <c r="O79" s="19" t="s">
        <v>207</v>
      </c>
      <c r="P79" s="19" t="s">
        <v>208</v>
      </c>
      <c r="Q79" s="19" t="s">
        <v>209</v>
      </c>
      <c r="R79" s="19" t="s">
        <v>122</v>
      </c>
      <c r="S79" s="19" t="s">
        <v>448</v>
      </c>
    </row>
    <row r="80" spans="1:19" ht="32" x14ac:dyDescent="0.2">
      <c r="A80" s="27" t="s">
        <v>227</v>
      </c>
      <c r="B80" s="19" t="s">
        <v>204</v>
      </c>
      <c r="C80" s="19" t="s">
        <v>454</v>
      </c>
      <c r="D80" s="19" t="s">
        <v>32</v>
      </c>
      <c r="E80" s="19" t="s">
        <v>425</v>
      </c>
      <c r="F80" s="19" t="s">
        <v>615</v>
      </c>
      <c r="G80" s="19" t="s">
        <v>627</v>
      </c>
      <c r="H80" s="31">
        <v>43.63</v>
      </c>
      <c r="I80" s="31"/>
      <c r="J80" s="19" t="s">
        <v>455</v>
      </c>
      <c r="K80" s="20">
        <v>1.27</v>
      </c>
      <c r="L80" s="19" t="s">
        <v>35</v>
      </c>
      <c r="M80" s="19" t="s">
        <v>35</v>
      </c>
      <c r="N80" s="19" t="s">
        <v>454</v>
      </c>
      <c r="O80" s="19" t="s">
        <v>456</v>
      </c>
      <c r="P80" s="19" t="s">
        <v>457</v>
      </c>
      <c r="Q80" s="19" t="s">
        <v>458</v>
      </c>
      <c r="R80" s="19" t="s">
        <v>85</v>
      </c>
      <c r="S80" s="19" t="s">
        <v>459</v>
      </c>
    </row>
    <row r="81" spans="1:19" ht="32" x14ac:dyDescent="0.2">
      <c r="A81" s="28" t="s">
        <v>204</v>
      </c>
      <c r="B81" s="21" t="s">
        <v>176</v>
      </c>
      <c r="C81" s="21" t="s">
        <v>205</v>
      </c>
      <c r="D81" s="21" t="s">
        <v>47</v>
      </c>
      <c r="E81" s="21" t="s">
        <v>48</v>
      </c>
      <c r="F81" s="21" t="s">
        <v>615</v>
      </c>
      <c r="G81" s="21" t="s">
        <v>617</v>
      </c>
      <c r="H81" s="32">
        <v>64.98</v>
      </c>
      <c r="I81" s="32"/>
      <c r="J81" s="21" t="s">
        <v>206</v>
      </c>
      <c r="K81" s="22">
        <v>1.89</v>
      </c>
      <c r="L81" s="21" t="s">
        <v>35</v>
      </c>
      <c r="M81" s="21" t="s">
        <v>35</v>
      </c>
      <c r="N81" s="21" t="s">
        <v>205</v>
      </c>
      <c r="O81" s="21" t="s">
        <v>207</v>
      </c>
      <c r="P81" s="21" t="s">
        <v>208</v>
      </c>
      <c r="Q81" s="21" t="s">
        <v>209</v>
      </c>
      <c r="R81" s="21" t="s">
        <v>122</v>
      </c>
      <c r="S81" s="21" t="s">
        <v>210</v>
      </c>
    </row>
    <row r="82" spans="1:19" ht="32" x14ac:dyDescent="0.2">
      <c r="A82" s="28" t="s">
        <v>188</v>
      </c>
      <c r="B82" s="21" t="s">
        <v>176</v>
      </c>
      <c r="C82" s="21" t="s">
        <v>190</v>
      </c>
      <c r="D82" s="21" t="s">
        <v>47</v>
      </c>
      <c r="E82" s="21" t="s">
        <v>48</v>
      </c>
      <c r="F82" s="21" t="s">
        <v>615</v>
      </c>
      <c r="G82" s="21" t="s">
        <v>617</v>
      </c>
      <c r="H82" s="32">
        <v>410.75</v>
      </c>
      <c r="I82" s="32"/>
      <c r="J82" s="21" t="s">
        <v>191</v>
      </c>
      <c r="K82" s="22">
        <v>11.96</v>
      </c>
      <c r="L82" s="21" t="s">
        <v>35</v>
      </c>
      <c r="M82" s="21" t="s">
        <v>35</v>
      </c>
      <c r="N82" s="21" t="s">
        <v>190</v>
      </c>
      <c r="O82" s="21" t="s">
        <v>192</v>
      </c>
      <c r="P82" s="21" t="s">
        <v>37</v>
      </c>
      <c r="Q82" s="21" t="s">
        <v>38</v>
      </c>
      <c r="R82" s="21" t="s">
        <v>39</v>
      </c>
      <c r="S82" s="21" t="s">
        <v>193</v>
      </c>
    </row>
    <row r="83" spans="1:19" x14ac:dyDescent="0.2">
      <c r="A83" s="36">
        <v>45680</v>
      </c>
      <c r="B83" s="8"/>
      <c r="C83" s="7" t="s">
        <v>604</v>
      </c>
      <c r="D83" s="8">
        <v>465083897</v>
      </c>
      <c r="E83" s="7" t="s">
        <v>596</v>
      </c>
      <c r="F83" s="7" t="s">
        <v>615</v>
      </c>
      <c r="G83" s="7" t="s">
        <v>635</v>
      </c>
      <c r="H83" s="9">
        <v>280</v>
      </c>
      <c r="I83" s="9"/>
      <c r="J83" s="7" t="s">
        <v>597</v>
      </c>
      <c r="K83" s="7">
        <v>5687.11</v>
      </c>
      <c r="L83" s="7" t="s">
        <v>598</v>
      </c>
      <c r="M83" s="7">
        <v>112879</v>
      </c>
      <c r="N83" s="7">
        <v>946</v>
      </c>
      <c r="O83" s="7"/>
      <c r="P83" s="7"/>
      <c r="Q83" s="7"/>
      <c r="R83" s="7"/>
      <c r="S83" s="7"/>
    </row>
    <row r="84" spans="1:19" ht="32" x14ac:dyDescent="0.2">
      <c r="A84" s="28" t="s">
        <v>158</v>
      </c>
      <c r="B84" s="21" t="s">
        <v>124</v>
      </c>
      <c r="C84" s="21" t="s">
        <v>435</v>
      </c>
      <c r="D84" s="21" t="s">
        <v>32</v>
      </c>
      <c r="E84" s="21" t="s">
        <v>425</v>
      </c>
      <c r="F84" s="21" t="s">
        <v>615</v>
      </c>
      <c r="G84" s="21" t="s">
        <v>626</v>
      </c>
      <c r="H84" s="32">
        <v>41.34</v>
      </c>
      <c r="I84" s="32"/>
      <c r="J84" s="21" t="s">
        <v>436</v>
      </c>
      <c r="K84" s="22">
        <v>1.2</v>
      </c>
      <c r="L84" s="21" t="s">
        <v>35</v>
      </c>
      <c r="M84" s="21" t="s">
        <v>35</v>
      </c>
      <c r="N84" s="21" t="s">
        <v>435</v>
      </c>
      <c r="O84" s="21" t="s">
        <v>437</v>
      </c>
      <c r="P84" s="21" t="s">
        <v>438</v>
      </c>
      <c r="Q84" s="21" t="s">
        <v>439</v>
      </c>
      <c r="R84" s="21" t="s">
        <v>85</v>
      </c>
      <c r="S84" s="21" t="s">
        <v>440</v>
      </c>
    </row>
    <row r="85" spans="1:19" ht="32" x14ac:dyDescent="0.2">
      <c r="A85" s="28" t="s">
        <v>124</v>
      </c>
      <c r="B85" s="21" t="s">
        <v>95</v>
      </c>
      <c r="C85" s="21" t="s">
        <v>127</v>
      </c>
      <c r="D85" s="21" t="s">
        <v>47</v>
      </c>
      <c r="E85" s="21" t="s">
        <v>48</v>
      </c>
      <c r="F85" s="21" t="s">
        <v>615</v>
      </c>
      <c r="G85" s="21" t="s">
        <v>617</v>
      </c>
      <c r="H85" s="32">
        <v>32.700000000000003</v>
      </c>
      <c r="I85" s="32"/>
      <c r="J85" s="21" t="s">
        <v>128</v>
      </c>
      <c r="K85" s="22">
        <v>0.95</v>
      </c>
      <c r="L85" s="21" t="s">
        <v>35</v>
      </c>
      <c r="M85" s="21" t="s">
        <v>35</v>
      </c>
      <c r="N85" s="21" t="s">
        <v>127</v>
      </c>
      <c r="O85" s="21" t="s">
        <v>129</v>
      </c>
      <c r="P85" s="21" t="s">
        <v>83</v>
      </c>
      <c r="Q85" s="21" t="s">
        <v>130</v>
      </c>
      <c r="R85" s="21" t="s">
        <v>85</v>
      </c>
      <c r="S85" s="21" t="s">
        <v>131</v>
      </c>
    </row>
    <row r="86" spans="1:19" ht="32" x14ac:dyDescent="0.2">
      <c r="A86" s="27" t="s">
        <v>95</v>
      </c>
      <c r="B86" s="19" t="s">
        <v>90</v>
      </c>
      <c r="C86" s="19" t="s">
        <v>106</v>
      </c>
      <c r="D86" s="19" t="s">
        <v>47</v>
      </c>
      <c r="E86" s="19" t="s">
        <v>48</v>
      </c>
      <c r="F86" s="19" t="s">
        <v>615</v>
      </c>
      <c r="G86" s="19" t="s">
        <v>617</v>
      </c>
      <c r="H86" s="31">
        <v>90.31</v>
      </c>
      <c r="I86" s="31"/>
      <c r="J86" s="19" t="s">
        <v>107</v>
      </c>
      <c r="K86" s="20">
        <v>2.63</v>
      </c>
      <c r="L86" s="19" t="s">
        <v>35</v>
      </c>
      <c r="M86" s="19" t="s">
        <v>35</v>
      </c>
      <c r="N86" s="19" t="s">
        <v>106</v>
      </c>
      <c r="O86" s="19" t="s">
        <v>108</v>
      </c>
      <c r="P86" s="19" t="s">
        <v>109</v>
      </c>
      <c r="Q86" s="19" t="s">
        <v>110</v>
      </c>
      <c r="R86" s="19" t="s">
        <v>85</v>
      </c>
      <c r="S86" s="19" t="s">
        <v>111</v>
      </c>
    </row>
    <row r="87" spans="1:19" ht="32" x14ac:dyDescent="0.2">
      <c r="A87" s="27" t="s">
        <v>95</v>
      </c>
      <c r="B87" s="19" t="s">
        <v>90</v>
      </c>
      <c r="C87" s="19" t="s">
        <v>117</v>
      </c>
      <c r="D87" s="19" t="s">
        <v>47</v>
      </c>
      <c r="E87" s="19" t="s">
        <v>48</v>
      </c>
      <c r="F87" s="19" t="s">
        <v>615</v>
      </c>
      <c r="G87" s="19" t="s">
        <v>617</v>
      </c>
      <c r="H87" s="31">
        <v>24.62</v>
      </c>
      <c r="I87" s="31"/>
      <c r="J87" s="19" t="s">
        <v>118</v>
      </c>
      <c r="K87" s="20">
        <v>0.72</v>
      </c>
      <c r="L87" s="19" t="s">
        <v>35</v>
      </c>
      <c r="M87" s="19" t="s">
        <v>35</v>
      </c>
      <c r="N87" s="19" t="s">
        <v>117</v>
      </c>
      <c r="O87" s="19" t="s">
        <v>119</v>
      </c>
      <c r="P87" s="19" t="s">
        <v>120</v>
      </c>
      <c r="Q87" s="19" t="s">
        <v>121</v>
      </c>
      <c r="R87" s="19" t="s">
        <v>122</v>
      </c>
      <c r="S87" s="19" t="s">
        <v>123</v>
      </c>
    </row>
    <row r="88" spans="1:19" ht="32" x14ac:dyDescent="0.2">
      <c r="A88" s="28" t="s">
        <v>60</v>
      </c>
      <c r="B88" s="21" t="s">
        <v>60</v>
      </c>
      <c r="C88" s="21" t="s">
        <v>72</v>
      </c>
      <c r="D88" s="21" t="s">
        <v>73</v>
      </c>
      <c r="E88" s="21" t="s">
        <v>74</v>
      </c>
      <c r="F88" s="21" t="s">
        <v>615</v>
      </c>
      <c r="G88" s="21" t="s">
        <v>634</v>
      </c>
      <c r="H88" s="32">
        <v>188.63</v>
      </c>
      <c r="I88" s="32"/>
      <c r="J88" s="21" t="s">
        <v>34</v>
      </c>
      <c r="K88" s="22" t="s">
        <v>35</v>
      </c>
      <c r="L88" s="21" t="s">
        <v>35</v>
      </c>
      <c r="M88" s="21" t="s">
        <v>35</v>
      </c>
      <c r="N88" s="21" t="s">
        <v>72</v>
      </c>
      <c r="O88" s="21" t="s">
        <v>75</v>
      </c>
      <c r="P88" s="21" t="s">
        <v>76</v>
      </c>
      <c r="Q88" s="21" t="s">
        <v>77</v>
      </c>
      <c r="R88" s="21" t="s">
        <v>39</v>
      </c>
      <c r="S88" s="21" t="s">
        <v>78</v>
      </c>
    </row>
    <row r="89" spans="1:19" ht="32" x14ac:dyDescent="0.2">
      <c r="A89" s="27" t="s">
        <v>60</v>
      </c>
      <c r="B89" s="19" t="s">
        <v>60</v>
      </c>
      <c r="C89" s="19" t="s">
        <v>72</v>
      </c>
      <c r="D89" s="19" t="s">
        <v>73</v>
      </c>
      <c r="E89" s="19" t="s">
        <v>74</v>
      </c>
      <c r="F89" s="21" t="s">
        <v>615</v>
      </c>
      <c r="G89" s="21" t="s">
        <v>634</v>
      </c>
      <c r="H89" s="31">
        <v>620.05999999999995</v>
      </c>
      <c r="I89" s="31"/>
      <c r="J89" s="19" t="s">
        <v>34</v>
      </c>
      <c r="K89" s="20" t="s">
        <v>35</v>
      </c>
      <c r="L89" s="19" t="s">
        <v>35</v>
      </c>
      <c r="M89" s="19" t="s">
        <v>35</v>
      </c>
      <c r="N89" s="19" t="s">
        <v>72</v>
      </c>
      <c r="O89" s="19" t="s">
        <v>75</v>
      </c>
      <c r="P89" s="19" t="s">
        <v>76</v>
      </c>
      <c r="Q89" s="19" t="s">
        <v>77</v>
      </c>
      <c r="R89" s="19" t="s">
        <v>39</v>
      </c>
      <c r="S89" s="19" t="s">
        <v>79</v>
      </c>
    </row>
    <row r="90" spans="1:19" ht="32" x14ac:dyDescent="0.2">
      <c r="A90" s="28" t="s">
        <v>60</v>
      </c>
      <c r="B90" s="21" t="s">
        <v>29</v>
      </c>
      <c r="C90" s="21" t="s">
        <v>80</v>
      </c>
      <c r="D90" s="21" t="s">
        <v>47</v>
      </c>
      <c r="E90" s="21" t="s">
        <v>48</v>
      </c>
      <c r="F90" s="21" t="s">
        <v>615</v>
      </c>
      <c r="G90" s="21" t="s">
        <v>617</v>
      </c>
      <c r="H90" s="32">
        <v>36.5</v>
      </c>
      <c r="I90" s="32"/>
      <c r="J90" s="21" t="s">
        <v>81</v>
      </c>
      <c r="K90" s="22">
        <v>1.06</v>
      </c>
      <c r="L90" s="21" t="s">
        <v>35</v>
      </c>
      <c r="M90" s="21" t="s">
        <v>35</v>
      </c>
      <c r="N90" s="21" t="s">
        <v>80</v>
      </c>
      <c r="O90" s="21" t="s">
        <v>82</v>
      </c>
      <c r="P90" s="21" t="s">
        <v>83</v>
      </c>
      <c r="Q90" s="21" t="s">
        <v>84</v>
      </c>
      <c r="R90" s="21" t="s">
        <v>85</v>
      </c>
      <c r="S90" s="21" t="s">
        <v>86</v>
      </c>
    </row>
    <row r="91" spans="1:19" x14ac:dyDescent="0.2">
      <c r="A91" s="36">
        <v>45688</v>
      </c>
      <c r="B91" s="8"/>
      <c r="C91" s="7" t="s">
        <v>605</v>
      </c>
      <c r="D91" s="8">
        <v>465083897</v>
      </c>
      <c r="E91" s="7" t="s">
        <v>596</v>
      </c>
      <c r="F91" s="7" t="s">
        <v>615</v>
      </c>
      <c r="G91" s="7" t="s">
        <v>619</v>
      </c>
      <c r="H91" s="9">
        <v>10</v>
      </c>
      <c r="I91" s="9"/>
      <c r="J91" s="7" t="s">
        <v>597</v>
      </c>
      <c r="K91" s="7">
        <v>6190.56</v>
      </c>
      <c r="L91" s="7" t="s">
        <v>598</v>
      </c>
      <c r="M91" s="7">
        <v>112879</v>
      </c>
      <c r="N91" s="7">
        <v>945</v>
      </c>
      <c r="O91" s="7"/>
      <c r="P91" s="7"/>
      <c r="Q91" s="7"/>
      <c r="R91" s="7"/>
      <c r="S91" s="7"/>
    </row>
    <row r="92" spans="1:19" ht="32" x14ac:dyDescent="0.2">
      <c r="A92" s="27" t="s">
        <v>29</v>
      </c>
      <c r="B92" s="19" t="s">
        <v>55</v>
      </c>
      <c r="C92" s="19" t="s">
        <v>424</v>
      </c>
      <c r="D92" s="19" t="s">
        <v>32</v>
      </c>
      <c r="E92" s="19" t="s">
        <v>425</v>
      </c>
      <c r="F92" s="19" t="s">
        <v>615</v>
      </c>
      <c r="G92" s="19" t="s">
        <v>622</v>
      </c>
      <c r="H92" s="31">
        <v>940.1</v>
      </c>
      <c r="I92" s="31"/>
      <c r="J92" s="19" t="s">
        <v>34</v>
      </c>
      <c r="K92" s="20" t="s">
        <v>35</v>
      </c>
      <c r="L92" s="19" t="s">
        <v>35</v>
      </c>
      <c r="M92" s="19" t="s">
        <v>35</v>
      </c>
      <c r="N92" s="19" t="s">
        <v>424</v>
      </c>
      <c r="O92" s="19" t="s">
        <v>58</v>
      </c>
      <c r="P92" s="19" t="s">
        <v>37</v>
      </c>
      <c r="Q92" s="19" t="s">
        <v>38</v>
      </c>
      <c r="R92" s="19" t="s">
        <v>39</v>
      </c>
      <c r="S92" s="19" t="s">
        <v>426</v>
      </c>
    </row>
    <row r="93" spans="1:19" ht="16" x14ac:dyDescent="0.2">
      <c r="A93" s="28" t="s">
        <v>29</v>
      </c>
      <c r="B93" s="21" t="s">
        <v>29</v>
      </c>
      <c r="C93" s="21" t="s">
        <v>53</v>
      </c>
      <c r="D93" s="21" t="s">
        <v>32</v>
      </c>
      <c r="E93" s="21" t="s">
        <v>33</v>
      </c>
      <c r="F93" s="21" t="s">
        <v>615</v>
      </c>
      <c r="G93" s="21" t="s">
        <v>619</v>
      </c>
      <c r="H93" s="32">
        <v>6</v>
      </c>
      <c r="I93" s="32"/>
      <c r="J93" s="21" t="s">
        <v>34</v>
      </c>
      <c r="K93" s="22" t="s">
        <v>35</v>
      </c>
      <c r="L93" s="21" t="s">
        <v>35</v>
      </c>
      <c r="M93" s="21" t="s">
        <v>35</v>
      </c>
      <c r="N93" s="21" t="s">
        <v>53</v>
      </c>
      <c r="O93" s="21" t="s">
        <v>35</v>
      </c>
      <c r="P93" s="21" t="s">
        <v>35</v>
      </c>
      <c r="Q93" s="21" t="s">
        <v>35</v>
      </c>
      <c r="R93" s="21" t="s">
        <v>35</v>
      </c>
      <c r="S93" s="21" t="s">
        <v>54</v>
      </c>
    </row>
    <row r="94" spans="1:19" ht="176" x14ac:dyDescent="0.2">
      <c r="A94" s="28" t="s">
        <v>29</v>
      </c>
      <c r="B94" s="21" t="s">
        <v>55</v>
      </c>
      <c r="C94" s="21" t="s">
        <v>56</v>
      </c>
      <c r="D94" s="21" t="s">
        <v>32</v>
      </c>
      <c r="E94" s="21" t="s">
        <v>33</v>
      </c>
      <c r="F94" s="21" t="s">
        <v>615</v>
      </c>
      <c r="G94" s="21" t="s">
        <v>622</v>
      </c>
      <c r="H94" s="32">
        <v>1286.3499999999999</v>
      </c>
      <c r="I94" s="32"/>
      <c r="J94" s="21" t="s">
        <v>34</v>
      </c>
      <c r="K94" s="22" t="s">
        <v>35</v>
      </c>
      <c r="L94" s="21" t="s">
        <v>35</v>
      </c>
      <c r="M94" s="21" t="s">
        <v>57</v>
      </c>
      <c r="N94" s="21" t="s">
        <v>56</v>
      </c>
      <c r="O94" s="21" t="s">
        <v>58</v>
      </c>
      <c r="P94" s="21" t="s">
        <v>37</v>
      </c>
      <c r="Q94" s="21" t="s">
        <v>38</v>
      </c>
      <c r="R94" s="21" t="s">
        <v>39</v>
      </c>
      <c r="S94" s="21" t="s">
        <v>59</v>
      </c>
    </row>
    <row r="95" spans="1:19" x14ac:dyDescent="0.2">
      <c r="A95" s="28"/>
      <c r="B95" s="21"/>
      <c r="C95" s="21"/>
      <c r="D95" s="21"/>
      <c r="E95" s="21"/>
      <c r="F95" s="21"/>
      <c r="G95" s="21"/>
      <c r="H95" s="32"/>
      <c r="I95" s="32"/>
      <c r="J95" s="21"/>
      <c r="K95" s="22"/>
      <c r="L95" s="21"/>
      <c r="M95" s="21"/>
      <c r="N95" s="21"/>
      <c r="O95" s="21"/>
      <c r="P95" s="21"/>
      <c r="Q95" s="21"/>
      <c r="R95" s="21"/>
      <c r="S95" s="21"/>
    </row>
    <row r="96" spans="1:19" x14ac:dyDescent="0.2">
      <c r="A96" s="28"/>
      <c r="B96" s="21"/>
      <c r="C96" s="21"/>
      <c r="D96" s="21"/>
      <c r="E96" s="21"/>
      <c r="F96" s="21"/>
      <c r="G96" s="21"/>
      <c r="H96" s="32"/>
      <c r="I96" s="32"/>
      <c r="J96" s="21"/>
      <c r="K96" s="22"/>
      <c r="L96" s="21"/>
      <c r="M96" s="21"/>
      <c r="N96" s="21"/>
      <c r="O96" s="21"/>
      <c r="P96" s="21"/>
      <c r="Q96" s="21"/>
      <c r="R96" s="21"/>
      <c r="S96" s="21"/>
    </row>
    <row r="97" spans="1:19" x14ac:dyDescent="0.2">
      <c r="A97" s="28"/>
      <c r="B97" s="21"/>
      <c r="C97" s="21"/>
      <c r="D97" s="21"/>
      <c r="E97" s="21"/>
      <c r="F97" s="21"/>
      <c r="G97" s="21"/>
      <c r="H97" s="32"/>
      <c r="I97" s="32"/>
      <c r="J97" s="21"/>
      <c r="K97" s="22"/>
      <c r="L97" s="21"/>
      <c r="M97" s="21"/>
      <c r="N97" s="21"/>
      <c r="O97" s="21"/>
      <c r="P97" s="21"/>
      <c r="Q97" s="21"/>
      <c r="R97" s="21"/>
      <c r="S97" s="21"/>
    </row>
    <row r="98" spans="1:19" x14ac:dyDescent="0.2">
      <c r="A98" s="28"/>
      <c r="B98" s="21"/>
      <c r="C98" s="21"/>
      <c r="D98" s="21"/>
      <c r="E98" s="21"/>
      <c r="F98" s="21"/>
      <c r="G98" s="21"/>
      <c r="H98" s="32"/>
      <c r="I98" s="32"/>
      <c r="J98" s="21"/>
      <c r="K98" s="22"/>
      <c r="L98" s="21"/>
      <c r="M98" s="21"/>
      <c r="N98" s="21"/>
      <c r="O98" s="21"/>
      <c r="P98" s="21"/>
      <c r="Q98" s="21"/>
      <c r="R98" s="21"/>
      <c r="S98" s="21"/>
    </row>
    <row r="99" spans="1:19" x14ac:dyDescent="0.2">
      <c r="A99" s="28"/>
      <c r="B99" s="21"/>
      <c r="C99" s="21"/>
      <c r="D99" s="21"/>
      <c r="E99" s="21"/>
      <c r="F99" s="21"/>
      <c r="G99" s="21"/>
      <c r="H99" s="32">
        <f>SUM(H2:H98)</f>
        <v>24398.670000000009</v>
      </c>
      <c r="I99" s="32">
        <f>SUM(I2:I98)</f>
        <v>1629.9136363636369</v>
      </c>
      <c r="J99" s="21"/>
      <c r="K99" s="22"/>
      <c r="L99" s="21"/>
      <c r="M99" s="21"/>
      <c r="N99" s="21"/>
      <c r="O99" s="21"/>
      <c r="P99" s="21"/>
      <c r="Q99" s="21"/>
      <c r="R99" s="21"/>
      <c r="S99" s="21"/>
    </row>
    <row r="100" spans="1:19" x14ac:dyDescent="0.2">
      <c r="A100" s="28"/>
      <c r="B100" s="21"/>
      <c r="C100" s="21"/>
      <c r="D100" s="21"/>
      <c r="E100" s="21"/>
      <c r="F100" s="21"/>
      <c r="G100" s="21"/>
      <c r="H100" s="32"/>
      <c r="I100" s="32"/>
      <c r="J100" s="21"/>
      <c r="K100" s="22"/>
      <c r="L100" s="21"/>
      <c r="M100" s="21"/>
      <c r="N100" s="21"/>
      <c r="O100" s="21"/>
      <c r="P100" s="21"/>
      <c r="Q100" s="21"/>
      <c r="R100" s="21"/>
      <c r="S100" s="21"/>
    </row>
    <row r="101" spans="1:19" x14ac:dyDescent="0.2">
      <c r="A101" s="28"/>
      <c r="B101" s="21"/>
      <c r="C101" s="21"/>
      <c r="D101" s="21"/>
      <c r="E101" s="21"/>
      <c r="F101" s="21"/>
      <c r="G101" s="21"/>
      <c r="H101" s="32"/>
      <c r="I101" s="32"/>
      <c r="J101" s="21"/>
      <c r="K101" s="22"/>
      <c r="L101" s="21"/>
      <c r="M101" s="21"/>
      <c r="N101" s="21"/>
      <c r="O101" s="21"/>
      <c r="P101" s="21"/>
      <c r="Q101" s="21"/>
      <c r="R101" s="21"/>
      <c r="S101" s="21"/>
    </row>
    <row r="102" spans="1:19" x14ac:dyDescent="0.2">
      <c r="A102" s="28"/>
      <c r="B102" s="21"/>
      <c r="C102" s="21"/>
      <c r="D102" s="21"/>
      <c r="E102" s="21"/>
      <c r="F102" s="21"/>
      <c r="G102" s="21"/>
      <c r="H102" s="32"/>
      <c r="I102" s="32"/>
      <c r="J102" s="21"/>
      <c r="K102" s="22"/>
      <c r="L102" s="21"/>
      <c r="M102" s="21"/>
      <c r="N102" s="21"/>
      <c r="O102" s="21"/>
      <c r="P102" s="21"/>
      <c r="Q102" s="21"/>
      <c r="R102" s="21"/>
      <c r="S102" s="21"/>
    </row>
    <row r="103" spans="1:19" ht="32" x14ac:dyDescent="0.2">
      <c r="A103" s="28" t="s">
        <v>414</v>
      </c>
      <c r="B103" s="21" t="s">
        <v>414</v>
      </c>
      <c r="C103" s="21" t="s">
        <v>526</v>
      </c>
      <c r="D103" s="21" t="s">
        <v>32</v>
      </c>
      <c r="E103" s="21" t="s">
        <v>425</v>
      </c>
      <c r="F103" s="21" t="s">
        <v>624</v>
      </c>
      <c r="G103" s="21" t="s">
        <v>642</v>
      </c>
      <c r="H103" s="32">
        <v>257.75</v>
      </c>
      <c r="I103" s="32"/>
      <c r="J103" s="21" t="s">
        <v>34</v>
      </c>
      <c r="K103" s="22" t="s">
        <v>35</v>
      </c>
      <c r="L103" s="21" t="s">
        <v>35</v>
      </c>
      <c r="M103" s="21" t="s">
        <v>35</v>
      </c>
      <c r="N103" s="21" t="s">
        <v>526</v>
      </c>
      <c r="O103" s="21" t="s">
        <v>527</v>
      </c>
      <c r="P103" s="21" t="s">
        <v>528</v>
      </c>
      <c r="Q103" s="21" t="s">
        <v>529</v>
      </c>
      <c r="R103" s="21" t="s">
        <v>39</v>
      </c>
      <c r="S103" s="21" t="s">
        <v>530</v>
      </c>
    </row>
    <row r="104" spans="1:19" ht="32" x14ac:dyDescent="0.2">
      <c r="A104" s="28" t="s">
        <v>406</v>
      </c>
      <c r="B104" s="21" t="s">
        <v>406</v>
      </c>
      <c r="C104" s="21" t="s">
        <v>163</v>
      </c>
      <c r="D104" s="21" t="s">
        <v>47</v>
      </c>
      <c r="E104" s="21" t="s">
        <v>48</v>
      </c>
      <c r="F104" s="21" t="s">
        <v>624</v>
      </c>
      <c r="G104" s="21" t="s">
        <v>633</v>
      </c>
      <c r="H104" s="32">
        <v>115.56</v>
      </c>
      <c r="I104" s="32"/>
      <c r="J104" s="21" t="s">
        <v>34</v>
      </c>
      <c r="K104" s="22" t="s">
        <v>35</v>
      </c>
      <c r="L104" s="21" t="s">
        <v>35</v>
      </c>
      <c r="M104" s="21" t="s">
        <v>35</v>
      </c>
      <c r="N104" s="21" t="s">
        <v>163</v>
      </c>
      <c r="O104" s="21" t="s">
        <v>164</v>
      </c>
      <c r="P104" s="21" t="s">
        <v>50</v>
      </c>
      <c r="Q104" s="21" t="s">
        <v>51</v>
      </c>
      <c r="R104" s="21" t="s">
        <v>39</v>
      </c>
      <c r="S104" s="21" t="s">
        <v>408</v>
      </c>
    </row>
    <row r="105" spans="1:19" ht="32" x14ac:dyDescent="0.2">
      <c r="A105" s="27" t="s">
        <v>406</v>
      </c>
      <c r="B105" s="19" t="s">
        <v>402</v>
      </c>
      <c r="C105" s="19" t="s">
        <v>427</v>
      </c>
      <c r="D105" s="19" t="s">
        <v>32</v>
      </c>
      <c r="E105" s="19" t="s">
        <v>425</v>
      </c>
      <c r="F105" s="19" t="s">
        <v>624</v>
      </c>
      <c r="G105" s="19" t="s">
        <v>643</v>
      </c>
      <c r="H105" s="31">
        <v>6.5</v>
      </c>
      <c r="I105" s="31"/>
      <c r="J105" s="19" t="s">
        <v>34</v>
      </c>
      <c r="K105" s="20" t="s">
        <v>35</v>
      </c>
      <c r="L105" s="19" t="s">
        <v>35</v>
      </c>
      <c r="M105" s="19" t="s">
        <v>35</v>
      </c>
      <c r="N105" s="19" t="s">
        <v>427</v>
      </c>
      <c r="O105" s="19" t="s">
        <v>428</v>
      </c>
      <c r="P105" s="19" t="s">
        <v>297</v>
      </c>
      <c r="Q105" s="19" t="s">
        <v>298</v>
      </c>
      <c r="R105" s="19" t="s">
        <v>39</v>
      </c>
      <c r="S105" s="19" t="s">
        <v>514</v>
      </c>
    </row>
    <row r="106" spans="1:19" ht="16" x14ac:dyDescent="0.2">
      <c r="A106" s="36">
        <v>45660</v>
      </c>
      <c r="B106" s="10"/>
      <c r="C106" s="7" t="s">
        <v>588</v>
      </c>
      <c r="D106" s="8" t="s">
        <v>571</v>
      </c>
      <c r="E106" s="7" t="s">
        <v>572</v>
      </c>
      <c r="F106" s="19" t="s">
        <v>624</v>
      </c>
      <c r="G106" s="7" t="s">
        <v>646</v>
      </c>
      <c r="H106" s="9">
        <v>904.99</v>
      </c>
      <c r="I106" s="9"/>
      <c r="J106" s="7" t="s">
        <v>34</v>
      </c>
      <c r="K106" s="7" t="s">
        <v>573</v>
      </c>
      <c r="L106" s="7"/>
      <c r="M106" s="7">
        <v>-3560.3</v>
      </c>
      <c r="N106" s="7" t="s">
        <v>584</v>
      </c>
      <c r="O106" s="7" t="s">
        <v>589</v>
      </c>
      <c r="P106" s="7"/>
      <c r="Q106" s="7"/>
      <c r="R106" s="7"/>
      <c r="S106" s="7"/>
    </row>
    <row r="107" spans="1:19" x14ac:dyDescent="0.2">
      <c r="A107" s="36">
        <v>45663</v>
      </c>
      <c r="B107" s="10"/>
      <c r="C107" s="7" t="s">
        <v>586</v>
      </c>
      <c r="D107" s="8" t="s">
        <v>571</v>
      </c>
      <c r="E107" s="7" t="s">
        <v>572</v>
      </c>
      <c r="F107" s="7" t="s">
        <v>624</v>
      </c>
      <c r="G107" s="7" t="s">
        <v>625</v>
      </c>
      <c r="H107" s="9">
        <v>1115.76</v>
      </c>
      <c r="I107" s="9"/>
      <c r="J107" s="7" t="s">
        <v>34</v>
      </c>
      <c r="K107" s="7" t="s">
        <v>573</v>
      </c>
      <c r="L107" s="7"/>
      <c r="M107" s="7">
        <v>-4676.0600000000004</v>
      </c>
      <c r="N107" s="7" t="s">
        <v>584</v>
      </c>
      <c r="O107" s="7" t="s">
        <v>587</v>
      </c>
      <c r="P107" s="7"/>
      <c r="Q107" s="7"/>
      <c r="R107" s="7"/>
      <c r="S107" s="7"/>
    </row>
    <row r="108" spans="1:19" ht="32" x14ac:dyDescent="0.2">
      <c r="A108" s="28" t="s">
        <v>361</v>
      </c>
      <c r="B108" s="21" t="s">
        <v>361</v>
      </c>
      <c r="C108" s="21" t="s">
        <v>31</v>
      </c>
      <c r="D108" s="21" t="s">
        <v>32</v>
      </c>
      <c r="E108" s="21" t="s">
        <v>33</v>
      </c>
      <c r="F108" s="21" t="s">
        <v>624</v>
      </c>
      <c r="G108" s="21" t="s">
        <v>648</v>
      </c>
      <c r="H108" s="32">
        <v>144.99</v>
      </c>
      <c r="I108" s="32"/>
      <c r="J108" s="21" t="s">
        <v>34</v>
      </c>
      <c r="K108" s="22" t="s">
        <v>35</v>
      </c>
      <c r="L108" s="21" t="s">
        <v>35</v>
      </c>
      <c r="M108" s="21" t="s">
        <v>35</v>
      </c>
      <c r="N108" s="21" t="s">
        <v>31</v>
      </c>
      <c r="O108" s="21" t="s">
        <v>36</v>
      </c>
      <c r="P108" s="21" t="s">
        <v>37</v>
      </c>
      <c r="Q108" s="21" t="s">
        <v>38</v>
      </c>
      <c r="R108" s="21" t="s">
        <v>39</v>
      </c>
      <c r="S108" s="21" t="s">
        <v>363</v>
      </c>
    </row>
    <row r="109" spans="1:19" ht="16" x14ac:dyDescent="0.2">
      <c r="A109" s="36">
        <v>45665</v>
      </c>
      <c r="B109" s="10"/>
      <c r="C109" s="7" t="s">
        <v>583</v>
      </c>
      <c r="D109" s="8" t="s">
        <v>571</v>
      </c>
      <c r="E109" s="7" t="s">
        <v>572</v>
      </c>
      <c r="F109" s="19" t="s">
        <v>624</v>
      </c>
      <c r="G109" s="19" t="s">
        <v>625</v>
      </c>
      <c r="H109" s="9">
        <v>688.77</v>
      </c>
      <c r="I109" s="9"/>
      <c r="J109" s="7" t="s">
        <v>34</v>
      </c>
      <c r="K109" s="7" t="s">
        <v>573</v>
      </c>
      <c r="L109" s="7"/>
      <c r="M109" s="7">
        <v>-5364.83</v>
      </c>
      <c r="N109" s="7" t="s">
        <v>584</v>
      </c>
      <c r="O109" s="7" t="s">
        <v>585</v>
      </c>
      <c r="P109" s="7"/>
      <c r="Q109" s="7"/>
      <c r="R109" s="7"/>
      <c r="S109" s="7"/>
    </row>
    <row r="110" spans="1:19" ht="32" x14ac:dyDescent="0.2">
      <c r="A110" s="27" t="s">
        <v>341</v>
      </c>
      <c r="B110" s="19" t="s">
        <v>343</v>
      </c>
      <c r="C110" s="19" t="s">
        <v>427</v>
      </c>
      <c r="D110" s="19" t="s">
        <v>32</v>
      </c>
      <c r="E110" s="19" t="s">
        <v>425</v>
      </c>
      <c r="F110" s="19" t="s">
        <v>624</v>
      </c>
      <c r="G110" s="19" t="s">
        <v>643</v>
      </c>
      <c r="H110" s="31">
        <v>6.5</v>
      </c>
      <c r="I110" s="31"/>
      <c r="J110" s="19" t="s">
        <v>34</v>
      </c>
      <c r="K110" s="20" t="s">
        <v>35</v>
      </c>
      <c r="L110" s="19" t="s">
        <v>35</v>
      </c>
      <c r="M110" s="19" t="s">
        <v>35</v>
      </c>
      <c r="N110" s="19" t="s">
        <v>427</v>
      </c>
      <c r="O110" s="19" t="s">
        <v>428</v>
      </c>
      <c r="P110" s="19" t="s">
        <v>297</v>
      </c>
      <c r="Q110" s="19" t="s">
        <v>298</v>
      </c>
      <c r="R110" s="19" t="s">
        <v>39</v>
      </c>
      <c r="S110" s="19" t="s">
        <v>492</v>
      </c>
    </row>
    <row r="111" spans="1:19" ht="32" x14ac:dyDescent="0.2">
      <c r="A111" s="28" t="s">
        <v>276</v>
      </c>
      <c r="B111" s="21" t="s">
        <v>276</v>
      </c>
      <c r="C111" s="21" t="s">
        <v>163</v>
      </c>
      <c r="D111" s="21" t="s">
        <v>32</v>
      </c>
      <c r="E111" s="21" t="s">
        <v>33</v>
      </c>
      <c r="F111" s="21" t="s">
        <v>624</v>
      </c>
      <c r="G111" s="21" t="s">
        <v>633</v>
      </c>
      <c r="H111" s="32">
        <v>7.99</v>
      </c>
      <c r="I111" s="32"/>
      <c r="J111" s="21" t="s">
        <v>34</v>
      </c>
      <c r="K111" s="22" t="s">
        <v>35</v>
      </c>
      <c r="L111" s="21" t="s">
        <v>35</v>
      </c>
      <c r="M111" s="21" t="s">
        <v>35</v>
      </c>
      <c r="N111" s="21" t="s">
        <v>163</v>
      </c>
      <c r="O111" s="21" t="s">
        <v>164</v>
      </c>
      <c r="P111" s="21" t="s">
        <v>50</v>
      </c>
      <c r="Q111" s="21" t="s">
        <v>51</v>
      </c>
      <c r="R111" s="21" t="s">
        <v>39</v>
      </c>
      <c r="S111" s="21" t="s">
        <v>278</v>
      </c>
    </row>
    <row r="112" spans="1:19" ht="32" x14ac:dyDescent="0.2">
      <c r="A112" s="27" t="s">
        <v>276</v>
      </c>
      <c r="B112" s="19" t="s">
        <v>267</v>
      </c>
      <c r="C112" s="19" t="s">
        <v>427</v>
      </c>
      <c r="D112" s="19" t="s">
        <v>32</v>
      </c>
      <c r="E112" s="19" t="s">
        <v>425</v>
      </c>
      <c r="F112" s="19" t="s">
        <v>624</v>
      </c>
      <c r="G112" s="19" t="s">
        <v>643</v>
      </c>
      <c r="H112" s="31">
        <v>6.5</v>
      </c>
      <c r="I112" s="31"/>
      <c r="J112" s="19" t="s">
        <v>34</v>
      </c>
      <c r="K112" s="20" t="s">
        <v>35</v>
      </c>
      <c r="L112" s="19" t="s">
        <v>35</v>
      </c>
      <c r="M112" s="19" t="s">
        <v>35</v>
      </c>
      <c r="N112" s="19" t="s">
        <v>427</v>
      </c>
      <c r="O112" s="19" t="s">
        <v>428</v>
      </c>
      <c r="P112" s="19" t="s">
        <v>297</v>
      </c>
      <c r="Q112" s="19" t="s">
        <v>298</v>
      </c>
      <c r="R112" s="19" t="s">
        <v>39</v>
      </c>
      <c r="S112" s="19" t="s">
        <v>472</v>
      </c>
    </row>
    <row r="113" spans="1:19" ht="32" x14ac:dyDescent="0.2">
      <c r="A113" s="27" t="s">
        <v>262</v>
      </c>
      <c r="B113" s="19" t="s">
        <v>243</v>
      </c>
      <c r="C113" s="19" t="s">
        <v>163</v>
      </c>
      <c r="D113" s="19" t="s">
        <v>47</v>
      </c>
      <c r="E113" s="19" t="s">
        <v>48</v>
      </c>
      <c r="F113" s="21" t="s">
        <v>624</v>
      </c>
      <c r="G113" s="21" t="s">
        <v>633</v>
      </c>
      <c r="H113" s="31">
        <v>478.98</v>
      </c>
      <c r="I113" s="31"/>
      <c r="J113" s="19" t="s">
        <v>34</v>
      </c>
      <c r="K113" s="20" t="s">
        <v>35</v>
      </c>
      <c r="L113" s="19" t="s">
        <v>35</v>
      </c>
      <c r="M113" s="19" t="s">
        <v>35</v>
      </c>
      <c r="N113" s="19" t="s">
        <v>163</v>
      </c>
      <c r="O113" s="19" t="s">
        <v>164</v>
      </c>
      <c r="P113" s="19" t="s">
        <v>50</v>
      </c>
      <c r="Q113" s="19" t="s">
        <v>51</v>
      </c>
      <c r="R113" s="19" t="s">
        <v>39</v>
      </c>
      <c r="S113" s="19" t="s">
        <v>263</v>
      </c>
    </row>
    <row r="114" spans="1:19" ht="32" x14ac:dyDescent="0.2">
      <c r="A114" s="27" t="s">
        <v>243</v>
      </c>
      <c r="B114" s="19" t="s">
        <v>227</v>
      </c>
      <c r="C114" s="19" t="s">
        <v>246</v>
      </c>
      <c r="D114" s="19" t="s">
        <v>32</v>
      </c>
      <c r="E114" s="19" t="s">
        <v>33</v>
      </c>
      <c r="F114" s="19" t="s">
        <v>624</v>
      </c>
      <c r="G114" s="19" t="s">
        <v>628</v>
      </c>
      <c r="H114" s="31">
        <v>200.57</v>
      </c>
      <c r="I114" s="31"/>
      <c r="J114" s="19" t="s">
        <v>34</v>
      </c>
      <c r="K114" s="20" t="s">
        <v>35</v>
      </c>
      <c r="L114" s="19" t="s">
        <v>35</v>
      </c>
      <c r="M114" s="19" t="s">
        <v>35</v>
      </c>
      <c r="N114" s="19" t="s">
        <v>246</v>
      </c>
      <c r="O114" s="19" t="s">
        <v>247</v>
      </c>
      <c r="P114" s="19" t="s">
        <v>248</v>
      </c>
      <c r="Q114" s="19" t="s">
        <v>249</v>
      </c>
      <c r="R114" s="19" t="s">
        <v>39</v>
      </c>
      <c r="S114" s="19" t="s">
        <v>250</v>
      </c>
    </row>
    <row r="115" spans="1:19" ht="32" x14ac:dyDescent="0.2">
      <c r="A115" s="27" t="s">
        <v>227</v>
      </c>
      <c r="B115" s="19" t="s">
        <v>204</v>
      </c>
      <c r="C115" s="19" t="s">
        <v>163</v>
      </c>
      <c r="D115" s="19" t="s">
        <v>47</v>
      </c>
      <c r="E115" s="19" t="s">
        <v>48</v>
      </c>
      <c r="F115" s="21" t="s">
        <v>624</v>
      </c>
      <c r="G115" s="21" t="s">
        <v>633</v>
      </c>
      <c r="H115" s="31">
        <v>147.26</v>
      </c>
      <c r="I115" s="31"/>
      <c r="J115" s="19" t="s">
        <v>34</v>
      </c>
      <c r="K115" s="20" t="s">
        <v>35</v>
      </c>
      <c r="L115" s="19" t="s">
        <v>35</v>
      </c>
      <c r="M115" s="19" t="s">
        <v>35</v>
      </c>
      <c r="N115" s="19" t="s">
        <v>163</v>
      </c>
      <c r="O115" s="19" t="s">
        <v>164</v>
      </c>
      <c r="P115" s="19" t="s">
        <v>50</v>
      </c>
      <c r="Q115" s="19" t="s">
        <v>51</v>
      </c>
      <c r="R115" s="19" t="s">
        <v>39</v>
      </c>
      <c r="S115" s="19" t="s">
        <v>236</v>
      </c>
    </row>
    <row r="116" spans="1:19" x14ac:dyDescent="0.2">
      <c r="A116" s="36">
        <v>45681</v>
      </c>
      <c r="B116" s="10"/>
      <c r="C116" s="7" t="s">
        <v>576</v>
      </c>
      <c r="D116" s="8" t="s">
        <v>571</v>
      </c>
      <c r="E116" s="7" t="s">
        <v>572</v>
      </c>
      <c r="F116" s="7" t="s">
        <v>624</v>
      </c>
      <c r="G116" s="7" t="s">
        <v>628</v>
      </c>
      <c r="H116" s="9">
        <v>223</v>
      </c>
      <c r="I116" s="9"/>
      <c r="J116" s="7" t="s">
        <v>34</v>
      </c>
      <c r="K116" s="7" t="s">
        <v>573</v>
      </c>
      <c r="L116" s="7"/>
      <c r="M116" s="7">
        <v>-5614.56</v>
      </c>
      <c r="N116" s="7" t="s">
        <v>574</v>
      </c>
      <c r="O116" s="7"/>
      <c r="P116" s="7"/>
      <c r="Q116" s="7"/>
      <c r="R116" s="7"/>
      <c r="S116" s="7"/>
    </row>
    <row r="117" spans="1:19" ht="32" x14ac:dyDescent="0.2">
      <c r="A117" s="27" t="s">
        <v>176</v>
      </c>
      <c r="B117" s="19" t="s">
        <v>168</v>
      </c>
      <c r="C117" s="19" t="s">
        <v>427</v>
      </c>
      <c r="D117" s="19" t="s">
        <v>32</v>
      </c>
      <c r="E117" s="19" t="s">
        <v>425</v>
      </c>
      <c r="F117" s="19" t="s">
        <v>624</v>
      </c>
      <c r="G117" s="19" t="s">
        <v>643</v>
      </c>
      <c r="H117" s="31">
        <v>6.5</v>
      </c>
      <c r="I117" s="31"/>
      <c r="J117" s="19" t="s">
        <v>34</v>
      </c>
      <c r="K117" s="20" t="s">
        <v>35</v>
      </c>
      <c r="L117" s="19" t="s">
        <v>35</v>
      </c>
      <c r="M117" s="19" t="s">
        <v>35</v>
      </c>
      <c r="N117" s="19" t="s">
        <v>427</v>
      </c>
      <c r="O117" s="19" t="s">
        <v>428</v>
      </c>
      <c r="P117" s="19" t="s">
        <v>297</v>
      </c>
      <c r="Q117" s="19" t="s">
        <v>298</v>
      </c>
      <c r="R117" s="19" t="s">
        <v>39</v>
      </c>
      <c r="S117" s="19" t="s">
        <v>441</v>
      </c>
    </row>
    <row r="118" spans="1:19" ht="32" x14ac:dyDescent="0.2">
      <c r="A118" s="28" t="s">
        <v>158</v>
      </c>
      <c r="B118" s="21" t="s">
        <v>158</v>
      </c>
      <c r="C118" s="21" t="s">
        <v>163</v>
      </c>
      <c r="D118" s="21" t="s">
        <v>47</v>
      </c>
      <c r="E118" s="21" t="s">
        <v>48</v>
      </c>
      <c r="F118" s="21" t="s">
        <v>624</v>
      </c>
      <c r="G118" s="21" t="s">
        <v>633</v>
      </c>
      <c r="H118" s="32">
        <v>469.59</v>
      </c>
      <c r="I118" s="32"/>
      <c r="J118" s="21" t="s">
        <v>34</v>
      </c>
      <c r="K118" s="22" t="s">
        <v>35</v>
      </c>
      <c r="L118" s="21" t="s">
        <v>35</v>
      </c>
      <c r="M118" s="21" t="s">
        <v>35</v>
      </c>
      <c r="N118" s="21" t="s">
        <v>163</v>
      </c>
      <c r="O118" s="21" t="s">
        <v>164</v>
      </c>
      <c r="P118" s="21" t="s">
        <v>50</v>
      </c>
      <c r="Q118" s="21" t="s">
        <v>51</v>
      </c>
      <c r="R118" s="21" t="s">
        <v>39</v>
      </c>
      <c r="S118" s="21" t="s">
        <v>165</v>
      </c>
    </row>
    <row r="119" spans="1:19" x14ac:dyDescent="0.2">
      <c r="A119" s="36">
        <v>45686</v>
      </c>
      <c r="B119" s="10"/>
      <c r="C119" s="7" t="s">
        <v>570</v>
      </c>
      <c r="D119" s="8" t="s">
        <v>571</v>
      </c>
      <c r="E119" s="7" t="s">
        <v>572</v>
      </c>
      <c r="F119" s="7" t="s">
        <v>624</v>
      </c>
      <c r="G119" s="7" t="s">
        <v>628</v>
      </c>
      <c r="H119" s="9">
        <v>430</v>
      </c>
      <c r="I119" s="9"/>
      <c r="J119" s="7" t="s">
        <v>34</v>
      </c>
      <c r="K119" s="7" t="s">
        <v>573</v>
      </c>
      <c r="L119" s="7"/>
      <c r="M119" s="7">
        <v>-6044.56</v>
      </c>
      <c r="N119" s="7" t="s">
        <v>574</v>
      </c>
      <c r="O119" s="7" t="s">
        <v>575</v>
      </c>
      <c r="P119" s="7"/>
      <c r="Q119" s="7"/>
      <c r="R119" s="7"/>
      <c r="S119" s="7"/>
    </row>
    <row r="120" spans="1:19" x14ac:dyDescent="0.2">
      <c r="A120" s="36">
        <v>45687</v>
      </c>
      <c r="B120" s="38"/>
      <c r="C120" s="7" t="s">
        <v>546</v>
      </c>
      <c r="D120" s="8" t="s">
        <v>544</v>
      </c>
      <c r="E120" s="7" t="s">
        <v>545</v>
      </c>
      <c r="F120" s="7" t="s">
        <v>624</v>
      </c>
      <c r="G120" s="7" t="s">
        <v>628</v>
      </c>
      <c r="H120" s="9">
        <v>330</v>
      </c>
      <c r="I120" s="9"/>
      <c r="J120" s="7"/>
      <c r="K120" s="7"/>
      <c r="L120" s="7"/>
      <c r="M120" s="7"/>
      <c r="N120" s="7"/>
      <c r="O120" s="7"/>
      <c r="P120" s="7"/>
      <c r="Q120" s="7"/>
      <c r="R120" s="7"/>
      <c r="S120" s="7"/>
    </row>
    <row r="121" spans="1:19" ht="32" x14ac:dyDescent="0.2">
      <c r="A121" s="28" t="s">
        <v>29</v>
      </c>
      <c r="B121" s="21" t="s">
        <v>30</v>
      </c>
      <c r="C121" s="21" t="s">
        <v>427</v>
      </c>
      <c r="D121" s="21" t="s">
        <v>32</v>
      </c>
      <c r="E121" s="21" t="s">
        <v>425</v>
      </c>
      <c r="F121" s="19" t="s">
        <v>624</v>
      </c>
      <c r="G121" s="19" t="s">
        <v>643</v>
      </c>
      <c r="H121" s="32">
        <v>6.5</v>
      </c>
      <c r="I121" s="32"/>
      <c r="J121" s="21" t="s">
        <v>34</v>
      </c>
      <c r="K121" s="22" t="s">
        <v>35</v>
      </c>
      <c r="L121" s="21" t="s">
        <v>35</v>
      </c>
      <c r="M121" s="21" t="s">
        <v>35</v>
      </c>
      <c r="N121" s="21" t="s">
        <v>427</v>
      </c>
      <c r="O121" s="21" t="s">
        <v>428</v>
      </c>
      <c r="P121" s="21" t="s">
        <v>297</v>
      </c>
      <c r="Q121" s="21" t="s">
        <v>298</v>
      </c>
      <c r="R121" s="21" t="s">
        <v>39</v>
      </c>
      <c r="S121" s="21" t="s">
        <v>429</v>
      </c>
    </row>
    <row r="122" spans="1:19" ht="32" x14ac:dyDescent="0.2">
      <c r="A122" s="27" t="s">
        <v>417</v>
      </c>
      <c r="B122" s="19" t="s">
        <v>414</v>
      </c>
      <c r="C122" s="19" t="s">
        <v>61</v>
      </c>
      <c r="D122" s="19" t="s">
        <v>32</v>
      </c>
      <c r="E122" s="19" t="s">
        <v>33</v>
      </c>
      <c r="F122" s="19" t="s">
        <v>618</v>
      </c>
      <c r="G122" s="19"/>
      <c r="H122" s="31">
        <v>41.61</v>
      </c>
      <c r="I122" s="31"/>
      <c r="J122" s="19" t="s">
        <v>418</v>
      </c>
      <c r="K122" s="20">
        <v>1.21</v>
      </c>
      <c r="L122" s="19" t="s">
        <v>35</v>
      </c>
      <c r="M122" s="19" t="s">
        <v>35</v>
      </c>
      <c r="N122" s="19" t="s">
        <v>61</v>
      </c>
      <c r="O122" s="19" t="s">
        <v>63</v>
      </c>
      <c r="P122" s="19" t="s">
        <v>35</v>
      </c>
      <c r="Q122" s="19" t="s">
        <v>64</v>
      </c>
      <c r="R122" s="19" t="s">
        <v>65</v>
      </c>
      <c r="S122" s="19" t="s">
        <v>419</v>
      </c>
    </row>
    <row r="123" spans="1:19" ht="32" x14ac:dyDescent="0.2">
      <c r="A123" s="27" t="s">
        <v>417</v>
      </c>
      <c r="B123" s="19" t="s">
        <v>414</v>
      </c>
      <c r="C123" s="19" t="s">
        <v>61</v>
      </c>
      <c r="D123" s="19" t="s">
        <v>32</v>
      </c>
      <c r="E123" s="19" t="s">
        <v>425</v>
      </c>
      <c r="F123" s="19" t="s">
        <v>618</v>
      </c>
      <c r="G123" s="19"/>
      <c r="H123" s="31">
        <v>42.5</v>
      </c>
      <c r="I123" s="31"/>
      <c r="J123" s="19" t="s">
        <v>34</v>
      </c>
      <c r="K123" s="20" t="s">
        <v>35</v>
      </c>
      <c r="L123" s="19" t="s">
        <v>35</v>
      </c>
      <c r="M123" s="19" t="s">
        <v>35</v>
      </c>
      <c r="N123" s="19" t="s">
        <v>61</v>
      </c>
      <c r="O123" s="19" t="s">
        <v>63</v>
      </c>
      <c r="P123" s="19" t="s">
        <v>35</v>
      </c>
      <c r="Q123" s="19" t="s">
        <v>64</v>
      </c>
      <c r="R123" s="19" t="s">
        <v>65</v>
      </c>
      <c r="S123" s="19" t="s">
        <v>542</v>
      </c>
    </row>
    <row r="124" spans="1:19" ht="32" x14ac:dyDescent="0.2">
      <c r="A124" s="28" t="s">
        <v>414</v>
      </c>
      <c r="B124" s="21" t="s">
        <v>406</v>
      </c>
      <c r="C124" s="21" t="s">
        <v>515</v>
      </c>
      <c r="D124" s="21" t="s">
        <v>32</v>
      </c>
      <c r="E124" s="21" t="s">
        <v>425</v>
      </c>
      <c r="F124" s="21" t="s">
        <v>618</v>
      </c>
      <c r="G124" s="21"/>
      <c r="H124" s="32">
        <v>191.41</v>
      </c>
      <c r="I124" s="32"/>
      <c r="J124" s="21" t="s">
        <v>516</v>
      </c>
      <c r="K124" s="22">
        <v>5.58</v>
      </c>
      <c r="L124" s="21" t="s">
        <v>35</v>
      </c>
      <c r="M124" s="21" t="s">
        <v>35</v>
      </c>
      <c r="N124" s="21" t="s">
        <v>515</v>
      </c>
      <c r="O124" s="21" t="s">
        <v>517</v>
      </c>
      <c r="P124" s="21" t="s">
        <v>518</v>
      </c>
      <c r="Q124" s="21" t="s">
        <v>519</v>
      </c>
      <c r="R124" s="21" t="s">
        <v>85</v>
      </c>
      <c r="S124" s="21" t="s">
        <v>520</v>
      </c>
    </row>
    <row r="125" spans="1:19" ht="32" x14ac:dyDescent="0.2">
      <c r="A125" s="27" t="s">
        <v>414</v>
      </c>
      <c r="B125" s="19" t="s">
        <v>406</v>
      </c>
      <c r="C125" s="19" t="s">
        <v>521</v>
      </c>
      <c r="D125" s="19" t="s">
        <v>32</v>
      </c>
      <c r="E125" s="19" t="s">
        <v>425</v>
      </c>
      <c r="F125" s="19" t="s">
        <v>618</v>
      </c>
      <c r="G125" s="19"/>
      <c r="H125" s="31">
        <v>109.18</v>
      </c>
      <c r="I125" s="31"/>
      <c r="J125" s="19" t="s">
        <v>34</v>
      </c>
      <c r="K125" s="20" t="s">
        <v>35</v>
      </c>
      <c r="L125" s="19" t="s">
        <v>35</v>
      </c>
      <c r="M125" s="19" t="s">
        <v>35</v>
      </c>
      <c r="N125" s="19" t="s">
        <v>521</v>
      </c>
      <c r="O125" s="19" t="s">
        <v>522</v>
      </c>
      <c r="P125" s="19" t="s">
        <v>523</v>
      </c>
      <c r="Q125" s="19" t="s">
        <v>524</v>
      </c>
      <c r="R125" s="19" t="s">
        <v>39</v>
      </c>
      <c r="S125" s="19" t="s">
        <v>525</v>
      </c>
    </row>
    <row r="126" spans="1:19" ht="16" x14ac:dyDescent="0.2">
      <c r="A126" s="36">
        <v>45659</v>
      </c>
      <c r="B126" s="38"/>
      <c r="C126" s="7" t="s">
        <v>569</v>
      </c>
      <c r="D126" s="8" t="s">
        <v>544</v>
      </c>
      <c r="E126" s="7" t="s">
        <v>545</v>
      </c>
      <c r="F126" s="19" t="s">
        <v>618</v>
      </c>
      <c r="G126" s="7"/>
      <c r="H126" s="9">
        <v>17.98</v>
      </c>
      <c r="I126" s="9"/>
      <c r="J126" s="7"/>
      <c r="K126" s="7"/>
      <c r="L126" s="7"/>
      <c r="M126" s="7"/>
      <c r="N126" s="7"/>
      <c r="O126" s="7"/>
      <c r="P126" s="7"/>
      <c r="Q126" s="7"/>
      <c r="R126" s="7"/>
      <c r="S126" s="7"/>
    </row>
    <row r="127" spans="1:19" ht="32" x14ac:dyDescent="0.2">
      <c r="A127" s="28" t="s">
        <v>414</v>
      </c>
      <c r="B127" s="21" t="s">
        <v>406</v>
      </c>
      <c r="C127" s="21" t="s">
        <v>329</v>
      </c>
      <c r="D127" s="21" t="s">
        <v>32</v>
      </c>
      <c r="E127" s="21" t="s">
        <v>33</v>
      </c>
      <c r="F127" s="21" t="s">
        <v>618</v>
      </c>
      <c r="G127" s="21"/>
      <c r="H127" s="32">
        <v>23.99</v>
      </c>
      <c r="I127" s="32"/>
      <c r="J127" s="21" t="s">
        <v>34</v>
      </c>
      <c r="K127" s="22" t="s">
        <v>35</v>
      </c>
      <c r="L127" s="21" t="s">
        <v>35</v>
      </c>
      <c r="M127" s="21" t="s">
        <v>35</v>
      </c>
      <c r="N127" s="21" t="s">
        <v>329</v>
      </c>
      <c r="O127" s="21" t="s">
        <v>330</v>
      </c>
      <c r="P127" s="21" t="s">
        <v>331</v>
      </c>
      <c r="Q127" s="21" t="s">
        <v>332</v>
      </c>
      <c r="R127" s="21" t="s">
        <v>274</v>
      </c>
      <c r="S127" s="21" t="s">
        <v>416</v>
      </c>
    </row>
    <row r="128" spans="1:19" ht="32" x14ac:dyDescent="0.2">
      <c r="A128" s="27" t="s">
        <v>406</v>
      </c>
      <c r="B128" s="19" t="s">
        <v>402</v>
      </c>
      <c r="C128" s="19" t="s">
        <v>41</v>
      </c>
      <c r="D128" s="19" t="s">
        <v>32</v>
      </c>
      <c r="E128" s="19" t="s">
        <v>33</v>
      </c>
      <c r="F128" s="19" t="s">
        <v>618</v>
      </c>
      <c r="G128" s="19"/>
      <c r="H128" s="31">
        <v>25.95</v>
      </c>
      <c r="I128" s="31"/>
      <c r="J128" s="19" t="s">
        <v>34</v>
      </c>
      <c r="K128" s="20" t="s">
        <v>35</v>
      </c>
      <c r="L128" s="19" t="s">
        <v>35</v>
      </c>
      <c r="M128" s="19" t="s">
        <v>35</v>
      </c>
      <c r="N128" s="19" t="s">
        <v>41</v>
      </c>
      <c r="O128" s="19" t="s">
        <v>42</v>
      </c>
      <c r="P128" s="19" t="s">
        <v>43</v>
      </c>
      <c r="Q128" s="19" t="s">
        <v>44</v>
      </c>
      <c r="R128" s="19" t="s">
        <v>39</v>
      </c>
      <c r="S128" s="19" t="s">
        <v>407</v>
      </c>
    </row>
    <row r="129" spans="1:19" x14ac:dyDescent="0.2">
      <c r="A129" s="36">
        <v>45660</v>
      </c>
      <c r="B129" s="10"/>
      <c r="C129" s="7" t="s">
        <v>590</v>
      </c>
      <c r="D129" s="8" t="s">
        <v>571</v>
      </c>
      <c r="E129" s="7" t="s">
        <v>572</v>
      </c>
      <c r="F129" s="7" t="s">
        <v>618</v>
      </c>
      <c r="G129" s="7"/>
      <c r="H129" s="9">
        <v>178.31</v>
      </c>
      <c r="I129" s="9"/>
      <c r="J129" s="7" t="s">
        <v>34</v>
      </c>
      <c r="K129" s="7" t="s">
        <v>573</v>
      </c>
      <c r="L129" s="7"/>
      <c r="M129" s="7">
        <v>-2655.31</v>
      </c>
      <c r="N129" s="7" t="s">
        <v>584</v>
      </c>
      <c r="O129" s="7" t="s">
        <v>591</v>
      </c>
      <c r="P129" s="7"/>
      <c r="Q129" s="7"/>
      <c r="R129" s="7"/>
      <c r="S129" s="7"/>
    </row>
    <row r="130" spans="1:19" ht="32" x14ac:dyDescent="0.2">
      <c r="A130" s="28" t="s">
        <v>402</v>
      </c>
      <c r="B130" s="21" t="s">
        <v>399</v>
      </c>
      <c r="C130" s="21" t="s">
        <v>403</v>
      </c>
      <c r="D130" s="21" t="s">
        <v>47</v>
      </c>
      <c r="E130" s="21" t="s">
        <v>48</v>
      </c>
      <c r="F130" s="21" t="s">
        <v>618</v>
      </c>
      <c r="G130" s="21"/>
      <c r="H130" s="32">
        <v>2.99</v>
      </c>
      <c r="I130" s="32"/>
      <c r="J130" s="21" t="s">
        <v>34</v>
      </c>
      <c r="K130" s="22" t="s">
        <v>35</v>
      </c>
      <c r="L130" s="21" t="s">
        <v>35</v>
      </c>
      <c r="M130" s="21" t="s">
        <v>35</v>
      </c>
      <c r="N130" s="21" t="s">
        <v>403</v>
      </c>
      <c r="O130" s="21" t="s">
        <v>404</v>
      </c>
      <c r="P130" s="21" t="s">
        <v>37</v>
      </c>
      <c r="Q130" s="21" t="s">
        <v>38</v>
      </c>
      <c r="R130" s="21" t="s">
        <v>39</v>
      </c>
      <c r="S130" s="21" t="s">
        <v>405</v>
      </c>
    </row>
    <row r="131" spans="1:19" ht="32" x14ac:dyDescent="0.2">
      <c r="A131" s="27" t="s">
        <v>402</v>
      </c>
      <c r="B131" s="19" t="s">
        <v>399</v>
      </c>
      <c r="C131" s="19" t="s">
        <v>318</v>
      </c>
      <c r="D131" s="19" t="s">
        <v>32</v>
      </c>
      <c r="E131" s="19" t="s">
        <v>425</v>
      </c>
      <c r="F131" s="19" t="s">
        <v>618</v>
      </c>
      <c r="G131" s="19"/>
      <c r="H131" s="31">
        <v>4.7699999999999996</v>
      </c>
      <c r="I131" s="31"/>
      <c r="J131" s="19" t="s">
        <v>34</v>
      </c>
      <c r="K131" s="20" t="s">
        <v>35</v>
      </c>
      <c r="L131" s="19" t="s">
        <v>35</v>
      </c>
      <c r="M131" s="19" t="s">
        <v>35</v>
      </c>
      <c r="N131" s="19" t="s">
        <v>318</v>
      </c>
      <c r="O131" s="19" t="s">
        <v>319</v>
      </c>
      <c r="P131" s="19" t="s">
        <v>50</v>
      </c>
      <c r="Q131" s="19" t="s">
        <v>51</v>
      </c>
      <c r="R131" s="19" t="s">
        <v>39</v>
      </c>
      <c r="S131" s="19" t="s">
        <v>512</v>
      </c>
    </row>
    <row r="132" spans="1:19" ht="32" x14ac:dyDescent="0.2">
      <c r="A132" s="28" t="s">
        <v>402</v>
      </c>
      <c r="B132" s="21" t="s">
        <v>399</v>
      </c>
      <c r="C132" s="21" t="s">
        <v>318</v>
      </c>
      <c r="D132" s="21" t="s">
        <v>32</v>
      </c>
      <c r="E132" s="21" t="s">
        <v>425</v>
      </c>
      <c r="F132" s="21" t="s">
        <v>618</v>
      </c>
      <c r="G132" s="21"/>
      <c r="H132" s="32">
        <v>15</v>
      </c>
      <c r="I132" s="32"/>
      <c r="J132" s="21" t="s">
        <v>34</v>
      </c>
      <c r="K132" s="22" t="s">
        <v>35</v>
      </c>
      <c r="L132" s="21" t="s">
        <v>35</v>
      </c>
      <c r="M132" s="21" t="s">
        <v>35</v>
      </c>
      <c r="N132" s="21" t="s">
        <v>318</v>
      </c>
      <c r="O132" s="21" t="s">
        <v>319</v>
      </c>
      <c r="P132" s="21" t="s">
        <v>50</v>
      </c>
      <c r="Q132" s="21" t="s">
        <v>51</v>
      </c>
      <c r="R132" s="21" t="s">
        <v>39</v>
      </c>
      <c r="S132" s="21" t="s">
        <v>513</v>
      </c>
    </row>
    <row r="133" spans="1:19" ht="32" x14ac:dyDescent="0.2">
      <c r="A133" s="27" t="s">
        <v>399</v>
      </c>
      <c r="B133" s="19" t="s">
        <v>396</v>
      </c>
      <c r="C133" s="19" t="s">
        <v>400</v>
      </c>
      <c r="D133" s="19" t="s">
        <v>32</v>
      </c>
      <c r="E133" s="19" t="s">
        <v>33</v>
      </c>
      <c r="F133" s="19" t="s">
        <v>618</v>
      </c>
      <c r="G133" s="19"/>
      <c r="H133" s="31">
        <v>22.99</v>
      </c>
      <c r="I133" s="31"/>
      <c r="J133" s="19" t="s">
        <v>34</v>
      </c>
      <c r="K133" s="20" t="s">
        <v>35</v>
      </c>
      <c r="L133" s="19" t="s">
        <v>35</v>
      </c>
      <c r="M133" s="19" t="s">
        <v>35</v>
      </c>
      <c r="N133" s="19" t="s">
        <v>400</v>
      </c>
      <c r="O133" s="19" t="s">
        <v>133</v>
      </c>
      <c r="P133" s="19" t="s">
        <v>134</v>
      </c>
      <c r="Q133" s="19" t="s">
        <v>135</v>
      </c>
      <c r="R133" s="19" t="s">
        <v>85</v>
      </c>
      <c r="S133" s="19" t="s">
        <v>401</v>
      </c>
    </row>
    <row r="134" spans="1:19" x14ac:dyDescent="0.2">
      <c r="A134" s="36">
        <v>45663</v>
      </c>
      <c r="B134" s="38"/>
      <c r="C134" s="7" t="s">
        <v>568</v>
      </c>
      <c r="D134" s="8" t="s">
        <v>544</v>
      </c>
      <c r="E134" s="7" t="s">
        <v>545</v>
      </c>
      <c r="F134" s="7" t="s">
        <v>618</v>
      </c>
      <c r="G134" s="7"/>
      <c r="H134" s="9">
        <v>40.950000000000003</v>
      </c>
      <c r="I134" s="9"/>
      <c r="J134" s="7"/>
      <c r="K134" s="7"/>
      <c r="L134" s="7"/>
      <c r="M134" s="7"/>
      <c r="N134" s="7"/>
      <c r="O134" s="7"/>
      <c r="P134" s="7"/>
      <c r="Q134" s="7"/>
      <c r="R134" s="7"/>
      <c r="S134" s="7"/>
    </row>
    <row r="135" spans="1:19" ht="32" x14ac:dyDescent="0.2">
      <c r="A135" s="27" t="s">
        <v>396</v>
      </c>
      <c r="B135" s="19" t="s">
        <v>396</v>
      </c>
      <c r="C135" s="19" t="s">
        <v>31</v>
      </c>
      <c r="D135" s="19" t="s">
        <v>47</v>
      </c>
      <c r="E135" s="19" t="s">
        <v>48</v>
      </c>
      <c r="F135" s="19" t="s">
        <v>618</v>
      </c>
      <c r="G135" s="19"/>
      <c r="H135" s="31">
        <v>69.989999999999995</v>
      </c>
      <c r="I135" s="31"/>
      <c r="J135" s="19" t="s">
        <v>34</v>
      </c>
      <c r="K135" s="20" t="s">
        <v>35</v>
      </c>
      <c r="L135" s="19" t="s">
        <v>35</v>
      </c>
      <c r="M135" s="19" t="s">
        <v>35</v>
      </c>
      <c r="N135" s="19" t="s">
        <v>31</v>
      </c>
      <c r="O135" s="19" t="s">
        <v>36</v>
      </c>
      <c r="P135" s="19" t="s">
        <v>37</v>
      </c>
      <c r="Q135" s="19" t="s">
        <v>38</v>
      </c>
      <c r="R135" s="19" t="s">
        <v>39</v>
      </c>
      <c r="S135" s="19" t="s">
        <v>398</v>
      </c>
    </row>
    <row r="136" spans="1:19" x14ac:dyDescent="0.2">
      <c r="A136" s="36">
        <v>45663</v>
      </c>
      <c r="B136" s="38"/>
      <c r="C136" s="7" t="s">
        <v>567</v>
      </c>
      <c r="D136" s="8" t="s">
        <v>544</v>
      </c>
      <c r="E136" s="7" t="s">
        <v>545</v>
      </c>
      <c r="F136" s="7" t="s">
        <v>618</v>
      </c>
      <c r="G136" s="7"/>
      <c r="H136" s="9">
        <v>18.329999999999998</v>
      </c>
      <c r="I136" s="9"/>
      <c r="J136" s="7"/>
      <c r="K136" s="7"/>
      <c r="L136" s="7"/>
      <c r="M136" s="7"/>
      <c r="N136" s="7"/>
      <c r="O136" s="7"/>
      <c r="P136" s="7"/>
      <c r="Q136" s="7"/>
      <c r="R136" s="7"/>
      <c r="S136" s="7"/>
    </row>
    <row r="137" spans="1:19" ht="16" x14ac:dyDescent="0.2">
      <c r="A137" s="36">
        <v>45663</v>
      </c>
      <c r="B137" s="38"/>
      <c r="C137" s="7" t="s">
        <v>566</v>
      </c>
      <c r="D137" s="8" t="s">
        <v>544</v>
      </c>
      <c r="E137" s="7" t="s">
        <v>545</v>
      </c>
      <c r="F137" s="21" t="s">
        <v>618</v>
      </c>
      <c r="G137" s="7"/>
      <c r="H137" s="9">
        <v>13.31</v>
      </c>
      <c r="I137" s="9"/>
      <c r="J137" s="7"/>
      <c r="K137" s="7"/>
      <c r="L137" s="7"/>
      <c r="M137" s="7"/>
      <c r="N137" s="7"/>
      <c r="O137" s="7"/>
      <c r="P137" s="7"/>
      <c r="Q137" s="7"/>
      <c r="R137" s="7"/>
      <c r="S137" s="7"/>
    </row>
    <row r="138" spans="1:19" ht="32" x14ac:dyDescent="0.2">
      <c r="A138" s="27" t="s">
        <v>379</v>
      </c>
      <c r="B138" s="19" t="s">
        <v>379</v>
      </c>
      <c r="C138" s="19" t="s">
        <v>376</v>
      </c>
      <c r="D138" s="19" t="s">
        <v>32</v>
      </c>
      <c r="E138" s="19" t="s">
        <v>33</v>
      </c>
      <c r="F138" s="19" t="s">
        <v>618</v>
      </c>
      <c r="G138" s="19"/>
      <c r="H138" s="31">
        <v>13.5</v>
      </c>
      <c r="I138" s="31"/>
      <c r="J138" s="19" t="s">
        <v>34</v>
      </c>
      <c r="K138" s="20" t="s">
        <v>35</v>
      </c>
      <c r="L138" s="19" t="s">
        <v>35</v>
      </c>
      <c r="M138" s="19" t="s">
        <v>35</v>
      </c>
      <c r="N138" s="19" t="s">
        <v>376</v>
      </c>
      <c r="O138" s="19" t="s">
        <v>377</v>
      </c>
      <c r="P138" s="19" t="s">
        <v>297</v>
      </c>
      <c r="Q138" s="19" t="s">
        <v>298</v>
      </c>
      <c r="R138" s="19" t="s">
        <v>39</v>
      </c>
      <c r="S138" s="19" t="s">
        <v>395</v>
      </c>
    </row>
    <row r="139" spans="1:19" ht="32" x14ac:dyDescent="0.2">
      <c r="A139" s="27" t="s">
        <v>361</v>
      </c>
      <c r="B139" s="19" t="s">
        <v>361</v>
      </c>
      <c r="C139" s="19" t="s">
        <v>364</v>
      </c>
      <c r="D139" s="19" t="s">
        <v>32</v>
      </c>
      <c r="E139" s="19" t="s">
        <v>33</v>
      </c>
      <c r="F139" s="19" t="s">
        <v>618</v>
      </c>
      <c r="G139" s="19"/>
      <c r="H139" s="31">
        <v>1675</v>
      </c>
      <c r="I139" s="31"/>
      <c r="J139" s="19" t="s">
        <v>34</v>
      </c>
      <c r="K139" s="20" t="s">
        <v>35</v>
      </c>
      <c r="L139" s="19" t="s">
        <v>35</v>
      </c>
      <c r="M139" s="19" t="s">
        <v>35</v>
      </c>
      <c r="N139" s="19" t="s">
        <v>364</v>
      </c>
      <c r="O139" s="19" t="s">
        <v>365</v>
      </c>
      <c r="P139" s="19" t="s">
        <v>366</v>
      </c>
      <c r="Q139" s="19" t="s">
        <v>367</v>
      </c>
      <c r="R139" s="19" t="s">
        <v>39</v>
      </c>
      <c r="S139" s="19" t="s">
        <v>368</v>
      </c>
    </row>
    <row r="140" spans="1:19" ht="48" x14ac:dyDescent="0.2">
      <c r="A140" s="28" t="s">
        <v>361</v>
      </c>
      <c r="B140" s="21" t="s">
        <v>341</v>
      </c>
      <c r="C140" s="21" t="s">
        <v>152</v>
      </c>
      <c r="D140" s="21" t="s">
        <v>32</v>
      </c>
      <c r="E140" s="21" t="s">
        <v>33</v>
      </c>
      <c r="F140" s="21" t="s">
        <v>618</v>
      </c>
      <c r="G140" s="21"/>
      <c r="H140" s="32">
        <v>28.97</v>
      </c>
      <c r="I140" s="32"/>
      <c r="J140" s="21" t="s">
        <v>34</v>
      </c>
      <c r="K140" s="22" t="s">
        <v>35</v>
      </c>
      <c r="L140" s="21" t="s">
        <v>35</v>
      </c>
      <c r="M140" s="21" t="s">
        <v>153</v>
      </c>
      <c r="N140" s="21" t="s">
        <v>152</v>
      </c>
      <c r="O140" s="21" t="s">
        <v>139</v>
      </c>
      <c r="P140" s="21" t="s">
        <v>37</v>
      </c>
      <c r="Q140" s="21" t="s">
        <v>38</v>
      </c>
      <c r="R140" s="21" t="s">
        <v>39</v>
      </c>
      <c r="S140" s="21" t="s">
        <v>375</v>
      </c>
    </row>
    <row r="141" spans="1:19" ht="32" x14ac:dyDescent="0.2">
      <c r="A141" s="27" t="s">
        <v>361</v>
      </c>
      <c r="B141" s="19" t="s">
        <v>361</v>
      </c>
      <c r="C141" s="19" t="s">
        <v>376</v>
      </c>
      <c r="D141" s="19" t="s">
        <v>32</v>
      </c>
      <c r="E141" s="19" t="s">
        <v>33</v>
      </c>
      <c r="F141" s="19" t="s">
        <v>618</v>
      </c>
      <c r="G141" s="19"/>
      <c r="H141" s="31">
        <v>187.97</v>
      </c>
      <c r="I141" s="31"/>
      <c r="J141" s="19" t="s">
        <v>34</v>
      </c>
      <c r="K141" s="20" t="s">
        <v>35</v>
      </c>
      <c r="L141" s="19" t="s">
        <v>35</v>
      </c>
      <c r="M141" s="19" t="s">
        <v>35</v>
      </c>
      <c r="N141" s="19" t="s">
        <v>376</v>
      </c>
      <c r="O141" s="19" t="s">
        <v>377</v>
      </c>
      <c r="P141" s="19" t="s">
        <v>297</v>
      </c>
      <c r="Q141" s="19" t="s">
        <v>298</v>
      </c>
      <c r="R141" s="19" t="s">
        <v>39</v>
      </c>
      <c r="S141" s="19" t="s">
        <v>378</v>
      </c>
    </row>
    <row r="142" spans="1:19" ht="32" x14ac:dyDescent="0.2">
      <c r="A142" s="27" t="s">
        <v>348</v>
      </c>
      <c r="B142" s="19" t="s">
        <v>341</v>
      </c>
      <c r="C142" s="19" t="s">
        <v>349</v>
      </c>
      <c r="D142" s="19" t="s">
        <v>32</v>
      </c>
      <c r="E142" s="19" t="s">
        <v>33</v>
      </c>
      <c r="F142" s="19" t="s">
        <v>618</v>
      </c>
      <c r="G142" s="19"/>
      <c r="H142" s="31">
        <v>117.5</v>
      </c>
      <c r="I142" s="31"/>
      <c r="J142" s="19" t="s">
        <v>34</v>
      </c>
      <c r="K142" s="20" t="s">
        <v>35</v>
      </c>
      <c r="L142" s="19" t="s">
        <v>35</v>
      </c>
      <c r="M142" s="19" t="s">
        <v>35</v>
      </c>
      <c r="N142" s="19" t="s">
        <v>349</v>
      </c>
      <c r="O142" s="19" t="s">
        <v>350</v>
      </c>
      <c r="P142" s="19" t="s">
        <v>37</v>
      </c>
      <c r="Q142" s="19" t="s">
        <v>38</v>
      </c>
      <c r="R142" s="19" t="s">
        <v>39</v>
      </c>
      <c r="S142" s="19" t="s">
        <v>351</v>
      </c>
    </row>
    <row r="143" spans="1:19" ht="48" x14ac:dyDescent="0.2">
      <c r="A143" s="28" t="s">
        <v>348</v>
      </c>
      <c r="B143" s="21" t="s">
        <v>341</v>
      </c>
      <c r="C143" s="21" t="s">
        <v>152</v>
      </c>
      <c r="D143" s="21" t="s">
        <v>32</v>
      </c>
      <c r="E143" s="21" t="s">
        <v>33</v>
      </c>
      <c r="F143" s="21" t="s">
        <v>618</v>
      </c>
      <c r="G143" s="21"/>
      <c r="H143" s="32">
        <v>11.52</v>
      </c>
      <c r="I143" s="32"/>
      <c r="J143" s="21" t="s">
        <v>34</v>
      </c>
      <c r="K143" s="22" t="s">
        <v>35</v>
      </c>
      <c r="L143" s="21" t="s">
        <v>35</v>
      </c>
      <c r="M143" s="21" t="s">
        <v>153</v>
      </c>
      <c r="N143" s="21" t="s">
        <v>152</v>
      </c>
      <c r="O143" s="21" t="s">
        <v>139</v>
      </c>
      <c r="P143" s="21" t="s">
        <v>37</v>
      </c>
      <c r="Q143" s="21" t="s">
        <v>38</v>
      </c>
      <c r="R143" s="21" t="s">
        <v>39</v>
      </c>
      <c r="S143" s="21" t="s">
        <v>352</v>
      </c>
    </row>
    <row r="144" spans="1:19" ht="32" x14ac:dyDescent="0.2">
      <c r="A144" s="28" t="s">
        <v>348</v>
      </c>
      <c r="B144" s="21" t="s">
        <v>341</v>
      </c>
      <c r="C144" s="21" t="s">
        <v>358</v>
      </c>
      <c r="D144" s="21" t="s">
        <v>32</v>
      </c>
      <c r="E144" s="21" t="s">
        <v>33</v>
      </c>
      <c r="F144" s="21" t="s">
        <v>618</v>
      </c>
      <c r="G144" s="21"/>
      <c r="H144" s="32">
        <v>-5.12</v>
      </c>
      <c r="I144" s="32"/>
      <c r="J144" s="21" t="s">
        <v>34</v>
      </c>
      <c r="K144" s="22" t="s">
        <v>35</v>
      </c>
      <c r="L144" s="21" t="s">
        <v>35</v>
      </c>
      <c r="M144" s="21" t="s">
        <v>35</v>
      </c>
      <c r="N144" s="21" t="s">
        <v>358</v>
      </c>
      <c r="O144" s="21" t="s">
        <v>359</v>
      </c>
      <c r="P144" s="21" t="s">
        <v>310</v>
      </c>
      <c r="Q144" s="21" t="s">
        <v>311</v>
      </c>
      <c r="R144" s="21" t="s">
        <v>39</v>
      </c>
      <c r="S144" s="21" t="s">
        <v>360</v>
      </c>
    </row>
    <row r="145" spans="1:19" x14ac:dyDescent="0.2">
      <c r="A145" s="36">
        <v>45667</v>
      </c>
      <c r="B145" s="38"/>
      <c r="C145" s="7" t="s">
        <v>562</v>
      </c>
      <c r="D145" s="8" t="s">
        <v>544</v>
      </c>
      <c r="E145" s="7" t="s">
        <v>545</v>
      </c>
      <c r="F145" s="7" t="s">
        <v>618</v>
      </c>
      <c r="G145" s="7"/>
      <c r="H145" s="9">
        <v>124.53</v>
      </c>
      <c r="I145" s="9"/>
      <c r="J145" s="7"/>
      <c r="K145" s="7"/>
      <c r="L145" s="7"/>
      <c r="M145" s="7"/>
      <c r="N145" s="7"/>
      <c r="O145" s="7"/>
      <c r="P145" s="7"/>
      <c r="Q145" s="7"/>
      <c r="R145" s="7"/>
      <c r="S145" s="7"/>
    </row>
    <row r="146" spans="1:19" x14ac:dyDescent="0.2">
      <c r="A146" s="36">
        <v>45667</v>
      </c>
      <c r="B146" s="38"/>
      <c r="C146" s="7" t="s">
        <v>561</v>
      </c>
      <c r="D146" s="8" t="s">
        <v>544</v>
      </c>
      <c r="E146" s="7" t="s">
        <v>545</v>
      </c>
      <c r="F146" s="7" t="s">
        <v>618</v>
      </c>
      <c r="G146" s="7"/>
      <c r="H146" s="9">
        <v>57.89</v>
      </c>
      <c r="I146" s="9"/>
      <c r="J146" s="7"/>
      <c r="K146" s="7"/>
      <c r="L146" s="7"/>
      <c r="M146" s="7"/>
      <c r="N146" s="7"/>
      <c r="O146" s="7"/>
      <c r="P146" s="7"/>
      <c r="Q146" s="7"/>
      <c r="R146" s="7"/>
      <c r="S146" s="7"/>
    </row>
    <row r="147" spans="1:19" ht="32" x14ac:dyDescent="0.2">
      <c r="A147" s="28" t="s">
        <v>341</v>
      </c>
      <c r="B147" s="21" t="s">
        <v>341</v>
      </c>
      <c r="C147" s="21" t="s">
        <v>41</v>
      </c>
      <c r="D147" s="21" t="s">
        <v>32</v>
      </c>
      <c r="E147" s="21" t="s">
        <v>33</v>
      </c>
      <c r="F147" s="21" t="s">
        <v>618</v>
      </c>
      <c r="G147" s="21"/>
      <c r="H147" s="32">
        <v>25.95</v>
      </c>
      <c r="I147" s="32"/>
      <c r="J147" s="21" t="s">
        <v>34</v>
      </c>
      <c r="K147" s="22" t="s">
        <v>35</v>
      </c>
      <c r="L147" s="21" t="s">
        <v>35</v>
      </c>
      <c r="M147" s="21" t="s">
        <v>35</v>
      </c>
      <c r="N147" s="21" t="s">
        <v>41</v>
      </c>
      <c r="O147" s="21" t="s">
        <v>42</v>
      </c>
      <c r="P147" s="21" t="s">
        <v>43</v>
      </c>
      <c r="Q147" s="21" t="s">
        <v>44</v>
      </c>
      <c r="R147" s="21" t="s">
        <v>39</v>
      </c>
      <c r="S147" s="21" t="s">
        <v>342</v>
      </c>
    </row>
    <row r="148" spans="1:19" x14ac:dyDescent="0.2">
      <c r="A148" s="36">
        <v>45667</v>
      </c>
      <c r="B148" s="38"/>
      <c r="C148" s="7" t="s">
        <v>563</v>
      </c>
      <c r="D148" s="8" t="s">
        <v>544</v>
      </c>
      <c r="E148" s="7" t="s">
        <v>545</v>
      </c>
      <c r="F148" s="7" t="s">
        <v>618</v>
      </c>
      <c r="G148" s="7"/>
      <c r="H148" s="9">
        <v>35</v>
      </c>
      <c r="I148" s="9"/>
      <c r="J148" s="7"/>
      <c r="K148" s="7"/>
      <c r="L148" s="7"/>
      <c r="M148" s="7"/>
      <c r="N148" s="7"/>
      <c r="O148" s="7"/>
      <c r="P148" s="7"/>
      <c r="Q148" s="7"/>
      <c r="R148" s="7"/>
      <c r="S148" s="7"/>
    </row>
    <row r="149" spans="1:19" ht="32" x14ac:dyDescent="0.2">
      <c r="A149" s="28" t="s">
        <v>343</v>
      </c>
      <c r="B149" s="21" t="s">
        <v>327</v>
      </c>
      <c r="C149" s="21" t="s">
        <v>486</v>
      </c>
      <c r="D149" s="21" t="s">
        <v>32</v>
      </c>
      <c r="E149" s="21" t="s">
        <v>425</v>
      </c>
      <c r="F149" s="21" t="s">
        <v>618</v>
      </c>
      <c r="G149" s="21"/>
      <c r="H149" s="32">
        <v>16.45</v>
      </c>
      <c r="I149" s="32"/>
      <c r="J149" s="21" t="s">
        <v>34</v>
      </c>
      <c r="K149" s="22" t="s">
        <v>35</v>
      </c>
      <c r="L149" s="21" t="s">
        <v>35</v>
      </c>
      <c r="M149" s="21" t="s">
        <v>35</v>
      </c>
      <c r="N149" s="21" t="s">
        <v>486</v>
      </c>
      <c r="O149" s="21" t="s">
        <v>404</v>
      </c>
      <c r="P149" s="21" t="s">
        <v>487</v>
      </c>
      <c r="Q149" s="21" t="s">
        <v>38</v>
      </c>
      <c r="R149" s="21" t="s">
        <v>39</v>
      </c>
      <c r="S149" s="21" t="s">
        <v>488</v>
      </c>
    </row>
    <row r="150" spans="1:19" ht="32" x14ac:dyDescent="0.2">
      <c r="A150" s="27" t="s">
        <v>343</v>
      </c>
      <c r="B150" s="19" t="s">
        <v>327</v>
      </c>
      <c r="C150" s="19" t="s">
        <v>61</v>
      </c>
      <c r="D150" s="19" t="s">
        <v>32</v>
      </c>
      <c r="E150" s="19" t="s">
        <v>425</v>
      </c>
      <c r="F150" s="19" t="s">
        <v>618</v>
      </c>
      <c r="G150" s="19"/>
      <c r="H150" s="31">
        <v>17.600000000000001</v>
      </c>
      <c r="I150" s="31"/>
      <c r="J150" s="19" t="s">
        <v>34</v>
      </c>
      <c r="K150" s="20" t="s">
        <v>35</v>
      </c>
      <c r="L150" s="19" t="s">
        <v>35</v>
      </c>
      <c r="M150" s="19" t="s">
        <v>35</v>
      </c>
      <c r="N150" s="19" t="s">
        <v>61</v>
      </c>
      <c r="O150" s="19" t="s">
        <v>63</v>
      </c>
      <c r="P150" s="19" t="s">
        <v>35</v>
      </c>
      <c r="Q150" s="19" t="s">
        <v>64</v>
      </c>
      <c r="R150" s="19" t="s">
        <v>65</v>
      </c>
      <c r="S150" s="19" t="s">
        <v>489</v>
      </c>
    </row>
    <row r="151" spans="1:19" ht="32" x14ac:dyDescent="0.2">
      <c r="A151" s="28" t="s">
        <v>327</v>
      </c>
      <c r="B151" s="21" t="s">
        <v>328</v>
      </c>
      <c r="C151" s="21" t="s">
        <v>329</v>
      </c>
      <c r="D151" s="21" t="s">
        <v>32</v>
      </c>
      <c r="E151" s="21" t="s">
        <v>33</v>
      </c>
      <c r="F151" s="21" t="s">
        <v>618</v>
      </c>
      <c r="G151" s="21"/>
      <c r="H151" s="32">
        <v>13.99</v>
      </c>
      <c r="I151" s="32"/>
      <c r="J151" s="21" t="s">
        <v>34</v>
      </c>
      <c r="K151" s="22" t="s">
        <v>35</v>
      </c>
      <c r="L151" s="21" t="s">
        <v>35</v>
      </c>
      <c r="M151" s="21" t="s">
        <v>35</v>
      </c>
      <c r="N151" s="21" t="s">
        <v>329</v>
      </c>
      <c r="O151" s="21" t="s">
        <v>330</v>
      </c>
      <c r="P151" s="21" t="s">
        <v>331</v>
      </c>
      <c r="Q151" s="21" t="s">
        <v>332</v>
      </c>
      <c r="R151" s="21" t="s">
        <v>274</v>
      </c>
      <c r="S151" s="21" t="s">
        <v>333</v>
      </c>
    </row>
    <row r="152" spans="1:19" x14ac:dyDescent="0.2">
      <c r="A152" s="36">
        <v>45670</v>
      </c>
      <c r="B152" s="38"/>
      <c r="C152" s="7" t="s">
        <v>556</v>
      </c>
      <c r="D152" s="8" t="s">
        <v>544</v>
      </c>
      <c r="E152" s="7" t="s">
        <v>545</v>
      </c>
      <c r="F152" s="7" t="s">
        <v>618</v>
      </c>
      <c r="G152" s="7"/>
      <c r="H152" s="9">
        <v>27.46</v>
      </c>
      <c r="I152" s="9"/>
      <c r="J152" s="7"/>
      <c r="K152" s="7"/>
      <c r="L152" s="7"/>
      <c r="M152" s="7"/>
      <c r="N152" s="7"/>
      <c r="O152" s="7"/>
      <c r="P152" s="7"/>
      <c r="Q152" s="7"/>
      <c r="R152" s="7"/>
      <c r="S152" s="7"/>
    </row>
    <row r="153" spans="1:19" x14ac:dyDescent="0.2">
      <c r="A153" s="36">
        <v>45670</v>
      </c>
      <c r="B153" s="38"/>
      <c r="C153" s="7" t="s">
        <v>559</v>
      </c>
      <c r="D153" s="8" t="s">
        <v>544</v>
      </c>
      <c r="E153" s="7" t="s">
        <v>545</v>
      </c>
      <c r="F153" s="7" t="s">
        <v>618</v>
      </c>
      <c r="G153" s="7"/>
      <c r="H153" s="9">
        <v>8.34</v>
      </c>
      <c r="I153" s="9"/>
      <c r="J153" s="7"/>
      <c r="K153" s="7"/>
      <c r="L153" s="7"/>
      <c r="M153" s="7"/>
      <c r="N153" s="7"/>
      <c r="O153" s="7"/>
      <c r="P153" s="7"/>
      <c r="Q153" s="7"/>
      <c r="R153" s="7"/>
      <c r="S153" s="7"/>
    </row>
    <row r="154" spans="1:19" x14ac:dyDescent="0.2">
      <c r="A154" s="36">
        <v>45670</v>
      </c>
      <c r="B154" s="38"/>
      <c r="C154" s="7" t="s">
        <v>560</v>
      </c>
      <c r="D154" s="8" t="s">
        <v>544</v>
      </c>
      <c r="E154" s="7" t="s">
        <v>545</v>
      </c>
      <c r="F154" s="7" t="s">
        <v>618</v>
      </c>
      <c r="G154" s="7"/>
      <c r="H154" s="9">
        <v>13.34</v>
      </c>
      <c r="I154" s="9"/>
      <c r="J154" s="7"/>
      <c r="K154" s="7"/>
      <c r="L154" s="7"/>
      <c r="M154" s="7"/>
      <c r="N154" s="7"/>
      <c r="O154" s="7"/>
      <c r="P154" s="7"/>
      <c r="Q154" s="7"/>
      <c r="R154" s="7"/>
      <c r="S154" s="7"/>
    </row>
    <row r="155" spans="1:19" ht="32" x14ac:dyDescent="0.2">
      <c r="A155" s="27" t="s">
        <v>307</v>
      </c>
      <c r="B155" s="19" t="s">
        <v>284</v>
      </c>
      <c r="C155" s="19" t="s">
        <v>318</v>
      </c>
      <c r="D155" s="19" t="s">
        <v>32</v>
      </c>
      <c r="E155" s="19" t="s">
        <v>33</v>
      </c>
      <c r="F155" s="19" t="s">
        <v>618</v>
      </c>
      <c r="G155" s="19"/>
      <c r="H155" s="31">
        <v>15.75</v>
      </c>
      <c r="I155" s="31"/>
      <c r="J155" s="19" t="s">
        <v>34</v>
      </c>
      <c r="K155" s="20" t="s">
        <v>35</v>
      </c>
      <c r="L155" s="19" t="s">
        <v>35</v>
      </c>
      <c r="M155" s="19" t="s">
        <v>35</v>
      </c>
      <c r="N155" s="19" t="s">
        <v>318</v>
      </c>
      <c r="O155" s="19" t="s">
        <v>319</v>
      </c>
      <c r="P155" s="19" t="s">
        <v>50</v>
      </c>
      <c r="Q155" s="19" t="s">
        <v>51</v>
      </c>
      <c r="R155" s="19" t="s">
        <v>39</v>
      </c>
      <c r="S155" s="19" t="s">
        <v>320</v>
      </c>
    </row>
    <row r="156" spans="1:19" ht="32" x14ac:dyDescent="0.2">
      <c r="A156" s="28" t="s">
        <v>307</v>
      </c>
      <c r="B156" s="21" t="s">
        <v>284</v>
      </c>
      <c r="C156" s="21" t="s">
        <v>318</v>
      </c>
      <c r="D156" s="21" t="s">
        <v>32</v>
      </c>
      <c r="E156" s="21" t="s">
        <v>33</v>
      </c>
      <c r="F156" s="21" t="s">
        <v>618</v>
      </c>
      <c r="G156" s="21"/>
      <c r="H156" s="32">
        <v>28</v>
      </c>
      <c r="I156" s="32"/>
      <c r="J156" s="21" t="s">
        <v>34</v>
      </c>
      <c r="K156" s="22" t="s">
        <v>35</v>
      </c>
      <c r="L156" s="21" t="s">
        <v>35</v>
      </c>
      <c r="M156" s="21" t="s">
        <v>35</v>
      </c>
      <c r="N156" s="21" t="s">
        <v>318</v>
      </c>
      <c r="O156" s="21" t="s">
        <v>319</v>
      </c>
      <c r="P156" s="21" t="s">
        <v>50</v>
      </c>
      <c r="Q156" s="21" t="s">
        <v>51</v>
      </c>
      <c r="R156" s="21" t="s">
        <v>39</v>
      </c>
      <c r="S156" s="21" t="s">
        <v>321</v>
      </c>
    </row>
    <row r="157" spans="1:19" x14ac:dyDescent="0.2">
      <c r="A157" s="36">
        <v>45673</v>
      </c>
      <c r="B157" s="38"/>
      <c r="C157" s="7" t="s">
        <v>558</v>
      </c>
      <c r="D157" s="8" t="s">
        <v>544</v>
      </c>
      <c r="E157" s="7" t="s">
        <v>545</v>
      </c>
      <c r="F157" s="7" t="s">
        <v>618</v>
      </c>
      <c r="G157" s="7"/>
      <c r="H157" s="9">
        <v>6.28</v>
      </c>
      <c r="I157" s="9"/>
      <c r="J157" s="7"/>
      <c r="K157" s="7"/>
      <c r="L157" s="7"/>
      <c r="M157" s="7"/>
      <c r="N157" s="7"/>
      <c r="O157" s="7"/>
      <c r="P157" s="7"/>
      <c r="Q157" s="7"/>
      <c r="R157" s="7"/>
      <c r="S157" s="7"/>
    </row>
    <row r="158" spans="1:19" ht="32" x14ac:dyDescent="0.2">
      <c r="A158" s="27" t="s">
        <v>276</v>
      </c>
      <c r="B158" s="19" t="s">
        <v>267</v>
      </c>
      <c r="C158" s="19" t="s">
        <v>41</v>
      </c>
      <c r="D158" s="19" t="s">
        <v>32</v>
      </c>
      <c r="E158" s="19" t="s">
        <v>33</v>
      </c>
      <c r="F158" s="19" t="s">
        <v>618</v>
      </c>
      <c r="G158" s="19"/>
      <c r="H158" s="31">
        <v>25.95</v>
      </c>
      <c r="I158" s="31"/>
      <c r="J158" s="19" t="s">
        <v>34</v>
      </c>
      <c r="K158" s="20" t="s">
        <v>35</v>
      </c>
      <c r="L158" s="19" t="s">
        <v>35</v>
      </c>
      <c r="M158" s="19" t="s">
        <v>35</v>
      </c>
      <c r="N158" s="19" t="s">
        <v>41</v>
      </c>
      <c r="O158" s="19" t="s">
        <v>42</v>
      </c>
      <c r="P158" s="19" t="s">
        <v>43</v>
      </c>
      <c r="Q158" s="19" t="s">
        <v>44</v>
      </c>
      <c r="R158" s="19" t="s">
        <v>39</v>
      </c>
      <c r="S158" s="19" t="s">
        <v>277</v>
      </c>
    </row>
    <row r="159" spans="1:19" x14ac:dyDescent="0.2">
      <c r="A159" s="36">
        <v>45677</v>
      </c>
      <c r="B159" s="38"/>
      <c r="C159" s="7" t="s">
        <v>558</v>
      </c>
      <c r="D159" s="8" t="s">
        <v>544</v>
      </c>
      <c r="E159" s="7" t="s">
        <v>545</v>
      </c>
      <c r="F159" s="7" t="s">
        <v>618</v>
      </c>
      <c r="G159" s="7"/>
      <c r="H159" s="9">
        <v>25.04</v>
      </c>
      <c r="I159" s="9"/>
      <c r="J159" s="7"/>
      <c r="K159" s="7"/>
      <c r="L159" s="7"/>
      <c r="M159" s="7"/>
      <c r="N159" s="7"/>
      <c r="O159" s="7"/>
      <c r="P159" s="7"/>
      <c r="Q159" s="7"/>
      <c r="R159" s="7"/>
      <c r="S159" s="7"/>
    </row>
    <row r="160" spans="1:19" ht="32" x14ac:dyDescent="0.2">
      <c r="A160" s="28" t="s">
        <v>243</v>
      </c>
      <c r="B160" s="21" t="s">
        <v>243</v>
      </c>
      <c r="C160" s="21" t="s">
        <v>96</v>
      </c>
      <c r="D160" s="21" t="s">
        <v>47</v>
      </c>
      <c r="E160" s="21" t="s">
        <v>48</v>
      </c>
      <c r="F160" s="21" t="s">
        <v>618</v>
      </c>
      <c r="G160" s="21"/>
      <c r="H160" s="32">
        <v>85</v>
      </c>
      <c r="I160" s="32"/>
      <c r="J160" s="21" t="s">
        <v>34</v>
      </c>
      <c r="K160" s="22" t="s">
        <v>35</v>
      </c>
      <c r="L160" s="21" t="s">
        <v>35</v>
      </c>
      <c r="M160" s="21" t="s">
        <v>35</v>
      </c>
      <c r="N160" s="21" t="s">
        <v>96</v>
      </c>
      <c r="O160" s="21" t="s">
        <v>97</v>
      </c>
      <c r="P160" s="21" t="s">
        <v>98</v>
      </c>
      <c r="Q160" s="21" t="s">
        <v>99</v>
      </c>
      <c r="R160" s="21" t="s">
        <v>39</v>
      </c>
      <c r="S160" s="21" t="s">
        <v>245</v>
      </c>
    </row>
    <row r="161" spans="1:19" ht="16" x14ac:dyDescent="0.2">
      <c r="A161" s="36">
        <v>45677</v>
      </c>
      <c r="B161" s="38"/>
      <c r="C161" s="7" t="s">
        <v>548</v>
      </c>
      <c r="D161" s="8" t="s">
        <v>544</v>
      </c>
      <c r="E161" s="7" t="s">
        <v>545</v>
      </c>
      <c r="F161" s="19" t="s">
        <v>618</v>
      </c>
      <c r="G161" s="7"/>
      <c r="H161" s="9">
        <v>30.35</v>
      </c>
      <c r="I161" s="9"/>
      <c r="J161" s="7"/>
      <c r="K161" s="7"/>
      <c r="L161" s="7"/>
      <c r="M161" s="7"/>
      <c r="N161" s="7"/>
      <c r="O161" s="7"/>
      <c r="P161" s="7"/>
      <c r="Q161" s="7"/>
      <c r="R161" s="7"/>
      <c r="S161" s="7"/>
    </row>
    <row r="162" spans="1:19" ht="32" x14ac:dyDescent="0.2">
      <c r="A162" s="28" t="s">
        <v>243</v>
      </c>
      <c r="B162" s="21" t="s">
        <v>227</v>
      </c>
      <c r="C162" s="21" t="s">
        <v>259</v>
      </c>
      <c r="D162" s="21" t="s">
        <v>32</v>
      </c>
      <c r="E162" s="21" t="s">
        <v>33</v>
      </c>
      <c r="F162" s="21" t="s">
        <v>618</v>
      </c>
      <c r="G162" s="21"/>
      <c r="H162" s="32">
        <v>36.299999999999997</v>
      </c>
      <c r="I162" s="32"/>
      <c r="J162" s="21" t="s">
        <v>34</v>
      </c>
      <c r="K162" s="22" t="s">
        <v>35</v>
      </c>
      <c r="L162" s="21" t="s">
        <v>35</v>
      </c>
      <c r="M162" s="21" t="s">
        <v>35</v>
      </c>
      <c r="N162" s="21" t="s">
        <v>259</v>
      </c>
      <c r="O162" s="21" t="s">
        <v>260</v>
      </c>
      <c r="P162" s="21" t="s">
        <v>50</v>
      </c>
      <c r="Q162" s="21" t="s">
        <v>51</v>
      </c>
      <c r="R162" s="21" t="s">
        <v>39</v>
      </c>
      <c r="S162" s="21" t="s">
        <v>261</v>
      </c>
    </row>
    <row r="163" spans="1:19" ht="32" x14ac:dyDescent="0.2">
      <c r="A163" s="28" t="s">
        <v>227</v>
      </c>
      <c r="B163" s="21" t="s">
        <v>204</v>
      </c>
      <c r="C163" s="21" t="s">
        <v>228</v>
      </c>
      <c r="D163" s="21" t="s">
        <v>32</v>
      </c>
      <c r="E163" s="21" t="s">
        <v>33</v>
      </c>
      <c r="F163" s="21" t="s">
        <v>618</v>
      </c>
      <c r="G163" s="21"/>
      <c r="H163" s="32">
        <v>13.28</v>
      </c>
      <c r="I163" s="32"/>
      <c r="J163" s="21" t="s">
        <v>229</v>
      </c>
      <c r="K163" s="22">
        <v>0.39</v>
      </c>
      <c r="L163" s="21" t="s">
        <v>35</v>
      </c>
      <c r="M163" s="21" t="s">
        <v>35</v>
      </c>
      <c r="N163" s="21" t="s">
        <v>228</v>
      </c>
      <c r="O163" s="21" t="s">
        <v>230</v>
      </c>
      <c r="P163" s="21" t="s">
        <v>231</v>
      </c>
      <c r="Q163" s="21" t="s">
        <v>232</v>
      </c>
      <c r="R163" s="21" t="s">
        <v>122</v>
      </c>
      <c r="S163" s="21" t="s">
        <v>233</v>
      </c>
    </row>
    <row r="164" spans="1:19" ht="32" x14ac:dyDescent="0.2">
      <c r="A164" s="28" t="s">
        <v>227</v>
      </c>
      <c r="B164" s="21" t="s">
        <v>204</v>
      </c>
      <c r="C164" s="21" t="s">
        <v>449</v>
      </c>
      <c r="D164" s="21" t="s">
        <v>32</v>
      </c>
      <c r="E164" s="21" t="s">
        <v>425</v>
      </c>
      <c r="F164" s="21" t="s">
        <v>618</v>
      </c>
      <c r="G164" s="21"/>
      <c r="H164" s="32">
        <v>40</v>
      </c>
      <c r="I164" s="32"/>
      <c r="J164" s="21" t="s">
        <v>34</v>
      </c>
      <c r="K164" s="22" t="s">
        <v>35</v>
      </c>
      <c r="L164" s="21" t="s">
        <v>35</v>
      </c>
      <c r="M164" s="21" t="s">
        <v>35</v>
      </c>
      <c r="N164" s="21" t="s">
        <v>449</v>
      </c>
      <c r="O164" s="21" t="s">
        <v>450</v>
      </c>
      <c r="P164" s="21" t="s">
        <v>451</v>
      </c>
      <c r="Q164" s="21" t="s">
        <v>452</v>
      </c>
      <c r="R164" s="21" t="s">
        <v>39</v>
      </c>
      <c r="S164" s="21" t="s">
        <v>453</v>
      </c>
    </row>
    <row r="165" spans="1:19" ht="48" x14ac:dyDescent="0.2">
      <c r="A165" s="28" t="s">
        <v>227</v>
      </c>
      <c r="B165" s="21" t="s">
        <v>188</v>
      </c>
      <c r="C165" s="21" t="s">
        <v>141</v>
      </c>
      <c r="D165" s="21" t="s">
        <v>32</v>
      </c>
      <c r="E165" s="21" t="s">
        <v>33</v>
      </c>
      <c r="F165" s="21" t="s">
        <v>618</v>
      </c>
      <c r="G165" s="21"/>
      <c r="H165" s="32">
        <v>16.440000000000001</v>
      </c>
      <c r="I165" s="32"/>
      <c r="J165" s="21" t="s">
        <v>34</v>
      </c>
      <c r="K165" s="22" t="s">
        <v>35</v>
      </c>
      <c r="L165" s="21" t="s">
        <v>35</v>
      </c>
      <c r="M165" s="21" t="s">
        <v>138</v>
      </c>
      <c r="N165" s="21" t="s">
        <v>141</v>
      </c>
      <c r="O165" s="21" t="s">
        <v>142</v>
      </c>
      <c r="P165" s="21" t="s">
        <v>143</v>
      </c>
      <c r="Q165" s="21" t="s">
        <v>144</v>
      </c>
      <c r="R165" s="21" t="s">
        <v>145</v>
      </c>
      <c r="S165" s="21" t="s">
        <v>237</v>
      </c>
    </row>
    <row r="166" spans="1:19" ht="48" x14ac:dyDescent="0.2">
      <c r="A166" s="27" t="s">
        <v>227</v>
      </c>
      <c r="B166" s="19" t="s">
        <v>188</v>
      </c>
      <c r="C166" s="19" t="s">
        <v>141</v>
      </c>
      <c r="D166" s="19" t="s">
        <v>32</v>
      </c>
      <c r="E166" s="19" t="s">
        <v>33</v>
      </c>
      <c r="F166" s="19" t="s">
        <v>618</v>
      </c>
      <c r="G166" s="19"/>
      <c r="H166" s="31">
        <v>26</v>
      </c>
      <c r="I166" s="31"/>
      <c r="J166" s="19" t="s">
        <v>34</v>
      </c>
      <c r="K166" s="20" t="s">
        <v>35</v>
      </c>
      <c r="L166" s="19" t="s">
        <v>35</v>
      </c>
      <c r="M166" s="19" t="s">
        <v>138</v>
      </c>
      <c r="N166" s="19" t="s">
        <v>141</v>
      </c>
      <c r="O166" s="19" t="s">
        <v>148</v>
      </c>
      <c r="P166" s="19" t="s">
        <v>37</v>
      </c>
      <c r="Q166" s="19" t="s">
        <v>38</v>
      </c>
      <c r="R166" s="19" t="s">
        <v>39</v>
      </c>
      <c r="S166" s="19" t="s">
        <v>238</v>
      </c>
    </row>
    <row r="167" spans="1:19" ht="48" x14ac:dyDescent="0.2">
      <c r="A167" s="28" t="s">
        <v>227</v>
      </c>
      <c r="B167" s="21" t="s">
        <v>188</v>
      </c>
      <c r="C167" s="21" t="s">
        <v>141</v>
      </c>
      <c r="D167" s="21" t="s">
        <v>32</v>
      </c>
      <c r="E167" s="21" t="s">
        <v>33</v>
      </c>
      <c r="F167" s="21" t="s">
        <v>618</v>
      </c>
      <c r="G167" s="21"/>
      <c r="H167" s="32">
        <v>36.950000000000003</v>
      </c>
      <c r="I167" s="32"/>
      <c r="J167" s="21" t="s">
        <v>34</v>
      </c>
      <c r="K167" s="22" t="s">
        <v>35</v>
      </c>
      <c r="L167" s="21" t="s">
        <v>35</v>
      </c>
      <c r="M167" s="21" t="s">
        <v>138</v>
      </c>
      <c r="N167" s="21" t="s">
        <v>141</v>
      </c>
      <c r="O167" s="21" t="s">
        <v>148</v>
      </c>
      <c r="P167" s="21" t="s">
        <v>37</v>
      </c>
      <c r="Q167" s="21" t="s">
        <v>38</v>
      </c>
      <c r="R167" s="21" t="s">
        <v>39</v>
      </c>
      <c r="S167" s="21" t="s">
        <v>239</v>
      </c>
    </row>
    <row r="168" spans="1:19" ht="32" x14ac:dyDescent="0.2">
      <c r="A168" s="27" t="s">
        <v>227</v>
      </c>
      <c r="B168" s="19" t="s">
        <v>204</v>
      </c>
      <c r="C168" s="19" t="s">
        <v>87</v>
      </c>
      <c r="D168" s="19" t="s">
        <v>32</v>
      </c>
      <c r="E168" s="19" t="s">
        <v>33</v>
      </c>
      <c r="F168" s="19" t="s">
        <v>618</v>
      </c>
      <c r="G168" s="19"/>
      <c r="H168" s="31">
        <v>47.99</v>
      </c>
      <c r="I168" s="31"/>
      <c r="J168" s="19" t="s">
        <v>34</v>
      </c>
      <c r="K168" s="20" t="s">
        <v>35</v>
      </c>
      <c r="L168" s="19" t="s">
        <v>35</v>
      </c>
      <c r="M168" s="19" t="s">
        <v>35</v>
      </c>
      <c r="N168" s="19" t="s">
        <v>87</v>
      </c>
      <c r="O168" s="19" t="s">
        <v>88</v>
      </c>
      <c r="P168" s="19" t="s">
        <v>50</v>
      </c>
      <c r="Q168" s="19" t="s">
        <v>51</v>
      </c>
      <c r="R168" s="19" t="s">
        <v>39</v>
      </c>
      <c r="S168" s="19" t="s">
        <v>240</v>
      </c>
    </row>
    <row r="169" spans="1:19" ht="32" x14ac:dyDescent="0.2">
      <c r="A169" s="29" t="s">
        <v>227</v>
      </c>
      <c r="B169" s="23" t="s">
        <v>204</v>
      </c>
      <c r="C169" s="23" t="s">
        <v>241</v>
      </c>
      <c r="D169" s="23" t="s">
        <v>47</v>
      </c>
      <c r="E169" s="23" t="s">
        <v>48</v>
      </c>
      <c r="F169" s="23" t="s">
        <v>618</v>
      </c>
      <c r="G169" s="23"/>
      <c r="H169" s="33">
        <v>9.99</v>
      </c>
      <c r="I169" s="33"/>
      <c r="J169" s="23" t="s">
        <v>34</v>
      </c>
      <c r="K169" s="25" t="s">
        <v>35</v>
      </c>
      <c r="L169" s="23" t="s">
        <v>35</v>
      </c>
      <c r="M169" s="23" t="s">
        <v>35</v>
      </c>
      <c r="N169" s="23" t="s">
        <v>241</v>
      </c>
      <c r="O169" s="23" t="s">
        <v>221</v>
      </c>
      <c r="P169" s="23" t="s">
        <v>222</v>
      </c>
      <c r="Q169" s="23" t="s">
        <v>223</v>
      </c>
      <c r="R169" s="23" t="s">
        <v>39</v>
      </c>
      <c r="S169" s="23" t="s">
        <v>242</v>
      </c>
    </row>
    <row r="170" spans="1:19" ht="48" x14ac:dyDescent="0.2">
      <c r="A170" s="29" t="s">
        <v>204</v>
      </c>
      <c r="B170" s="23" t="s">
        <v>188</v>
      </c>
      <c r="C170" s="23" t="s">
        <v>212</v>
      </c>
      <c r="D170" s="23" t="s">
        <v>32</v>
      </c>
      <c r="E170" s="23" t="s">
        <v>33</v>
      </c>
      <c r="F170" s="23" t="s">
        <v>618</v>
      </c>
      <c r="G170" s="23"/>
      <c r="H170" s="33">
        <v>66.31</v>
      </c>
      <c r="I170" s="33"/>
      <c r="J170" s="23" t="s">
        <v>213</v>
      </c>
      <c r="K170" s="25">
        <v>1.93</v>
      </c>
      <c r="L170" s="23" t="s">
        <v>35</v>
      </c>
      <c r="M170" s="23" t="s">
        <v>35</v>
      </c>
      <c r="N170" s="23" t="s">
        <v>212</v>
      </c>
      <c r="O170" s="23" t="s">
        <v>214</v>
      </c>
      <c r="P170" s="23" t="s">
        <v>35</v>
      </c>
      <c r="Q170" s="23" t="s">
        <v>215</v>
      </c>
      <c r="R170" s="23" t="s">
        <v>216</v>
      </c>
      <c r="S170" s="23" t="s">
        <v>217</v>
      </c>
    </row>
    <row r="171" spans="1:19" x14ac:dyDescent="0.2">
      <c r="A171" s="37">
        <v>45679</v>
      </c>
      <c r="B171" s="40"/>
      <c r="C171" t="s">
        <v>556</v>
      </c>
      <c r="D171" s="11" t="s">
        <v>544</v>
      </c>
      <c r="E171" t="s">
        <v>545</v>
      </c>
      <c r="F171" t="s">
        <v>618</v>
      </c>
      <c r="H171" s="4">
        <v>27.56</v>
      </c>
    </row>
    <row r="172" spans="1:19" x14ac:dyDescent="0.2">
      <c r="A172" s="37">
        <v>45679</v>
      </c>
      <c r="B172" s="40"/>
      <c r="C172" t="s">
        <v>557</v>
      </c>
      <c r="D172" s="11" t="s">
        <v>544</v>
      </c>
      <c r="E172" t="s">
        <v>545</v>
      </c>
      <c r="F172" t="s">
        <v>618</v>
      </c>
      <c r="H172" s="4">
        <v>14.69</v>
      </c>
    </row>
    <row r="173" spans="1:19" ht="48" x14ac:dyDescent="0.2">
      <c r="A173" s="29" t="s">
        <v>204</v>
      </c>
      <c r="B173" s="23" t="s">
        <v>188</v>
      </c>
      <c r="C173" s="23" t="s">
        <v>152</v>
      </c>
      <c r="D173" s="23" t="s">
        <v>32</v>
      </c>
      <c r="E173" s="23" t="s">
        <v>33</v>
      </c>
      <c r="F173" s="23" t="s">
        <v>618</v>
      </c>
      <c r="G173" s="23"/>
      <c r="H173" s="33">
        <v>28.97</v>
      </c>
      <c r="I173" s="33"/>
      <c r="J173" s="23" t="s">
        <v>34</v>
      </c>
      <c r="K173" s="25" t="s">
        <v>35</v>
      </c>
      <c r="L173" s="23" t="s">
        <v>35</v>
      </c>
      <c r="M173" s="23" t="s">
        <v>153</v>
      </c>
      <c r="N173" s="23" t="s">
        <v>152</v>
      </c>
      <c r="O173" s="23" t="s">
        <v>139</v>
      </c>
      <c r="P173" s="23" t="s">
        <v>37</v>
      </c>
      <c r="Q173" s="23" t="s">
        <v>38</v>
      </c>
      <c r="R173" s="23" t="s">
        <v>39</v>
      </c>
      <c r="S173" s="23" t="s">
        <v>219</v>
      </c>
    </row>
    <row r="174" spans="1:19" ht="16" x14ac:dyDescent="0.2">
      <c r="A174" s="37">
        <v>45679</v>
      </c>
      <c r="B174" s="40"/>
      <c r="C174" t="s">
        <v>548</v>
      </c>
      <c r="D174" s="11" t="s">
        <v>544</v>
      </c>
      <c r="E174" t="s">
        <v>545</v>
      </c>
      <c r="F174" s="24" t="s">
        <v>618</v>
      </c>
      <c r="H174" s="4">
        <v>18.78</v>
      </c>
    </row>
    <row r="175" spans="1:19" ht="32" x14ac:dyDescent="0.2">
      <c r="A175" s="30" t="s">
        <v>188</v>
      </c>
      <c r="B175" s="24" t="s">
        <v>176</v>
      </c>
      <c r="C175" s="24" t="s">
        <v>194</v>
      </c>
      <c r="D175" s="24" t="s">
        <v>47</v>
      </c>
      <c r="E175" s="24" t="s">
        <v>48</v>
      </c>
      <c r="F175" s="24" t="s">
        <v>618</v>
      </c>
      <c r="G175" s="24"/>
      <c r="H175" s="34">
        <v>1.99</v>
      </c>
      <c r="I175" s="34"/>
      <c r="J175" s="24" t="s">
        <v>34</v>
      </c>
      <c r="K175" s="26" t="s">
        <v>35</v>
      </c>
      <c r="L175" s="24" t="s">
        <v>35</v>
      </c>
      <c r="M175" s="24" t="s">
        <v>35</v>
      </c>
      <c r="N175" s="24" t="s">
        <v>194</v>
      </c>
      <c r="O175" s="24" t="s">
        <v>195</v>
      </c>
      <c r="P175" s="24" t="s">
        <v>76</v>
      </c>
      <c r="Q175" s="24" t="s">
        <v>77</v>
      </c>
      <c r="R175" s="24" t="s">
        <v>39</v>
      </c>
      <c r="S175" s="24" t="s">
        <v>196</v>
      </c>
    </row>
    <row r="176" spans="1:19" ht="48" x14ac:dyDescent="0.2">
      <c r="A176" s="29" t="s">
        <v>188</v>
      </c>
      <c r="B176" s="23" t="s">
        <v>168</v>
      </c>
      <c r="C176" s="23" t="s">
        <v>197</v>
      </c>
      <c r="D176" s="23" t="s">
        <v>32</v>
      </c>
      <c r="E176" s="23" t="s">
        <v>33</v>
      </c>
      <c r="F176" s="42" t="s">
        <v>618</v>
      </c>
      <c r="G176" s="42"/>
      <c r="H176" s="33">
        <v>19.600000000000001</v>
      </c>
      <c r="I176" s="33"/>
      <c r="J176" s="23" t="s">
        <v>34</v>
      </c>
      <c r="K176" s="25" t="s">
        <v>35</v>
      </c>
      <c r="L176" s="23" t="s">
        <v>35</v>
      </c>
      <c r="M176" s="23" t="s">
        <v>198</v>
      </c>
      <c r="N176" s="23" t="s">
        <v>197</v>
      </c>
      <c r="O176" s="23" t="s">
        <v>199</v>
      </c>
      <c r="P176" s="23" t="s">
        <v>200</v>
      </c>
      <c r="Q176" s="23" t="s">
        <v>201</v>
      </c>
      <c r="R176" s="23" t="s">
        <v>39</v>
      </c>
      <c r="S176" s="23" t="s">
        <v>202</v>
      </c>
    </row>
    <row r="177" spans="1:19" ht="48" x14ac:dyDescent="0.2">
      <c r="A177" s="30" t="s">
        <v>188</v>
      </c>
      <c r="B177" s="24" t="s">
        <v>176</v>
      </c>
      <c r="C177" s="24" t="s">
        <v>152</v>
      </c>
      <c r="D177" s="24" t="s">
        <v>32</v>
      </c>
      <c r="E177" s="24" t="s">
        <v>33</v>
      </c>
      <c r="F177" s="41" t="s">
        <v>618</v>
      </c>
      <c r="G177" s="24"/>
      <c r="H177" s="34">
        <v>11.52</v>
      </c>
      <c r="I177" s="34"/>
      <c r="J177" s="24" t="s">
        <v>34</v>
      </c>
      <c r="K177" s="26" t="s">
        <v>35</v>
      </c>
      <c r="L177" s="24" t="s">
        <v>35</v>
      </c>
      <c r="M177" s="24" t="s">
        <v>153</v>
      </c>
      <c r="N177" s="24" t="s">
        <v>152</v>
      </c>
      <c r="O177" s="24" t="s">
        <v>139</v>
      </c>
      <c r="P177" s="24" t="s">
        <v>37</v>
      </c>
      <c r="Q177" s="24" t="s">
        <v>38</v>
      </c>
      <c r="R177" s="24" t="s">
        <v>39</v>
      </c>
      <c r="S177" s="24" t="s">
        <v>203</v>
      </c>
    </row>
    <row r="178" spans="1:19" ht="32" x14ac:dyDescent="0.2">
      <c r="A178" s="30" t="s">
        <v>176</v>
      </c>
      <c r="B178" s="24" t="s">
        <v>168</v>
      </c>
      <c r="C178" s="24" t="s">
        <v>41</v>
      </c>
      <c r="D178" s="24" t="s">
        <v>32</v>
      </c>
      <c r="E178" s="24" t="s">
        <v>33</v>
      </c>
      <c r="F178" s="24" t="s">
        <v>618</v>
      </c>
      <c r="G178" s="24"/>
      <c r="H178" s="34">
        <v>25.95</v>
      </c>
      <c r="I178" s="34"/>
      <c r="J178" s="24" t="s">
        <v>34</v>
      </c>
      <c r="K178" s="26" t="s">
        <v>35</v>
      </c>
      <c r="L178" s="24" t="s">
        <v>35</v>
      </c>
      <c r="M178" s="24" t="s">
        <v>35</v>
      </c>
      <c r="N178" s="24" t="s">
        <v>41</v>
      </c>
      <c r="O178" s="24" t="s">
        <v>42</v>
      </c>
      <c r="P178" s="24" t="s">
        <v>43</v>
      </c>
      <c r="Q178" s="24" t="s">
        <v>44</v>
      </c>
      <c r="R178" s="24" t="s">
        <v>39</v>
      </c>
      <c r="S178" s="24" t="s">
        <v>178</v>
      </c>
    </row>
    <row r="179" spans="1:19" x14ac:dyDescent="0.2">
      <c r="A179" s="37">
        <v>45681</v>
      </c>
      <c r="B179" s="39"/>
      <c r="C179" t="s">
        <v>580</v>
      </c>
      <c r="D179" s="11" t="s">
        <v>571</v>
      </c>
      <c r="E179" t="s">
        <v>572</v>
      </c>
      <c r="F179" t="s">
        <v>618</v>
      </c>
      <c r="H179" s="4">
        <v>6.39</v>
      </c>
      <c r="J179" t="s">
        <v>34</v>
      </c>
      <c r="K179" t="s">
        <v>573</v>
      </c>
      <c r="M179">
        <v>-5371.22</v>
      </c>
      <c r="N179" t="s">
        <v>581</v>
      </c>
      <c r="O179" t="s">
        <v>582</v>
      </c>
    </row>
    <row r="180" spans="1:19" ht="16" x14ac:dyDescent="0.2">
      <c r="A180" s="37">
        <v>45681</v>
      </c>
      <c r="B180" s="40"/>
      <c r="C180" t="s">
        <v>555</v>
      </c>
      <c r="D180" s="11" t="s">
        <v>544</v>
      </c>
      <c r="E180" t="s">
        <v>545</v>
      </c>
      <c r="F180" s="23" t="s">
        <v>618</v>
      </c>
      <c r="H180" s="4">
        <v>48.5</v>
      </c>
    </row>
    <row r="181" spans="1:19" ht="16" x14ac:dyDescent="0.2">
      <c r="A181" s="37">
        <v>45681</v>
      </c>
      <c r="B181" s="39"/>
      <c r="C181" t="s">
        <v>577</v>
      </c>
      <c r="D181" s="11" t="s">
        <v>571</v>
      </c>
      <c r="E181" t="s">
        <v>572</v>
      </c>
      <c r="F181" s="24" t="s">
        <v>618</v>
      </c>
      <c r="H181" s="4">
        <v>20.34</v>
      </c>
      <c r="J181" t="s">
        <v>34</v>
      </c>
      <c r="K181" t="s">
        <v>573</v>
      </c>
      <c r="M181">
        <v>-5391.56</v>
      </c>
      <c r="N181" t="s">
        <v>578</v>
      </c>
      <c r="O181" t="s">
        <v>579</v>
      </c>
    </row>
    <row r="182" spans="1:19" ht="32" x14ac:dyDescent="0.2">
      <c r="A182" s="29" t="s">
        <v>168</v>
      </c>
      <c r="B182" s="23" t="s">
        <v>158</v>
      </c>
      <c r="C182" s="23" t="s">
        <v>91</v>
      </c>
      <c r="D182" s="23" t="s">
        <v>47</v>
      </c>
      <c r="E182" s="23" t="s">
        <v>48</v>
      </c>
      <c r="F182" s="23" t="s">
        <v>618</v>
      </c>
      <c r="G182" s="23"/>
      <c r="H182" s="33">
        <v>48.36</v>
      </c>
      <c r="I182" s="33"/>
      <c r="J182" s="23" t="s">
        <v>34</v>
      </c>
      <c r="K182" s="25" t="s">
        <v>35</v>
      </c>
      <c r="L182" s="23" t="s">
        <v>35</v>
      </c>
      <c r="M182" s="23" t="s">
        <v>35</v>
      </c>
      <c r="N182" s="23" t="s">
        <v>91</v>
      </c>
      <c r="O182" s="23" t="s">
        <v>92</v>
      </c>
      <c r="P182" s="23" t="s">
        <v>93</v>
      </c>
      <c r="Q182" s="23" t="s">
        <v>38</v>
      </c>
      <c r="R182" s="23" t="s">
        <v>39</v>
      </c>
      <c r="S182" s="23" t="s">
        <v>170</v>
      </c>
    </row>
    <row r="183" spans="1:19" ht="32" x14ac:dyDescent="0.2">
      <c r="A183" s="30" t="s">
        <v>168</v>
      </c>
      <c r="B183" s="24" t="s">
        <v>158</v>
      </c>
      <c r="C183" s="24" t="s">
        <v>171</v>
      </c>
      <c r="D183" s="24" t="s">
        <v>32</v>
      </c>
      <c r="E183" s="24" t="s">
        <v>33</v>
      </c>
      <c r="F183" s="24" t="s">
        <v>618</v>
      </c>
      <c r="G183" s="24"/>
      <c r="H183" s="34">
        <v>40.950000000000003</v>
      </c>
      <c r="I183" s="34"/>
      <c r="J183" s="24" t="s">
        <v>34</v>
      </c>
      <c r="K183" s="26" t="s">
        <v>35</v>
      </c>
      <c r="L183" s="24" t="s">
        <v>35</v>
      </c>
      <c r="M183" s="24" t="s">
        <v>35</v>
      </c>
      <c r="N183" s="24" t="s">
        <v>171</v>
      </c>
      <c r="O183" s="24" t="s">
        <v>172</v>
      </c>
      <c r="P183" s="24" t="s">
        <v>173</v>
      </c>
      <c r="Q183" s="24" t="s">
        <v>174</v>
      </c>
      <c r="R183" s="24" t="s">
        <v>39</v>
      </c>
      <c r="S183" s="24" t="s">
        <v>175</v>
      </c>
    </row>
    <row r="184" spans="1:19" ht="48" x14ac:dyDescent="0.2">
      <c r="A184" s="29" t="s">
        <v>158</v>
      </c>
      <c r="B184" s="23" t="s">
        <v>95</v>
      </c>
      <c r="C184" s="23" t="s">
        <v>141</v>
      </c>
      <c r="D184" s="23" t="s">
        <v>32</v>
      </c>
      <c r="E184" s="23" t="s">
        <v>33</v>
      </c>
      <c r="F184" s="23" t="s">
        <v>618</v>
      </c>
      <c r="G184" s="23"/>
      <c r="H184" s="33">
        <v>29.99</v>
      </c>
      <c r="I184" s="33"/>
      <c r="J184" s="23" t="s">
        <v>34</v>
      </c>
      <c r="K184" s="25" t="s">
        <v>35</v>
      </c>
      <c r="L184" s="23" t="s">
        <v>35</v>
      </c>
      <c r="M184" s="23" t="s">
        <v>138</v>
      </c>
      <c r="N184" s="23" t="s">
        <v>141</v>
      </c>
      <c r="O184" s="23" t="s">
        <v>148</v>
      </c>
      <c r="P184" s="23" t="s">
        <v>37</v>
      </c>
      <c r="Q184" s="23" t="s">
        <v>38</v>
      </c>
      <c r="R184" s="23" t="s">
        <v>39</v>
      </c>
      <c r="S184" s="23" t="s">
        <v>167</v>
      </c>
    </row>
    <row r="185" spans="1:19" ht="32" x14ac:dyDescent="0.2">
      <c r="A185" s="29" t="s">
        <v>124</v>
      </c>
      <c r="B185" s="23" t="s">
        <v>95</v>
      </c>
      <c r="C185" s="23" t="s">
        <v>31</v>
      </c>
      <c r="D185" s="23" t="s">
        <v>32</v>
      </c>
      <c r="E185" s="23" t="s">
        <v>33</v>
      </c>
      <c r="F185" s="23" t="s">
        <v>618</v>
      </c>
      <c r="G185" s="23"/>
      <c r="H185" s="33">
        <v>5.99</v>
      </c>
      <c r="I185" s="33"/>
      <c r="J185" s="23" t="s">
        <v>34</v>
      </c>
      <c r="K185" s="25" t="s">
        <v>35</v>
      </c>
      <c r="L185" s="23" t="s">
        <v>35</v>
      </c>
      <c r="M185" s="23" t="s">
        <v>35</v>
      </c>
      <c r="N185" s="23" t="s">
        <v>31</v>
      </c>
      <c r="O185" s="23" t="s">
        <v>36</v>
      </c>
      <c r="P185" s="23" t="s">
        <v>37</v>
      </c>
      <c r="Q185" s="23" t="s">
        <v>38</v>
      </c>
      <c r="R185" s="23" t="s">
        <v>39</v>
      </c>
      <c r="S185" s="23" t="s">
        <v>125</v>
      </c>
    </row>
    <row r="186" spans="1:19" ht="32" x14ac:dyDescent="0.2">
      <c r="A186" s="30" t="s">
        <v>124</v>
      </c>
      <c r="B186" s="24" t="s">
        <v>95</v>
      </c>
      <c r="C186" s="24" t="s">
        <v>31</v>
      </c>
      <c r="D186" s="24" t="s">
        <v>47</v>
      </c>
      <c r="E186" s="24" t="s">
        <v>48</v>
      </c>
      <c r="F186" s="41" t="s">
        <v>618</v>
      </c>
      <c r="G186" s="24"/>
      <c r="H186" s="34">
        <v>39.99</v>
      </c>
      <c r="I186" s="34"/>
      <c r="J186" s="24" t="s">
        <v>34</v>
      </c>
      <c r="K186" s="26" t="s">
        <v>35</v>
      </c>
      <c r="L186" s="24" t="s">
        <v>35</v>
      </c>
      <c r="M186" s="24" t="s">
        <v>35</v>
      </c>
      <c r="N186" s="24" t="s">
        <v>31</v>
      </c>
      <c r="O186" s="24" t="s">
        <v>36</v>
      </c>
      <c r="P186" s="24" t="s">
        <v>37</v>
      </c>
      <c r="Q186" s="24" t="s">
        <v>38</v>
      </c>
      <c r="R186" s="24" t="s">
        <v>39</v>
      </c>
      <c r="S186" s="24" t="s">
        <v>126</v>
      </c>
    </row>
    <row r="187" spans="1:19" ht="32" x14ac:dyDescent="0.2">
      <c r="A187" s="30" t="s">
        <v>124</v>
      </c>
      <c r="B187" s="24" t="s">
        <v>95</v>
      </c>
      <c r="C187" s="24" t="s">
        <v>132</v>
      </c>
      <c r="D187" s="24" t="s">
        <v>47</v>
      </c>
      <c r="E187" s="24" t="s">
        <v>48</v>
      </c>
      <c r="F187" s="24" t="s">
        <v>618</v>
      </c>
      <c r="G187" s="24"/>
      <c r="H187" s="34">
        <v>13.99</v>
      </c>
      <c r="I187" s="34"/>
      <c r="J187" s="24" t="s">
        <v>34</v>
      </c>
      <c r="K187" s="26" t="s">
        <v>35</v>
      </c>
      <c r="L187" s="24" t="s">
        <v>35</v>
      </c>
      <c r="M187" s="24" t="s">
        <v>35</v>
      </c>
      <c r="N187" s="24" t="s">
        <v>132</v>
      </c>
      <c r="O187" s="24" t="s">
        <v>133</v>
      </c>
      <c r="P187" s="24" t="s">
        <v>134</v>
      </c>
      <c r="Q187" s="24" t="s">
        <v>135</v>
      </c>
      <c r="R187" s="24" t="s">
        <v>85</v>
      </c>
      <c r="S187" s="24" t="s">
        <v>136</v>
      </c>
    </row>
    <row r="188" spans="1:19" ht="48" x14ac:dyDescent="0.2">
      <c r="A188" s="29" t="s">
        <v>124</v>
      </c>
      <c r="B188" s="23" t="s">
        <v>95</v>
      </c>
      <c r="C188" s="23" t="s">
        <v>137</v>
      </c>
      <c r="D188" s="23" t="s">
        <v>32</v>
      </c>
      <c r="E188" s="23" t="s">
        <v>33</v>
      </c>
      <c r="F188" s="42" t="s">
        <v>618</v>
      </c>
      <c r="G188" s="42"/>
      <c r="H188" s="33">
        <v>25.95</v>
      </c>
      <c r="I188" s="33"/>
      <c r="J188" s="23" t="s">
        <v>34</v>
      </c>
      <c r="K188" s="25" t="s">
        <v>35</v>
      </c>
      <c r="L188" s="23" t="s">
        <v>35</v>
      </c>
      <c r="M188" s="23" t="s">
        <v>138</v>
      </c>
      <c r="N188" s="23" t="s">
        <v>137</v>
      </c>
      <c r="O188" s="23" t="s">
        <v>139</v>
      </c>
      <c r="P188" s="23" t="s">
        <v>37</v>
      </c>
      <c r="Q188" s="23" t="s">
        <v>38</v>
      </c>
      <c r="R188" s="23" t="s">
        <v>39</v>
      </c>
      <c r="S188" s="23" t="s">
        <v>140</v>
      </c>
    </row>
    <row r="189" spans="1:19" ht="48" x14ac:dyDescent="0.2">
      <c r="A189" s="30" t="s">
        <v>124</v>
      </c>
      <c r="B189" s="24" t="s">
        <v>90</v>
      </c>
      <c r="C189" s="24" t="s">
        <v>141</v>
      </c>
      <c r="D189" s="24" t="s">
        <v>32</v>
      </c>
      <c r="E189" s="24" t="s">
        <v>33</v>
      </c>
      <c r="F189" s="24" t="s">
        <v>618</v>
      </c>
      <c r="G189" s="24"/>
      <c r="H189" s="34">
        <v>-16.440000000000001</v>
      </c>
      <c r="I189" s="34"/>
      <c r="J189" s="24" t="s">
        <v>34</v>
      </c>
      <c r="K189" s="26" t="s">
        <v>35</v>
      </c>
      <c r="L189" s="24" t="s">
        <v>35</v>
      </c>
      <c r="M189" s="24" t="s">
        <v>138</v>
      </c>
      <c r="N189" s="24" t="s">
        <v>141</v>
      </c>
      <c r="O189" s="24" t="s">
        <v>142</v>
      </c>
      <c r="P189" s="24" t="s">
        <v>143</v>
      </c>
      <c r="Q189" s="24" t="s">
        <v>144</v>
      </c>
      <c r="R189" s="24" t="s">
        <v>145</v>
      </c>
      <c r="S189" s="24" t="s">
        <v>146</v>
      </c>
    </row>
    <row r="190" spans="1:19" ht="48" x14ac:dyDescent="0.2">
      <c r="A190" s="29" t="s">
        <v>124</v>
      </c>
      <c r="B190" s="23" t="s">
        <v>90</v>
      </c>
      <c r="C190" s="23" t="s">
        <v>141</v>
      </c>
      <c r="D190" s="23" t="s">
        <v>32</v>
      </c>
      <c r="E190" s="23" t="s">
        <v>33</v>
      </c>
      <c r="F190" s="23" t="s">
        <v>618</v>
      </c>
      <c r="G190" s="23"/>
      <c r="H190" s="33">
        <v>-13.91</v>
      </c>
      <c r="I190" s="33"/>
      <c r="J190" s="23" t="s">
        <v>34</v>
      </c>
      <c r="K190" s="25" t="s">
        <v>35</v>
      </c>
      <c r="L190" s="23" t="s">
        <v>35</v>
      </c>
      <c r="M190" s="23" t="s">
        <v>138</v>
      </c>
      <c r="N190" s="23" t="s">
        <v>141</v>
      </c>
      <c r="O190" s="23" t="s">
        <v>142</v>
      </c>
      <c r="P190" s="23" t="s">
        <v>143</v>
      </c>
      <c r="Q190" s="23" t="s">
        <v>144</v>
      </c>
      <c r="R190" s="23" t="s">
        <v>145</v>
      </c>
      <c r="S190" s="23" t="s">
        <v>147</v>
      </c>
    </row>
    <row r="191" spans="1:19" ht="48" x14ac:dyDescent="0.2">
      <c r="A191" s="30" t="s">
        <v>124</v>
      </c>
      <c r="B191" s="24" t="s">
        <v>95</v>
      </c>
      <c r="C191" s="24" t="s">
        <v>141</v>
      </c>
      <c r="D191" s="24" t="s">
        <v>32</v>
      </c>
      <c r="E191" s="24" t="s">
        <v>33</v>
      </c>
      <c r="F191" s="24" t="s">
        <v>618</v>
      </c>
      <c r="G191" s="24"/>
      <c r="H191" s="34">
        <v>13.45</v>
      </c>
      <c r="I191" s="34"/>
      <c r="J191" s="24" t="s">
        <v>34</v>
      </c>
      <c r="K191" s="26" t="s">
        <v>35</v>
      </c>
      <c r="L191" s="24" t="s">
        <v>35</v>
      </c>
      <c r="M191" s="24" t="s">
        <v>138</v>
      </c>
      <c r="N191" s="24" t="s">
        <v>141</v>
      </c>
      <c r="O191" s="24" t="s">
        <v>148</v>
      </c>
      <c r="P191" s="24" t="s">
        <v>37</v>
      </c>
      <c r="Q191" s="24" t="s">
        <v>38</v>
      </c>
      <c r="R191" s="24" t="s">
        <v>39</v>
      </c>
      <c r="S191" s="24" t="s">
        <v>149</v>
      </c>
    </row>
    <row r="192" spans="1:19" ht="48" x14ac:dyDescent="0.2">
      <c r="A192" s="29" t="s">
        <v>124</v>
      </c>
      <c r="B192" s="23" t="s">
        <v>95</v>
      </c>
      <c r="C192" s="23" t="s">
        <v>141</v>
      </c>
      <c r="D192" s="23" t="s">
        <v>32</v>
      </c>
      <c r="E192" s="23" t="s">
        <v>33</v>
      </c>
      <c r="F192" s="42" t="s">
        <v>618</v>
      </c>
      <c r="G192" s="23"/>
      <c r="H192" s="33">
        <v>13.91</v>
      </c>
      <c r="I192" s="33"/>
      <c r="J192" s="23" t="s">
        <v>34</v>
      </c>
      <c r="K192" s="25" t="s">
        <v>35</v>
      </c>
      <c r="L192" s="23" t="s">
        <v>35</v>
      </c>
      <c r="M192" s="23" t="s">
        <v>138</v>
      </c>
      <c r="N192" s="23" t="s">
        <v>141</v>
      </c>
      <c r="O192" s="23" t="s">
        <v>142</v>
      </c>
      <c r="P192" s="23" t="s">
        <v>143</v>
      </c>
      <c r="Q192" s="23" t="s">
        <v>144</v>
      </c>
      <c r="R192" s="23" t="s">
        <v>145</v>
      </c>
      <c r="S192" s="23" t="s">
        <v>150</v>
      </c>
    </row>
    <row r="193" spans="1:19" ht="48" x14ac:dyDescent="0.2">
      <c r="A193" s="30" t="s">
        <v>124</v>
      </c>
      <c r="B193" s="24" t="s">
        <v>95</v>
      </c>
      <c r="C193" s="24" t="s">
        <v>141</v>
      </c>
      <c r="D193" s="24" t="s">
        <v>32</v>
      </c>
      <c r="E193" s="24" t="s">
        <v>33</v>
      </c>
      <c r="F193" s="24" t="s">
        <v>618</v>
      </c>
      <c r="G193" s="24"/>
      <c r="H193" s="34">
        <v>17.95</v>
      </c>
      <c r="I193" s="34"/>
      <c r="J193" s="24" t="s">
        <v>34</v>
      </c>
      <c r="K193" s="26" t="s">
        <v>35</v>
      </c>
      <c r="L193" s="24" t="s">
        <v>35</v>
      </c>
      <c r="M193" s="24" t="s">
        <v>138</v>
      </c>
      <c r="N193" s="24" t="s">
        <v>141</v>
      </c>
      <c r="O193" s="24" t="s">
        <v>148</v>
      </c>
      <c r="P193" s="24" t="s">
        <v>37</v>
      </c>
      <c r="Q193" s="24" t="s">
        <v>38</v>
      </c>
      <c r="R193" s="24" t="s">
        <v>39</v>
      </c>
      <c r="S193" s="24" t="s">
        <v>151</v>
      </c>
    </row>
    <row r="194" spans="1:19" ht="48" x14ac:dyDescent="0.2">
      <c r="A194" s="29" t="s">
        <v>124</v>
      </c>
      <c r="B194" s="23" t="s">
        <v>95</v>
      </c>
      <c r="C194" s="23" t="s">
        <v>152</v>
      </c>
      <c r="D194" s="23" t="s">
        <v>32</v>
      </c>
      <c r="E194" s="23" t="s">
        <v>33</v>
      </c>
      <c r="F194" s="23" t="s">
        <v>618</v>
      </c>
      <c r="G194" s="23"/>
      <c r="H194" s="33">
        <v>17.61</v>
      </c>
      <c r="I194" s="33"/>
      <c r="J194" s="23" t="s">
        <v>34</v>
      </c>
      <c r="K194" s="25" t="s">
        <v>35</v>
      </c>
      <c r="L194" s="23" t="s">
        <v>35</v>
      </c>
      <c r="M194" s="23" t="s">
        <v>153</v>
      </c>
      <c r="N194" s="23" t="s">
        <v>152</v>
      </c>
      <c r="O194" s="23" t="s">
        <v>139</v>
      </c>
      <c r="P194" s="23" t="s">
        <v>37</v>
      </c>
      <c r="Q194" s="23" t="s">
        <v>38</v>
      </c>
      <c r="R194" s="23" t="s">
        <v>39</v>
      </c>
      <c r="S194" s="23" t="s">
        <v>154</v>
      </c>
    </row>
    <row r="195" spans="1:19" ht="48" x14ac:dyDescent="0.2">
      <c r="A195" s="30" t="s">
        <v>124</v>
      </c>
      <c r="B195" s="24" t="s">
        <v>95</v>
      </c>
      <c r="C195" s="24" t="s">
        <v>152</v>
      </c>
      <c r="D195" s="24" t="s">
        <v>32</v>
      </c>
      <c r="E195" s="24" t="s">
        <v>33</v>
      </c>
      <c r="F195" s="24" t="s">
        <v>618</v>
      </c>
      <c r="G195" s="24"/>
      <c r="H195" s="34">
        <v>18.96</v>
      </c>
      <c r="I195" s="34"/>
      <c r="J195" s="24" t="s">
        <v>34</v>
      </c>
      <c r="K195" s="26" t="s">
        <v>35</v>
      </c>
      <c r="L195" s="24" t="s">
        <v>35</v>
      </c>
      <c r="M195" s="24" t="s">
        <v>153</v>
      </c>
      <c r="N195" s="24" t="s">
        <v>152</v>
      </c>
      <c r="O195" s="24" t="s">
        <v>139</v>
      </c>
      <c r="P195" s="24" t="s">
        <v>37</v>
      </c>
      <c r="Q195" s="24" t="s">
        <v>38</v>
      </c>
      <c r="R195" s="24" t="s">
        <v>39</v>
      </c>
      <c r="S195" s="24" t="s">
        <v>155</v>
      </c>
    </row>
    <row r="196" spans="1:19" ht="48" x14ac:dyDescent="0.2">
      <c r="A196" s="29" t="s">
        <v>124</v>
      </c>
      <c r="B196" s="23" t="s">
        <v>95</v>
      </c>
      <c r="C196" s="23" t="s">
        <v>152</v>
      </c>
      <c r="D196" s="23" t="s">
        <v>32</v>
      </c>
      <c r="E196" s="23" t="s">
        <v>33</v>
      </c>
      <c r="F196" s="23" t="s">
        <v>618</v>
      </c>
      <c r="G196" s="23"/>
      <c r="H196" s="33">
        <v>42.26</v>
      </c>
      <c r="I196" s="33"/>
      <c r="J196" s="23" t="s">
        <v>34</v>
      </c>
      <c r="K196" s="25" t="s">
        <v>35</v>
      </c>
      <c r="L196" s="23" t="s">
        <v>35</v>
      </c>
      <c r="M196" s="23" t="s">
        <v>153</v>
      </c>
      <c r="N196" s="23" t="s">
        <v>152</v>
      </c>
      <c r="O196" s="23" t="s">
        <v>139</v>
      </c>
      <c r="P196" s="23" t="s">
        <v>37</v>
      </c>
      <c r="Q196" s="23" t="s">
        <v>38</v>
      </c>
      <c r="R196" s="23" t="s">
        <v>39</v>
      </c>
      <c r="S196" s="23" t="s">
        <v>156</v>
      </c>
    </row>
    <row r="197" spans="1:19" ht="48" x14ac:dyDescent="0.2">
      <c r="A197" s="30" t="s">
        <v>124</v>
      </c>
      <c r="B197" s="24" t="s">
        <v>95</v>
      </c>
      <c r="C197" s="24" t="s">
        <v>152</v>
      </c>
      <c r="D197" s="24" t="s">
        <v>32</v>
      </c>
      <c r="E197" s="24" t="s">
        <v>33</v>
      </c>
      <c r="F197" s="24" t="s">
        <v>618</v>
      </c>
      <c r="G197" s="24"/>
      <c r="H197" s="34">
        <v>79.709999999999994</v>
      </c>
      <c r="I197" s="34"/>
      <c r="J197" s="24" t="s">
        <v>34</v>
      </c>
      <c r="K197" s="26" t="s">
        <v>35</v>
      </c>
      <c r="L197" s="24" t="s">
        <v>35</v>
      </c>
      <c r="M197" s="24" t="s">
        <v>153</v>
      </c>
      <c r="N197" s="24" t="s">
        <v>152</v>
      </c>
      <c r="O197" s="24" t="s">
        <v>139</v>
      </c>
      <c r="P197" s="24" t="s">
        <v>37</v>
      </c>
      <c r="Q197" s="24" t="s">
        <v>38</v>
      </c>
      <c r="R197" s="24" t="s">
        <v>39</v>
      </c>
      <c r="S197" s="24" t="s">
        <v>157</v>
      </c>
    </row>
    <row r="198" spans="1:19" ht="32" x14ac:dyDescent="0.2">
      <c r="A198" s="30" t="s">
        <v>95</v>
      </c>
      <c r="B198" s="24" t="s">
        <v>95</v>
      </c>
      <c r="C198" s="24" t="s">
        <v>96</v>
      </c>
      <c r="D198" s="24" t="s">
        <v>47</v>
      </c>
      <c r="E198" s="24" t="s">
        <v>48</v>
      </c>
      <c r="F198" s="24" t="s">
        <v>618</v>
      </c>
      <c r="G198" s="24"/>
      <c r="H198" s="34">
        <v>85</v>
      </c>
      <c r="I198" s="34"/>
      <c r="J198" s="24" t="s">
        <v>34</v>
      </c>
      <c r="K198" s="26" t="s">
        <v>35</v>
      </c>
      <c r="L198" s="24" t="s">
        <v>35</v>
      </c>
      <c r="M198" s="24" t="s">
        <v>35</v>
      </c>
      <c r="N198" s="24" t="s">
        <v>96</v>
      </c>
      <c r="O198" s="24" t="s">
        <v>97</v>
      </c>
      <c r="P198" s="24" t="s">
        <v>98</v>
      </c>
      <c r="Q198" s="24" t="s">
        <v>99</v>
      </c>
      <c r="R198" s="24" t="s">
        <v>39</v>
      </c>
      <c r="S198" s="24" t="s">
        <v>100</v>
      </c>
    </row>
    <row r="199" spans="1:19" ht="32" x14ac:dyDescent="0.2">
      <c r="A199" s="29" t="s">
        <v>95</v>
      </c>
      <c r="B199" s="23" t="s">
        <v>90</v>
      </c>
      <c r="C199" s="23" t="s">
        <v>101</v>
      </c>
      <c r="D199" s="23" t="s">
        <v>32</v>
      </c>
      <c r="E199" s="23" t="s">
        <v>33</v>
      </c>
      <c r="F199" s="23" t="s">
        <v>618</v>
      </c>
      <c r="G199" s="23"/>
      <c r="H199" s="33">
        <v>26.4</v>
      </c>
      <c r="I199" s="33"/>
      <c r="J199" s="23" t="s">
        <v>34</v>
      </c>
      <c r="K199" s="25" t="s">
        <v>35</v>
      </c>
      <c r="L199" s="23" t="s">
        <v>35</v>
      </c>
      <c r="M199" s="23" t="s">
        <v>35</v>
      </c>
      <c r="N199" s="23" t="s">
        <v>101</v>
      </c>
      <c r="O199" s="23" t="s">
        <v>102</v>
      </c>
      <c r="P199" s="23" t="s">
        <v>103</v>
      </c>
      <c r="Q199" s="23" t="s">
        <v>104</v>
      </c>
      <c r="R199" s="23" t="s">
        <v>39</v>
      </c>
      <c r="S199" s="23" t="s">
        <v>105</v>
      </c>
    </row>
    <row r="200" spans="1:19" x14ac:dyDescent="0.2">
      <c r="A200" s="37">
        <v>45685</v>
      </c>
      <c r="B200" s="40"/>
      <c r="C200" t="s">
        <v>550</v>
      </c>
      <c r="D200" s="11" t="s">
        <v>544</v>
      </c>
      <c r="E200" t="s">
        <v>545</v>
      </c>
      <c r="F200" t="s">
        <v>618</v>
      </c>
      <c r="H200" s="4">
        <v>16.41</v>
      </c>
    </row>
    <row r="201" spans="1:19" x14ac:dyDescent="0.2">
      <c r="A201" s="37">
        <v>45685</v>
      </c>
      <c r="B201" s="40"/>
      <c r="C201" t="s">
        <v>550</v>
      </c>
      <c r="D201" s="11" t="s">
        <v>544</v>
      </c>
      <c r="E201" t="s">
        <v>545</v>
      </c>
      <c r="F201" t="s">
        <v>618</v>
      </c>
      <c r="H201" s="4">
        <v>16.41</v>
      </c>
    </row>
    <row r="202" spans="1:19" x14ac:dyDescent="0.2">
      <c r="A202" s="37">
        <v>45685</v>
      </c>
      <c r="B202" s="40"/>
      <c r="C202" t="s">
        <v>552</v>
      </c>
      <c r="D202" s="11" t="s">
        <v>544</v>
      </c>
      <c r="E202" t="s">
        <v>545</v>
      </c>
      <c r="F202" t="s">
        <v>618</v>
      </c>
      <c r="H202" s="4">
        <v>19.690000000000001</v>
      </c>
    </row>
    <row r="203" spans="1:19" x14ac:dyDescent="0.2">
      <c r="A203" s="37">
        <v>45685</v>
      </c>
      <c r="B203" s="40"/>
      <c r="C203" t="s">
        <v>549</v>
      </c>
      <c r="D203" s="11" t="s">
        <v>544</v>
      </c>
      <c r="E203" t="s">
        <v>545</v>
      </c>
      <c r="F203" t="s">
        <v>618</v>
      </c>
      <c r="H203" s="4">
        <v>32.83</v>
      </c>
    </row>
    <row r="204" spans="1:19" x14ac:dyDescent="0.2">
      <c r="A204" s="37">
        <v>45685</v>
      </c>
      <c r="B204" s="40"/>
      <c r="C204" t="s">
        <v>551</v>
      </c>
      <c r="D204" s="11" t="s">
        <v>544</v>
      </c>
      <c r="E204" t="s">
        <v>545</v>
      </c>
      <c r="F204" t="s">
        <v>618</v>
      </c>
      <c r="H204" s="4">
        <v>36.1</v>
      </c>
    </row>
    <row r="205" spans="1:19" x14ac:dyDescent="0.2">
      <c r="A205" s="37">
        <v>45685</v>
      </c>
      <c r="B205" s="40"/>
      <c r="C205" t="s">
        <v>554</v>
      </c>
      <c r="D205" s="11" t="s">
        <v>544</v>
      </c>
      <c r="E205" t="s">
        <v>545</v>
      </c>
      <c r="F205" t="s">
        <v>618</v>
      </c>
      <c r="H205" s="4">
        <v>7.22</v>
      </c>
    </row>
    <row r="206" spans="1:19" x14ac:dyDescent="0.2">
      <c r="A206" s="37">
        <v>45685</v>
      </c>
      <c r="B206" s="40"/>
      <c r="C206" t="s">
        <v>553</v>
      </c>
      <c r="D206" s="11" t="s">
        <v>544</v>
      </c>
      <c r="E206" t="s">
        <v>545</v>
      </c>
      <c r="F206" s="43" t="s">
        <v>618</v>
      </c>
      <c r="H206" s="4">
        <v>14.43</v>
      </c>
    </row>
    <row r="207" spans="1:19" ht="32" x14ac:dyDescent="0.2">
      <c r="A207" s="29" t="s">
        <v>90</v>
      </c>
      <c r="B207" s="23" t="s">
        <v>60</v>
      </c>
      <c r="C207" s="23" t="s">
        <v>91</v>
      </c>
      <c r="D207" s="23" t="s">
        <v>47</v>
      </c>
      <c r="E207" s="23" t="s">
        <v>48</v>
      </c>
      <c r="F207" s="42" t="s">
        <v>618</v>
      </c>
      <c r="G207" s="23"/>
      <c r="H207" s="33">
        <v>45.14</v>
      </c>
      <c r="I207" s="33"/>
      <c r="J207" s="23" t="s">
        <v>34</v>
      </c>
      <c r="K207" s="25" t="s">
        <v>35</v>
      </c>
      <c r="L207" s="23" t="s">
        <v>35</v>
      </c>
      <c r="M207" s="23" t="s">
        <v>35</v>
      </c>
      <c r="N207" s="23" t="s">
        <v>91</v>
      </c>
      <c r="O207" s="23" t="s">
        <v>92</v>
      </c>
      <c r="P207" s="23" t="s">
        <v>93</v>
      </c>
      <c r="Q207" s="23" t="s">
        <v>38</v>
      </c>
      <c r="R207" s="23" t="s">
        <v>39</v>
      </c>
      <c r="S207" s="23" t="s">
        <v>94</v>
      </c>
    </row>
    <row r="208" spans="1:19" x14ac:dyDescent="0.2">
      <c r="A208" s="37">
        <v>45686</v>
      </c>
      <c r="B208" s="40"/>
      <c r="C208" t="s">
        <v>547</v>
      </c>
      <c r="D208" s="11" t="s">
        <v>544</v>
      </c>
      <c r="E208" t="s">
        <v>545</v>
      </c>
      <c r="F208" s="43" t="s">
        <v>618</v>
      </c>
      <c r="H208" s="4">
        <v>68.78</v>
      </c>
    </row>
    <row r="209" spans="1:19" ht="16" x14ac:dyDescent="0.2">
      <c r="A209" s="37">
        <v>45686</v>
      </c>
      <c r="B209" s="40"/>
      <c r="C209" t="s">
        <v>548</v>
      </c>
      <c r="D209" s="11" t="s">
        <v>544</v>
      </c>
      <c r="E209" t="s">
        <v>545</v>
      </c>
      <c r="F209" s="41" t="s">
        <v>618</v>
      </c>
      <c r="H209" s="4">
        <v>19.79</v>
      </c>
    </row>
    <row r="210" spans="1:19" ht="32" x14ac:dyDescent="0.2">
      <c r="A210" s="29" t="s">
        <v>60</v>
      </c>
      <c r="B210" s="23" t="s">
        <v>29</v>
      </c>
      <c r="C210" s="23" t="s">
        <v>61</v>
      </c>
      <c r="D210" s="23" t="s">
        <v>32</v>
      </c>
      <c r="E210" s="23" t="s">
        <v>33</v>
      </c>
      <c r="F210" s="23" t="s">
        <v>618</v>
      </c>
      <c r="G210" s="23"/>
      <c r="H210" s="33">
        <v>19.16</v>
      </c>
      <c r="I210" s="33"/>
      <c r="J210" s="23" t="s">
        <v>62</v>
      </c>
      <c r="K210" s="25">
        <v>0.56000000000000005</v>
      </c>
      <c r="L210" s="23" t="s">
        <v>35</v>
      </c>
      <c r="M210" s="23" t="s">
        <v>35</v>
      </c>
      <c r="N210" s="23" t="s">
        <v>61</v>
      </c>
      <c r="O210" s="23" t="s">
        <v>63</v>
      </c>
      <c r="P210" s="23" t="s">
        <v>35</v>
      </c>
      <c r="Q210" s="23" t="s">
        <v>64</v>
      </c>
      <c r="R210" s="23" t="s">
        <v>65</v>
      </c>
      <c r="S210" s="23" t="s">
        <v>66</v>
      </c>
    </row>
    <row r="211" spans="1:19" ht="32" x14ac:dyDescent="0.2">
      <c r="A211" s="30" t="s">
        <v>60</v>
      </c>
      <c r="B211" s="24" t="s">
        <v>60</v>
      </c>
      <c r="C211" s="24" t="s">
        <v>67</v>
      </c>
      <c r="D211" s="24" t="s">
        <v>32</v>
      </c>
      <c r="E211" s="24" t="s">
        <v>33</v>
      </c>
      <c r="F211" s="24" t="s">
        <v>618</v>
      </c>
      <c r="G211" s="24"/>
      <c r="H211" s="34">
        <v>5</v>
      </c>
      <c r="I211" s="34"/>
      <c r="J211" s="24" t="s">
        <v>34</v>
      </c>
      <c r="K211" s="26" t="s">
        <v>35</v>
      </c>
      <c r="L211" s="24" t="s">
        <v>35</v>
      </c>
      <c r="M211" s="24" t="s">
        <v>35</v>
      </c>
      <c r="N211" s="24" t="s">
        <v>67</v>
      </c>
      <c r="O211" s="24" t="s">
        <v>68</v>
      </c>
      <c r="P211" s="24" t="s">
        <v>69</v>
      </c>
      <c r="Q211" s="24" t="s">
        <v>70</v>
      </c>
      <c r="R211" s="24" t="s">
        <v>39</v>
      </c>
      <c r="S211" s="24" t="s">
        <v>71</v>
      </c>
    </row>
    <row r="212" spans="1:19" ht="32" x14ac:dyDescent="0.2">
      <c r="A212" s="30" t="s">
        <v>60</v>
      </c>
      <c r="B212" s="24" t="s">
        <v>29</v>
      </c>
      <c r="C212" s="24" t="s">
        <v>87</v>
      </c>
      <c r="D212" s="24" t="s">
        <v>32</v>
      </c>
      <c r="E212" s="24" t="s">
        <v>33</v>
      </c>
      <c r="F212" s="24" t="s">
        <v>618</v>
      </c>
      <c r="G212" s="24"/>
      <c r="H212" s="34">
        <v>12</v>
      </c>
      <c r="I212" s="34"/>
      <c r="J212" s="24" t="s">
        <v>34</v>
      </c>
      <c r="K212" s="26" t="s">
        <v>35</v>
      </c>
      <c r="L212" s="24" t="s">
        <v>35</v>
      </c>
      <c r="M212" s="24" t="s">
        <v>35</v>
      </c>
      <c r="N212" s="24" t="s">
        <v>87</v>
      </c>
      <c r="O212" s="24" t="s">
        <v>88</v>
      </c>
      <c r="P212" s="24" t="s">
        <v>50</v>
      </c>
      <c r="Q212" s="24" t="s">
        <v>51</v>
      </c>
      <c r="R212" s="24" t="s">
        <v>39</v>
      </c>
      <c r="S212" s="24" t="s">
        <v>89</v>
      </c>
    </row>
    <row r="213" spans="1:19" x14ac:dyDescent="0.2">
      <c r="A213" s="37">
        <v>45688</v>
      </c>
      <c r="B213" s="40"/>
      <c r="C213" t="s">
        <v>543</v>
      </c>
      <c r="D213" s="11" t="s">
        <v>544</v>
      </c>
      <c r="E213" t="s">
        <v>545</v>
      </c>
      <c r="F213" t="s">
        <v>618</v>
      </c>
      <c r="H213" s="4">
        <v>53.7</v>
      </c>
    </row>
    <row r="214" spans="1:19" ht="32" x14ac:dyDescent="0.2">
      <c r="A214" s="29" t="s">
        <v>29</v>
      </c>
      <c r="B214" s="23" t="s">
        <v>30</v>
      </c>
      <c r="C214" s="23" t="s">
        <v>41</v>
      </c>
      <c r="D214" s="23" t="s">
        <v>32</v>
      </c>
      <c r="E214" s="23" t="s">
        <v>33</v>
      </c>
      <c r="F214" s="23" t="s">
        <v>618</v>
      </c>
      <c r="G214" s="23"/>
      <c r="H214" s="33">
        <v>25.95</v>
      </c>
      <c r="I214" s="33"/>
      <c r="J214" s="23" t="s">
        <v>34</v>
      </c>
      <c r="K214" s="25" t="s">
        <v>35</v>
      </c>
      <c r="L214" s="23" t="s">
        <v>35</v>
      </c>
      <c r="M214" s="23" t="s">
        <v>35</v>
      </c>
      <c r="N214" s="23" t="s">
        <v>41</v>
      </c>
      <c r="O214" s="23" t="s">
        <v>42</v>
      </c>
      <c r="P214" s="23" t="s">
        <v>43</v>
      </c>
      <c r="Q214" s="23" t="s">
        <v>44</v>
      </c>
      <c r="R214" s="23" t="s">
        <v>39</v>
      </c>
      <c r="S214" s="23" t="s">
        <v>45</v>
      </c>
    </row>
    <row r="215" spans="1:19" ht="32" x14ac:dyDescent="0.2">
      <c r="A215" s="30" t="s">
        <v>29</v>
      </c>
      <c r="B215" s="24" t="s">
        <v>30</v>
      </c>
      <c r="C215" s="24" t="s">
        <v>46</v>
      </c>
      <c r="D215" s="24" t="s">
        <v>47</v>
      </c>
      <c r="E215" s="24" t="s">
        <v>48</v>
      </c>
      <c r="F215" s="41" t="s">
        <v>618</v>
      </c>
      <c r="G215" s="24"/>
      <c r="H215" s="34">
        <v>32.6</v>
      </c>
      <c r="I215" s="34"/>
      <c r="J215" s="24" t="s">
        <v>34</v>
      </c>
      <c r="K215" s="26" t="s">
        <v>35</v>
      </c>
      <c r="L215" s="24" t="s">
        <v>35</v>
      </c>
      <c r="M215" s="24" t="s">
        <v>35</v>
      </c>
      <c r="N215" s="24" t="s">
        <v>46</v>
      </c>
      <c r="O215" s="24" t="s">
        <v>49</v>
      </c>
      <c r="P215" s="24" t="s">
        <v>50</v>
      </c>
      <c r="Q215" s="24" t="s">
        <v>51</v>
      </c>
      <c r="R215" s="24" t="s">
        <v>39</v>
      </c>
      <c r="S215" s="24" t="s">
        <v>52</v>
      </c>
    </row>
  </sheetData>
  <sortState xmlns:xlrd2="http://schemas.microsoft.com/office/spreadsheetml/2017/richdata2" ref="A2:S215">
    <sortCondition ref="F2:F215"/>
    <sortCondition ref="A2:A215"/>
  </sortState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7F455-1BC1-6343-9A9D-61EE834355B0}">
  <dimension ref="A1:S7"/>
  <sheetViews>
    <sheetView workbookViewId="0">
      <selection activeCell="I8" sqref="I8"/>
    </sheetView>
  </sheetViews>
  <sheetFormatPr baseColWidth="10" defaultRowHeight="15" x14ac:dyDescent="0.2"/>
  <cols>
    <col min="3" max="3" width="36.6640625" bestFit="1" customWidth="1"/>
    <col min="4" max="4" width="10.1640625" bestFit="1" customWidth="1"/>
    <col min="7" max="7" width="28.33203125" customWidth="1"/>
    <col min="8" max="9" width="10.83203125" style="4"/>
  </cols>
  <sheetData>
    <row r="1" spans="1:19" ht="6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16</v>
      </c>
      <c r="G1" s="2" t="s">
        <v>17</v>
      </c>
      <c r="H1" s="5" t="s">
        <v>5</v>
      </c>
      <c r="I1" s="6" t="s">
        <v>18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</row>
    <row r="2" spans="1:19" x14ac:dyDescent="0.2">
      <c r="A2" s="3">
        <v>45679</v>
      </c>
      <c r="C2" t="s">
        <v>606</v>
      </c>
      <c r="D2">
        <v>465083897</v>
      </c>
      <c r="E2" t="s">
        <v>596</v>
      </c>
      <c r="F2" t="s">
        <v>612</v>
      </c>
      <c r="G2" t="s">
        <v>614</v>
      </c>
      <c r="H2" s="4">
        <v>577.5</v>
      </c>
      <c r="I2" s="4">
        <f>H2/11</f>
        <v>52.5</v>
      </c>
      <c r="J2" t="s">
        <v>598</v>
      </c>
      <c r="K2">
        <v>14668.67</v>
      </c>
      <c r="L2" t="s">
        <v>598</v>
      </c>
      <c r="M2">
        <v>112879</v>
      </c>
      <c r="N2">
        <v>995</v>
      </c>
    </row>
    <row r="3" spans="1:19" x14ac:dyDescent="0.2">
      <c r="A3" s="3">
        <v>45686</v>
      </c>
      <c r="C3" t="s">
        <v>607</v>
      </c>
      <c r="D3">
        <v>465083897</v>
      </c>
      <c r="E3" t="s">
        <v>596</v>
      </c>
      <c r="F3" t="s">
        <v>612</v>
      </c>
      <c r="G3" t="s">
        <v>614</v>
      </c>
      <c r="H3" s="4">
        <v>495</v>
      </c>
      <c r="I3" s="4">
        <f t="shared" ref="I3:I5" si="0">H3/11</f>
        <v>45</v>
      </c>
      <c r="J3" t="s">
        <v>598</v>
      </c>
      <c r="K3">
        <v>6182.11</v>
      </c>
      <c r="L3" t="s">
        <v>598</v>
      </c>
      <c r="M3">
        <v>112879</v>
      </c>
      <c r="N3">
        <v>995</v>
      </c>
    </row>
    <row r="4" spans="1:19" x14ac:dyDescent="0.2">
      <c r="A4" s="3">
        <v>45688</v>
      </c>
      <c r="C4" t="s">
        <v>608</v>
      </c>
      <c r="D4">
        <v>465083897</v>
      </c>
      <c r="E4" t="s">
        <v>596</v>
      </c>
      <c r="F4" t="s">
        <v>615</v>
      </c>
      <c r="G4" t="s">
        <v>616</v>
      </c>
      <c r="H4" s="4">
        <v>18.45</v>
      </c>
      <c r="I4" s="4">
        <v>0</v>
      </c>
      <c r="J4" t="s">
        <v>598</v>
      </c>
      <c r="K4">
        <v>6200.56</v>
      </c>
      <c r="L4" t="s">
        <v>598</v>
      </c>
      <c r="M4">
        <v>112879</v>
      </c>
      <c r="N4">
        <v>995</v>
      </c>
    </row>
    <row r="5" spans="1:19" x14ac:dyDescent="0.2">
      <c r="A5" s="3">
        <v>45686</v>
      </c>
      <c r="C5" t="s">
        <v>609</v>
      </c>
      <c r="D5" t="s">
        <v>610</v>
      </c>
      <c r="E5" t="s">
        <v>611</v>
      </c>
      <c r="F5" t="s">
        <v>612</v>
      </c>
      <c r="G5" t="s">
        <v>613</v>
      </c>
      <c r="H5" s="4">
        <v>5.04</v>
      </c>
      <c r="I5" s="4">
        <f t="shared" si="0"/>
        <v>0.45818181818181819</v>
      </c>
    </row>
    <row r="6" spans="1:19" x14ac:dyDescent="0.2">
      <c r="A6" s="3"/>
      <c r="B6" s="3"/>
    </row>
    <row r="7" spans="1:19" x14ac:dyDescent="0.2">
      <c r="A7" s="3"/>
      <c r="B7" s="3"/>
      <c r="H7" s="4">
        <f>SUM(H2:H6)</f>
        <v>1095.99</v>
      </c>
      <c r="I7" s="4">
        <f>SUM(I2:I6)</f>
        <v>97.958181818181814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EXPENSES BY CATEGORY SUBTOTALLE</vt:lpstr>
      <vt:lpstr>EXPENSES MASTER SCDEDULE</vt:lpstr>
      <vt:lpstr>INCOME MASTER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Jason Masters</cp:lastModifiedBy>
  <dcterms:created xsi:type="dcterms:W3CDTF">2025-07-05T02:01:03Z</dcterms:created>
  <dcterms:modified xsi:type="dcterms:W3CDTF">2025-07-22T08:58:56Z</dcterms:modified>
</cp:coreProperties>
</file>