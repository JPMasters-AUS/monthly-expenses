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5-02/"/>
    </mc:Choice>
  </mc:AlternateContent>
  <xr:revisionPtr revIDLastSave="0" documentId="13_ncr:1_{88BA86CB-6CFC-C440-A048-3DC4A30BF15A}" xr6:coauthVersionLast="47" xr6:coauthVersionMax="47" xr10:uidLastSave="{00000000-0000-0000-0000-000000000000}"/>
  <bookViews>
    <workbookView xWindow="1540" yWindow="1940" windowWidth="40380" windowHeight="25680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K7" i="4" s="1"/>
  <c r="K8" i="4" s="1"/>
  <c r="I69" i="5"/>
  <c r="H69" i="5"/>
  <c r="I66" i="5"/>
  <c r="H66" i="5"/>
  <c r="H63" i="5"/>
  <c r="H61" i="5"/>
  <c r="I59" i="5"/>
  <c r="H59" i="5"/>
  <c r="H57" i="5"/>
  <c r="H55" i="5"/>
  <c r="H53" i="5"/>
  <c r="H51" i="5"/>
  <c r="H49" i="5"/>
  <c r="H45" i="5"/>
  <c r="H42" i="5"/>
  <c r="H40" i="5"/>
  <c r="I37" i="5"/>
  <c r="H37" i="5"/>
  <c r="I34" i="5"/>
  <c r="H34" i="5"/>
  <c r="H32" i="5"/>
  <c r="H11" i="5"/>
  <c r="I9" i="5"/>
  <c r="H9" i="5"/>
  <c r="I6" i="5"/>
  <c r="H6" i="5"/>
  <c r="I30" i="5"/>
  <c r="I29" i="5"/>
  <c r="I10" i="5"/>
  <c r="I11" i="5" s="1"/>
  <c r="I54" i="5"/>
  <c r="I55" i="5" s="1"/>
  <c r="I52" i="5"/>
  <c r="I53" i="5" s="1"/>
  <c r="I27" i="5"/>
  <c r="I26" i="5"/>
  <c r="I25" i="5"/>
  <c r="I24" i="5"/>
  <c r="I23" i="5"/>
  <c r="I20" i="5"/>
  <c r="I17" i="5"/>
  <c r="I56" i="5"/>
  <c r="I57" i="5" s="1"/>
  <c r="I60" i="5"/>
  <c r="I61" i="5" s="1"/>
  <c r="I44" i="5"/>
  <c r="I16" i="5"/>
  <c r="I15" i="5"/>
  <c r="I39" i="5"/>
  <c r="I38" i="5"/>
  <c r="I47" i="5"/>
  <c r="I43" i="5"/>
  <c r="I41" i="5"/>
  <c r="I42" i="5" s="1"/>
  <c r="I46" i="5"/>
  <c r="I62" i="5"/>
  <c r="I63" i="5" s="1"/>
  <c r="I50" i="5"/>
  <c r="I51" i="5" s="1"/>
  <c r="I12" i="5"/>
  <c r="I52" i="1"/>
  <c r="H52" i="1"/>
  <c r="I27" i="1"/>
  <c r="I26" i="1"/>
  <c r="I25" i="1"/>
  <c r="I22" i="1"/>
  <c r="I21" i="1"/>
  <c r="I20" i="1"/>
  <c r="I19" i="1"/>
  <c r="I18" i="1"/>
  <c r="I1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I24" i="1"/>
  <c r="I23" i="1"/>
  <c r="I16" i="1"/>
  <c r="E9" i="4"/>
  <c r="E8" i="4"/>
  <c r="I11" i="3"/>
  <c r="H11" i="3"/>
  <c r="I9" i="3"/>
  <c r="I6" i="3"/>
  <c r="I5" i="3"/>
  <c r="I4" i="3"/>
  <c r="I3" i="3"/>
  <c r="I2" i="3"/>
  <c r="I277" i="1"/>
  <c r="H277" i="1"/>
  <c r="I40" i="5" l="1"/>
  <c r="H101" i="5"/>
  <c r="I45" i="5"/>
  <c r="I101" i="5" s="1"/>
  <c r="I32" i="5"/>
  <c r="I49" i="5"/>
  <c r="E11" i="4"/>
</calcChain>
</file>

<file path=xl/sharedStrings.xml><?xml version="1.0" encoding="utf-8"?>
<sst xmlns="http://schemas.openxmlformats.org/spreadsheetml/2006/main" count="3353" uniqueCount="645">
  <si>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</si>
  <si>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</si>
  <si>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</si>
  <si>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</si>
  <si>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</si>
  <si>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</si>
  <si>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</si>
  <si>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</si>
  <si>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</si>
  <si>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</si>
  <si>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</si>
  <si>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</si>
  <si>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</si>
  <si>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</si>
  <si>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</si>
  <si>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</si>
  <si>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</si>
  <si>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</si>
  <si>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</si>
  <si>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</si>
  <si>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</si>
  <si>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</si>
  <si>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</si>
  <si>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</si>
  <si>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</si>
  <si>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</si>
  <si>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</si>
  <si>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</si>
  <si>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</si>
  <si>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LGRNSW AP | 2025-0003</t>
  </si>
  <si>
    <t>STG BANK</t>
  </si>
  <si>
    <t>B</t>
  </si>
  <si>
    <t>INVOICE</t>
  </si>
  <si>
    <t>CR</t>
  </si>
  <si>
    <t>Waverley Council | 246587</t>
  </si>
  <si>
    <t>LGRNSW AP | 2024-0036</t>
  </si>
  <si>
    <t>LGRNSW AP | 2025-0007</t>
  </si>
  <si>
    <t>WAMC EFT MWZ | 6000000519167025</t>
  </si>
  <si>
    <t>CREDIT INTEREST</t>
  </si>
  <si>
    <t>E</t>
  </si>
  <si>
    <t>INTEREST</t>
  </si>
  <si>
    <t>BONUS INTEREST</t>
  </si>
  <si>
    <t>Waverley Council | 247433</t>
  </si>
  <si>
    <t>INTERNET WITHDRAWAL           03FEB06:15 | CP Lease 5 105</t>
  </si>
  <si>
    <t>CAR_PARK</t>
  </si>
  <si>
    <t>DR</t>
  </si>
  <si>
    <t>TFR WDL BPAY INTERNET         14FEB15:31 | 5039468427563708    CreditLine</t>
  </si>
  <si>
    <t>FUNDING_PAYMENT</t>
  </si>
  <si>
    <t>INTERNET WITHDRAWAL           17FEB06:16 | CP Lease 5 105</t>
  </si>
  <si>
    <t>Telex Australia | 652652069</t>
  </si>
  <si>
    <t>COMPUTER_SUBSCRIPTION</t>
  </si>
  <si>
    <t>INTERNET WITHDRAWAL           24FEB17:21 | SubCont Michaela Jan25</t>
  </si>
  <si>
    <t>SUBC_MBURKITT</t>
  </si>
  <si>
    <t>INTERNET WITHDRAWAL           24FEB17:21 | SubCont PaulM Jan25</t>
  </si>
  <si>
    <t>SUBC_PMARSH</t>
  </si>
  <si>
    <t>A C KEEP FEE EX 0000455884826</t>
  </si>
  <si>
    <t>BANK_FEES</t>
  </si>
  <si>
    <t>28/02/2025</t>
  </si>
  <si>
    <t>APPLE.COM/BILL          SYDNEY</t>
  </si>
  <si>
    <t>JASON P MASTERS</t>
  </si>
  <si>
    <t>-76009</t>
  </si>
  <si>
    <t xml:space="preserve"> </t>
  </si>
  <si>
    <t/>
  </si>
  <si>
    <t>255 PITT STREET
CAPITAL CENTRE LEVEL 13</t>
  </si>
  <si>
    <t>SYDNEY
NSW</t>
  </si>
  <si>
    <t>2000</t>
  </si>
  <si>
    <t>AUSTRALIA</t>
  </si>
  <si>
    <t>AT250590013000010190550</t>
  </si>
  <si>
    <t>01/03/2025</t>
  </si>
  <si>
    <t>DBS*ANYTIME FITNESS  N  NORTH RYDE</t>
  </si>
  <si>
    <t>900 PACIFIC HIGHWAY
UNIT 7</t>
  </si>
  <si>
    <t>LISAROW
NSW</t>
  </si>
  <si>
    <t>2250</t>
  </si>
  <si>
    <t>AT250600003000010147865</t>
  </si>
  <si>
    <t>HARVEST                 NEW YORK</t>
  </si>
  <si>
    <t>JASON P MASTERS A/C</t>
  </si>
  <si>
    <t>-74020</t>
  </si>
  <si>
    <t>55.00 USD</t>
  </si>
  <si>
    <t>16 WEST 22ND ST FL 8</t>
  </si>
  <si>
    <t>NEW YORK
NY</t>
  </si>
  <si>
    <t>10010</t>
  </si>
  <si>
    <t>UNITED STATES</t>
  </si>
  <si>
    <t>AT250600003000010142668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</si>
  <si>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</si>
  <si>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</si>
  <si>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</si>
  <si>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</si>
  <si>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</si>
  <si>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</si>
  <si>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AT250590013000010172834</t>
  </si>
  <si>
    <t>AT250590013000010167791</t>
  </si>
  <si>
    <t>LINKT SYDNEY            SYDNEY</t>
  </si>
  <si>
    <t>LVL 31 TOWER 5 COLLINS SQUARE
727 COLLINS STREET</t>
  </si>
  <si>
    <t>DOCKLANDS
VIC</t>
  </si>
  <si>
    <t>3008</t>
  </si>
  <si>
    <t>AT250590013000010174686</t>
  </si>
  <si>
    <t>OPENAI *CHATGPT SUBSCR  SAN FRANCISCO</t>
  </si>
  <si>
    <t>22.00 USD</t>
  </si>
  <si>
    <t>3180 18TH ST
STE 100</t>
  </si>
  <si>
    <t>SAN FRANCISCO
CA</t>
  </si>
  <si>
    <t>94110</t>
  </si>
  <si>
    <t>AT250600003000010146580</t>
  </si>
  <si>
    <t>02/03/2025</t>
  </si>
  <si>
    <t>PAYPAL *INTERPROMO      15753703253</t>
  </si>
  <si>
    <t>45.00 USD</t>
  </si>
  <si>
    <t>PAPPELALLEE 78/79
4915753617642</t>
  </si>
  <si>
    <t>10437</t>
  </si>
  <si>
    <t>GERMANY</t>
  </si>
  <si>
    <t>AT250610004000010136605</t>
  </si>
  <si>
    <t>PAYPAL *PYPL PAYIN4     1800073263</t>
  </si>
  <si>
    <t xml:space="preserve">GENERAL
Reference:
</t>
  </si>
  <si>
    <t>1 YORK STREET</t>
  </si>
  <si>
    <t>AT250600003000010138277</t>
  </si>
  <si>
    <t>AT250610004000010138302</t>
  </si>
  <si>
    <t>27/02/2025</t>
  </si>
  <si>
    <t>AFF SUPPORTER UPGRADE   ELSTERNWICK</t>
  </si>
  <si>
    <t>207 28 RIDDELL PARADE</t>
  </si>
  <si>
    <t>ELSTERNWICK
VIC</t>
  </si>
  <si>
    <t>3185</t>
  </si>
  <si>
    <t>AT250590004000010115372</t>
  </si>
  <si>
    <t>CITY RECITAL HALL LIMI  SYDNEY</t>
  </si>
  <si>
    <t>2 ANGEL PLACE</t>
  </si>
  <si>
    <t>AT250590004000010130938</t>
  </si>
  <si>
    <t>DBS*FITNESS FIRST CHAT  CHATSWOOD</t>
  </si>
  <si>
    <t>24 ENDEAVOUR ST</t>
  </si>
  <si>
    <t>CHATSWOOD
NSW</t>
  </si>
  <si>
    <t>2067</t>
  </si>
  <si>
    <t>AT250580003000010127816</t>
  </si>
  <si>
    <t>KINDLE UNLTD            503-7150002</t>
  </si>
  <si>
    <t>410 TERRY AVE NORTH</t>
  </si>
  <si>
    <t>SEATTLE
WA</t>
  </si>
  <si>
    <t>98109</t>
  </si>
  <si>
    <t>AT250590004000010125050</t>
  </si>
  <si>
    <t>AT250580014000010146962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</si>
  <si>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</si>
  <si>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</si>
  <si>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</si>
  <si>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</si>
  <si>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</si>
  <si>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</si>
  <si>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AT250590004000010142194</t>
  </si>
  <si>
    <t>26/02/2025</t>
  </si>
  <si>
    <t>AMAZON MARKETPLACE AU   SYDNEY SOUTH</t>
  </si>
  <si>
    <t>2 PARK STREET
LEVEL 37</t>
  </si>
  <si>
    <t>AT250580003000010105695</t>
  </si>
  <si>
    <t>COLES WEST RYDE 968     WEST RYDE</t>
  </si>
  <si>
    <t>WEST RYDE CHATHAM ROAD BETTS ST</t>
  </si>
  <si>
    <t>WEST RYDE
NSW</t>
  </si>
  <si>
    <t>2114</t>
  </si>
  <si>
    <t>AT250570013000010139110</t>
  </si>
  <si>
    <t>AT250580003000010126245</t>
  </si>
  <si>
    <t>SYD249 S807251          West Ryde</t>
  </si>
  <si>
    <t>15 CHATHAM ROAD</t>
  </si>
  <si>
    <t>AT250580003000010118562</t>
  </si>
  <si>
    <t>25/02/2025</t>
  </si>
  <si>
    <t>AT250570003000010112823</t>
  </si>
  <si>
    <t>WELL BEAN CAFE          CAMPERDOWN</t>
  </si>
  <si>
    <t>UNIT 1 100 CARILLION AVENUE</t>
  </si>
  <si>
    <t>CAMPERDOWN
NSW</t>
  </si>
  <si>
    <t>2042</t>
  </si>
  <si>
    <t>AT250560014000010149822</t>
  </si>
  <si>
    <t>WOOLWORTHS 1103 LANE CO LANE COVE</t>
  </si>
  <si>
    <t>CRN LONGUEVILLE RD &amp; AUSTIN ST</t>
  </si>
  <si>
    <t>LANE COVE
NSW</t>
  </si>
  <si>
    <t>2066</t>
  </si>
  <si>
    <t>AT250560014000010122896</t>
  </si>
  <si>
    <t>24/02/2025</t>
  </si>
  <si>
    <t>AT250560004000010119761</t>
  </si>
  <si>
    <t>OPORTO - WESTMEAD       WESTMEAD</t>
  </si>
  <si>
    <t>163-173 HAWKESBURY ROAD</t>
  </si>
  <si>
    <t>WESTMEAD
NSW</t>
  </si>
  <si>
    <t>2145</t>
  </si>
  <si>
    <t>AT250560014000010150375</t>
  </si>
  <si>
    <t>23/02/2025</t>
  </si>
  <si>
    <t>AT250550004000010082635</t>
  </si>
  <si>
    <t>HAIGH'S QUEEN VICTORIA  Sydney</t>
  </si>
  <si>
    <t>GEORGE STREET
SHOP 52 GROUND FLOOR
QVB</t>
  </si>
  <si>
    <t>AT250540011000010090713</t>
  </si>
  <si>
    <t>HLTH ADVC PHRMCY NR     NORTH RYDE</t>
  </si>
  <si>
    <t>136 COXS ROAD</t>
  </si>
  <si>
    <t>NORTH RYDE
NSW</t>
  </si>
  <si>
    <t>2113</t>
  </si>
  <si>
    <t>AT250540011000010096095</t>
  </si>
  <si>
    <t>AT250550004000010109334</t>
  </si>
  <si>
    <t>AT250550004000010110266</t>
  </si>
  <si>
    <t>AT250550004000010110585</t>
  </si>
  <si>
    <t>PAYPAL *TEMU COM        3024806118</t>
  </si>
  <si>
    <t xml:space="preserve">DEPARTMENT STORE
Reference:
</t>
  </si>
  <si>
    <t>60 2 OCONNELL STREET</t>
  </si>
  <si>
    <t>PARRAMATTA
NSW</t>
  </si>
  <si>
    <t>2150</t>
  </si>
  <si>
    <t>AT250570003000010122158</t>
  </si>
  <si>
    <t>22/02/2025</t>
  </si>
  <si>
    <t>TEMU.COM                PARRAMATTA</t>
  </si>
  <si>
    <t>60 2 2 OCONNELL STREET
NSW</t>
  </si>
  <si>
    <t>AT250530003000010107485</t>
  </si>
  <si>
    <t>21/02/2025</t>
  </si>
  <si>
    <t>AMAZON.CA PRIME MEMBER  AMAZON.CA/PRI</t>
  </si>
  <si>
    <t>11.49 CAD</t>
  </si>
  <si>
    <t>SUITE 2700
1133 MELVILLE STREET</t>
  </si>
  <si>
    <t>VANCOUVER
BC</t>
  </si>
  <si>
    <t>V6E 4E5</t>
  </si>
  <si>
    <t>AT250530003000010098070</t>
  </si>
  <si>
    <t>CKO*RESOLUTTY.COM 52924 TALLINN</t>
  </si>
  <si>
    <t>39.99 USD</t>
  </si>
  <si>
    <t>HARJU MAAKOND  NOMME LINNAOSA
TALLINN</t>
  </si>
  <si>
    <t>11612</t>
  </si>
  <si>
    <t>ESTONIA</t>
  </si>
  <si>
    <t>AT250530003000010101434</t>
  </si>
  <si>
    <t>CLAUDE.AI SUBSCRIPTION  PASADENA</t>
  </si>
  <si>
    <t>731 SANSOME ST</t>
  </si>
  <si>
    <t>94111</t>
  </si>
  <si>
    <t>AT250530012000010096748</t>
  </si>
  <si>
    <t>AT250520003000010107434</t>
  </si>
  <si>
    <t>ENMORE THEATRE PTY LT 4 ENMORE</t>
  </si>
  <si>
    <t>118 132 ENMORE ROAD</t>
  </si>
  <si>
    <t>ENMORE
NSW</t>
  </si>
  <si>
    <t>AT250550014000010155541</t>
  </si>
  <si>
    <t>GM NEWTOWN PTY LTD      NEWTOWN</t>
  </si>
  <si>
    <t>262 KING STREET</t>
  </si>
  <si>
    <t>NEWTOWN
NSW</t>
  </si>
  <si>
    <t>AT250530012000010105455</t>
  </si>
  <si>
    <t>UBER ONE                HELP.UBER.COM</t>
  </si>
  <si>
    <t>LEVEL 2
625 HARRIS ST</t>
  </si>
  <si>
    <t>ULTIMO
NSW</t>
  </si>
  <si>
    <t>2007</t>
  </si>
  <si>
    <t>AT250530003000010093096</t>
  </si>
  <si>
    <t>20/02/2025</t>
  </si>
  <si>
    <t>CLAUDE.AI SUBSCRIPTION  SAN FRANCISCO</t>
  </si>
  <si>
    <t>AT250520003000010138484</t>
  </si>
  <si>
    <t>AT250510004000010124635</t>
  </si>
  <si>
    <t>AT250510004000010124552</t>
  </si>
  <si>
    <t>AT250520003000010124491</t>
  </si>
  <si>
    <t>19/02/2025</t>
  </si>
  <si>
    <t>AT250520003000010123145</t>
  </si>
  <si>
    <t>AT250520003000010124321</t>
  </si>
  <si>
    <t>AT250510004000010102916</t>
  </si>
  <si>
    <t>AT250510004000010101857</t>
  </si>
  <si>
    <t>AT250510004000010101522</t>
  </si>
  <si>
    <t>AT250530003000010098807</t>
  </si>
  <si>
    <t>AT250530003000010100650</t>
  </si>
  <si>
    <t>18/02/2025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</si>
  <si>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</si>
  <si>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</si>
  <si>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</si>
  <si>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</si>
  <si>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</si>
  <si>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</si>
  <si>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AT250500005000010240483</t>
  </si>
  <si>
    <t>EVENT CINEMAS GEORGE ST SYDNEY</t>
  </si>
  <si>
    <t>505525 GEORGE ST</t>
  </si>
  <si>
    <t>AT250500013000010131604</t>
  </si>
  <si>
    <t>17/02/2025</t>
  </si>
  <si>
    <t>AT250500005000010204627</t>
  </si>
  <si>
    <t>EVT HOTELS              CANBERRA</t>
  </si>
  <si>
    <t>1 LONDON
CIRCUIT</t>
  </si>
  <si>
    <t>CANBERRA
ACT</t>
  </si>
  <si>
    <t>2601</t>
  </si>
  <si>
    <t>AT250490003000010131025</t>
  </si>
  <si>
    <t>EZI*HARRISON PT EZIDEBI GLADESVILLE</t>
  </si>
  <si>
    <t>1 PILE STREET</t>
  </si>
  <si>
    <t>GLADESVILLE
NSW</t>
  </si>
  <si>
    <t>2111</t>
  </si>
  <si>
    <t>AT250480013000010156082</t>
  </si>
  <si>
    <t>FONEBOX                 SYDNEY</t>
  </si>
  <si>
    <t>LEVEL 4
580 GEORGE STREET</t>
  </si>
  <si>
    <t>AT250480013000010141754</t>
  </si>
  <si>
    <t>16/02/2025</t>
  </si>
  <si>
    <t>CAFE SABU 86161         NORTH RYDE</t>
  </si>
  <si>
    <t>203 COXS ROAD</t>
  </si>
  <si>
    <t>AT250470011000010077803</t>
  </si>
  <si>
    <t>CHARGE FOR OVERDUE PAYMENT</t>
  </si>
  <si>
    <t>10000000010216999959740</t>
  </si>
  <si>
    <t>FERVE TICKETS           CHELTENHAM</t>
  </si>
  <si>
    <t>SUITE 27 296
BAY ROAD</t>
  </si>
  <si>
    <t>CHELTENHAM
VIC</t>
  </si>
  <si>
    <t>3192</t>
  </si>
  <si>
    <t>AT250480003000010150841</t>
  </si>
  <si>
    <t>AT250480003000010147409</t>
  </si>
  <si>
    <t>MOSHTIX PTY LTD         SYDNEY</t>
  </si>
  <si>
    <t>13 15 WENTWORTH AVENUE</t>
  </si>
  <si>
    <t>AT250470011000010072879</t>
  </si>
  <si>
    <t>AT250490003000010129534</t>
  </si>
  <si>
    <t>TICKETS*SAUNA BOY       BELROSE</t>
  </si>
  <si>
    <t>LEVEL 1 1-5 HICKSON ROAD</t>
  </si>
  <si>
    <t>THE ROCKS
NSW</t>
  </si>
  <si>
    <t>AT250480003000010142695</t>
  </si>
  <si>
    <t>15/02/2025</t>
  </si>
  <si>
    <t>CLASSBENTO 99T5U5TQ5Q   SYDNEY</t>
  </si>
  <si>
    <t>11 YORK STREET
LEVEL 2</t>
  </si>
  <si>
    <t>AT250470004000010081314</t>
  </si>
  <si>
    <t>FRAUDSEC T/A WHISPLI    NORTH SYDNEY</t>
  </si>
  <si>
    <t>24 32 LEXINGTON DRIVE
SUITE A10</t>
  </si>
  <si>
    <t>BELLA VISTA
NSW</t>
  </si>
  <si>
    <t>2153</t>
  </si>
  <si>
    <t>AT250460004000010105819</t>
  </si>
  <si>
    <t>IBIS STYLES BANGKOK SI  BANGKOK</t>
  </si>
  <si>
    <t>12,684.41 THB</t>
  </si>
  <si>
    <t>289 SILOM RD.
SILOM BANGRAK
BANGKOK
BANGKOK</t>
  </si>
  <si>
    <t>10500</t>
  </si>
  <si>
    <t>THAILAND</t>
  </si>
  <si>
    <t>AT250470004000010101885</t>
  </si>
  <si>
    <t>OTT* DEKKOO             DELANCEY</t>
  </si>
  <si>
    <t>2949 FALL CLOVE RD</t>
  </si>
  <si>
    <t>DE LANCEY
NY</t>
  </si>
  <si>
    <t>13752</t>
  </si>
  <si>
    <t>AT250470004000010101690</t>
  </si>
  <si>
    <t>AT250470004000010096270</t>
  </si>
  <si>
    <t>14/02/2025</t>
  </si>
  <si>
    <t>AT250450004000010140248</t>
  </si>
  <si>
    <t>EZI*IT SMART SOLUTIONS  SYDNEY</t>
  </si>
  <si>
    <t>20 40 MEAGHER STREET</t>
  </si>
  <si>
    <t>CHIPPENDALE
NSW</t>
  </si>
  <si>
    <t>2008</t>
  </si>
  <si>
    <t>AT250450013000010127038</t>
  </si>
  <si>
    <t>WOOLWORTHS ONLINE 8843  BELLA VISTA</t>
  </si>
  <si>
    <t>1 WOOLWORTHS WAY</t>
  </si>
  <si>
    <t>AT250460014000010140960</t>
  </si>
  <si>
    <t>13/02/2025</t>
  </si>
  <si>
    <t>MODPOD PODIATRY RYDE P  NORTH RYDE</t>
  </si>
  <si>
    <t>AT250440013000010136278</t>
  </si>
  <si>
    <t>AT250470004000010095934</t>
  </si>
  <si>
    <t>UNION UNIVERSITY &amp; SCH  SYDNEY</t>
  </si>
  <si>
    <t>25 BENT ST</t>
  </si>
  <si>
    <t>AT250440013000010131867</t>
  </si>
  <si>
    <t>12/02/2025</t>
  </si>
  <si>
    <t>DNH*GODADDY#3581096217  Sydney</t>
  </si>
  <si>
    <t>WEWORK ATTN GODADDY
LEVEL 4100 HARRIS STREET</t>
  </si>
  <si>
    <t>PYRMONT
NSW</t>
  </si>
  <si>
    <t>2009</t>
  </si>
  <si>
    <t>AT250440003000010102146</t>
  </si>
  <si>
    <t>AT250440003000010126077</t>
  </si>
  <si>
    <t>RYDE MART PTY LTD       NORTH RYDE</t>
  </si>
  <si>
    <t>UNIT 1 1 NETWORK PLACE</t>
  </si>
  <si>
    <t>AT250440013000010108026</t>
  </si>
  <si>
    <t>SPOTIFY                 SYDNEY</t>
  </si>
  <si>
    <t>4TH 25 ARGYLL ST</t>
  </si>
  <si>
    <t>LONDON
LND</t>
  </si>
  <si>
    <t>W1F 7TU</t>
  </si>
  <si>
    <t>AT250440003000010111795</t>
  </si>
  <si>
    <t>11/02/2025</t>
  </si>
  <si>
    <t>COLES ONLINE 5801 TOP R 5801 TOP RYDE</t>
  </si>
  <si>
    <t>800 TOORAK ROAD</t>
  </si>
  <si>
    <t>HAWTHORN EAST
VIC</t>
  </si>
  <si>
    <t>3123</t>
  </si>
  <si>
    <t>AT250420013000010109948</t>
  </si>
  <si>
    <t>DNH*GODADDY#3578969734  Sydney</t>
  </si>
  <si>
    <t>AT250430003000010115815</t>
  </si>
  <si>
    <t>PAYPAL *GLOBAL ECON     4029357733</t>
  </si>
  <si>
    <t>29.95 USD</t>
  </si>
  <si>
    <t>2211 NORTH FIRST ST</t>
  </si>
  <si>
    <t>SAN JOSE
CA</t>
  </si>
  <si>
    <t>95131</t>
  </si>
  <si>
    <t>AT250440013000010107135</t>
  </si>
  <si>
    <t>10/02/2025</t>
  </si>
  <si>
    <t>AT250410014000010037939</t>
  </si>
  <si>
    <t>AT250420013000010116337</t>
  </si>
  <si>
    <t>AT250410003000010104994</t>
  </si>
  <si>
    <t>AT250410003000010107729</t>
  </si>
  <si>
    <t>TRANSPORT FOR NSW-OPAL  CHIPPENDALE</t>
  </si>
  <si>
    <t>LEVEL 3 4 PARRAMATTA SQUARE 4PSQ
12 DARCY STREET</t>
  </si>
  <si>
    <t>AT250410014000010039102</t>
  </si>
  <si>
    <t>09/02/2025</t>
  </si>
  <si>
    <t>AT250400012000010106194</t>
  </si>
  <si>
    <t>AT250410003000010093637</t>
  </si>
  <si>
    <t>AT250410003000010094760</t>
  </si>
  <si>
    <t>AT250410003000010094479</t>
  </si>
  <si>
    <t>08/02/2025</t>
  </si>
  <si>
    <t>NEWS PTY LIMITED SURRY  SURRY HILLS</t>
  </si>
  <si>
    <t>2 HOLT ST
LEVEL 1</t>
  </si>
  <si>
    <t>SURRY HILLS
NSW</t>
  </si>
  <si>
    <t>2010</t>
  </si>
  <si>
    <t>AT250390014000010090127</t>
  </si>
  <si>
    <t>07/02/2025</t>
  </si>
  <si>
    <t>BOOST JUICE PTY LTD     CLAYTON</t>
  </si>
  <si>
    <t>LEVEL 8
M CITY BUILDING AND BUSINESS DI</t>
  </si>
  <si>
    <t>CLAYTON
VIC</t>
  </si>
  <si>
    <t>3168</t>
  </si>
  <si>
    <t>AT250390003000010224509</t>
  </si>
  <si>
    <t>AT250390003000010213213</t>
  </si>
  <si>
    <t>EZI*FAILEDPAYMENT EZIDE FORTITUDE VAL</t>
  </si>
  <si>
    <t>1 KING STREET</t>
  </si>
  <si>
    <t>FORTITUDE VALLEY
QLD</t>
  </si>
  <si>
    <t>0400</t>
  </si>
  <si>
    <t>AT250380013000010032936</t>
  </si>
  <si>
    <t>FAIRFAX  - SUBSCRIPTION PYRMONT</t>
  </si>
  <si>
    <t>LEVEL 5 1 DARLING ISLAND ROAD</t>
  </si>
  <si>
    <t>AT250390003000010196277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</si>
  <si>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</si>
  <si>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</si>
  <si>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</si>
  <si>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</si>
  <si>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</si>
  <si>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AT250390003000010196859</t>
  </si>
  <si>
    <t>LAMB AND CUMIN          CHATSWOOD</t>
  </si>
  <si>
    <t>SHOP FM05
WESTFIELD CHATSWOOD 1 ANDERSON ST</t>
  </si>
  <si>
    <t>AT250390003000010241448</t>
  </si>
  <si>
    <t>AT250390003000010236523</t>
  </si>
  <si>
    <t>06/02/2025</t>
  </si>
  <si>
    <t>AT250380003000010121819</t>
  </si>
  <si>
    <t>AT250370014000010124205</t>
  </si>
  <si>
    <t>AT250380003000010094840</t>
  </si>
  <si>
    <t>AT250380003000010095165</t>
  </si>
  <si>
    <t>05/02/2025</t>
  </si>
  <si>
    <t>AT250370014000010118461</t>
  </si>
  <si>
    <t>AT250360013000010126594</t>
  </si>
  <si>
    <t>AT250380003000010094872</t>
  </si>
  <si>
    <t>AT250370003000010107034</t>
  </si>
  <si>
    <t>04/02/2025</t>
  </si>
  <si>
    <t>AD FREE FOR PRIMEVIDEO  SYDNEY</t>
  </si>
  <si>
    <t>2 PARK STREET L37</t>
  </si>
  <si>
    <t>AT250360003000010150555</t>
  </si>
  <si>
    <t>03/02/2025</t>
  </si>
  <si>
    <t>02/02/2025</t>
  </si>
  <si>
    <t>AT250340003000010143121</t>
  </si>
  <si>
    <t>01/02/2025</t>
  </si>
  <si>
    <t>EVENT &amp; CONFERENCE CO   NORTHBRIDGE</t>
  </si>
  <si>
    <t>4377 NEWCASTLE ST</t>
  </si>
  <si>
    <t>NORTHBRIDGE
WA</t>
  </si>
  <si>
    <t>6003</t>
  </si>
  <si>
    <t>AT250320013000010116549</t>
  </si>
  <si>
    <t>WORKSPACE365.COM.AU     SYDNEY</t>
  </si>
  <si>
    <t xml:space="preserve">Arrive Date: 20250201                   Depart Date: 20250201
Reference: 00
</t>
  </si>
  <si>
    <t>62 66 GROSVENOR STREET</t>
  </si>
  <si>
    <t>AT250320003000010213347</t>
  </si>
  <si>
    <t>AUDIBLE PAYMENT AU      SYDNEY</t>
  </si>
  <si>
    <t>-25008</t>
  </si>
  <si>
    <t>SYDNEY SOUTH
NSW</t>
  </si>
  <si>
    <t>AT250590003000010067305</t>
  </si>
  <si>
    <t>MENULOG PTY LTD         SYDNEY</t>
  </si>
  <si>
    <t>LEVEL 34
300 BARANGAROO AVENUE</t>
  </si>
  <si>
    <t>BARANGAROO
NSW</t>
  </si>
  <si>
    <t>AT250600004000010072342</t>
  </si>
  <si>
    <t>RESMED                  BELLA VISTA</t>
  </si>
  <si>
    <t>1 ELIZABETH MACARTHUR DRIVE</t>
  </si>
  <si>
    <t>AT250600004000010072307</t>
  </si>
  <si>
    <t>D J*WSJ                 800-568-7625</t>
  </si>
  <si>
    <t>25.29 USD</t>
  </si>
  <si>
    <t>4300 RTE 1 NORTH</t>
  </si>
  <si>
    <t>SOUTH BRUNSWICK
NJ</t>
  </si>
  <si>
    <t>08852</t>
  </si>
  <si>
    <t>AT250580013000010088845</t>
  </si>
  <si>
    <t>CKO*FS *TECHSMITH 52422 FSPRG.NL</t>
  </si>
  <si>
    <t>DE CUSERSTRAAT 91  2ND BUILDING
NOORD HOLLAND</t>
  </si>
  <si>
    <t>1081 CN</t>
  </si>
  <si>
    <t>NETHERLANDS</t>
  </si>
  <si>
    <t>AT250570004000010057590</t>
  </si>
  <si>
    <t>QUEERSCREE* RAFFLETIX   PETERSHAM</t>
  </si>
  <si>
    <t>107 CRYSTAL STREET
PETERSHAM TOWN HALL</t>
  </si>
  <si>
    <t>PETERSHAM
NSW</t>
  </si>
  <si>
    <t>2049</t>
  </si>
  <si>
    <t>AT250550003000010053509</t>
  </si>
  <si>
    <t>AT250540004000010061696</t>
  </si>
  <si>
    <t>SQUIRREL STREET         FRENCHS FOREST</t>
  </si>
  <si>
    <t>PO BOX
6488</t>
  </si>
  <si>
    <t>FRENCHS FOREST
NSW</t>
  </si>
  <si>
    <t>2086</t>
  </si>
  <si>
    <t>AT250530011000010098268</t>
  </si>
  <si>
    <t>AT250530004000010060441</t>
  </si>
  <si>
    <t>SOJOURNERS 0493         WASHINGTON</t>
  </si>
  <si>
    <t>59.95 USD</t>
  </si>
  <si>
    <t>3333 14TH ST NORTH WEST
STE 200</t>
  </si>
  <si>
    <t>WASHINGTON
DC</t>
  </si>
  <si>
    <t>20010-2319</t>
  </si>
  <si>
    <t>AT250530011000010098202</t>
  </si>
  <si>
    <t>AMAYSIM MOBILE PTY LTD  SYDNEY</t>
  </si>
  <si>
    <t>6 17 19 BRIDGE STREET
LEVEL</t>
  </si>
  <si>
    <t>AT250480004000010092995</t>
  </si>
  <si>
    <t>LINKEDIN PRE 1019653347 SINGAPORE</t>
  </si>
  <si>
    <t>21.95 USD</t>
  </si>
  <si>
    <t>SUBMISSION USD
SINGAPORE</t>
  </si>
  <si>
    <t>0000</t>
  </si>
  <si>
    <t>SINGAPORE</t>
  </si>
  <si>
    <t>AT250470003000010060683</t>
  </si>
  <si>
    <t>AT250460003000010062913</t>
  </si>
  <si>
    <t>ADOBE SYSTEMS Adobe Sys SAGGART</t>
  </si>
  <si>
    <t>4-6 RIVERWALK
CITY WEST BUSINESS CAMPUS
SAGGART
DUBLIN</t>
  </si>
  <si>
    <t>24</t>
  </si>
  <si>
    <t>IRELAND</t>
  </si>
  <si>
    <t>AT250450003000010064996</t>
  </si>
  <si>
    <t>AT250430004000010059674</t>
  </si>
  <si>
    <t>CKO*PATREON* MEMBERSHIP DUBLIN</t>
  </si>
  <si>
    <t>SUITE 3  ONE EARLSFORT CENTRE
DUBLIN</t>
  </si>
  <si>
    <t>DUBLIN 2</t>
  </si>
  <si>
    <t>AT250430004000010059735</t>
  </si>
  <si>
    <t>CONCUR TECHNOLOGIES*CON BELLEVUE</t>
  </si>
  <si>
    <t>49.00 USD</t>
  </si>
  <si>
    <t>601 108TH AVE NORTH EAST
STE 1000</t>
  </si>
  <si>
    <t>BELLEVUE
WA</t>
  </si>
  <si>
    <t>98004</t>
  </si>
  <si>
    <t>AT250430004000010059763</t>
  </si>
  <si>
    <t>AT250420004000010129061</t>
  </si>
  <si>
    <t>LINKEDINPRE *08134004   SYDNEY NSW</t>
  </si>
  <si>
    <t>JOSHUA MASTERS</t>
  </si>
  <si>
    <t>-22021</t>
  </si>
  <si>
    <t>CROFTS CHARTERED ACCOUNTS
LEVEL 10 50 BERRY STREET</t>
  </si>
  <si>
    <t>NORTH SYDNEY
NSW</t>
  </si>
  <si>
    <t>2060</t>
  </si>
  <si>
    <t>AT250390004000010149076</t>
  </si>
  <si>
    <t>AT250390004000010148974</t>
  </si>
  <si>
    <t>MICHAELWEST.COM.AU      MANLY</t>
  </si>
  <si>
    <t>9 42 VICTORIA PARADE</t>
  </si>
  <si>
    <t>MANLY
NSW</t>
  </si>
  <si>
    <t>2095</t>
  </si>
  <si>
    <t>AT250380004000010057735</t>
  </si>
  <si>
    <t>TELSTRA BILL DIRECT DEB ADELAIDE</t>
  </si>
  <si>
    <t>GROUND FLOOR 30 PIRIE ST</t>
  </si>
  <si>
    <t>ADELAIDE
SA</t>
  </si>
  <si>
    <t>5000</t>
  </si>
  <si>
    <t>AT250360014000010090798</t>
  </si>
  <si>
    <t>IBIS BUDGET SINGAPORE C SINGAPORE</t>
  </si>
  <si>
    <t>508.38 SGD</t>
  </si>
  <si>
    <t>20 HONGKONG STREET
SINGAPORE</t>
  </si>
  <si>
    <t>059663</t>
  </si>
  <si>
    <t>AT250360004000010077925</t>
  </si>
  <si>
    <t>LS SHEPHERDS ARTISAN B  CASTLE HILL</t>
  </si>
  <si>
    <t>CASTLE STREET</t>
  </si>
  <si>
    <t>CASTLE HILL</t>
  </si>
  <si>
    <t>2154</t>
  </si>
  <si>
    <t>AT250360004000010077875</t>
  </si>
  <si>
    <t>AT250350013000010072425</t>
  </si>
  <si>
    <t>THE ASSOCIATION OF PROF WEST MELBOURNE</t>
  </si>
  <si>
    <t>148 152 MILLER STREET</t>
  </si>
  <si>
    <t>WEST MELBOURNE
VIC</t>
  </si>
  <si>
    <t>3003</t>
  </si>
  <si>
    <t>AT250340013000010092408</t>
  </si>
  <si>
    <t>AT250340004000010083309</t>
  </si>
  <si>
    <t>AT250330003000010062992</t>
  </si>
  <si>
    <t>AT250330003000010063028</t>
  </si>
  <si>
    <t>20.00 USD</t>
  </si>
  <si>
    <t>AT250330003000010063033</t>
  </si>
  <si>
    <t>AT250320014000010113064</t>
  </si>
  <si>
    <t>LACHLANS SQUARE 7704    MACQUARIE PARK</t>
  </si>
  <si>
    <t>15 HALIFAX ST</t>
  </si>
  <si>
    <t>MACQUARIE PARK
NSW</t>
  </si>
  <si>
    <t>AT250320014000010112742</t>
  </si>
  <si>
    <t>OF                        London  8.79  USD 0.42 AUD</t>
  </si>
  <si>
    <t>JASON P.MASTERS</t>
  </si>
  <si>
    <t>ANZ CC</t>
  </si>
  <si>
    <t>WING FUNG AUSTRALIA       NEWTOWN</t>
  </si>
  <si>
    <t>SYDNEYSWANS MEMBERSHIP    MELBOURNE</t>
  </si>
  <si>
    <t>OF                        London  16.49  USD 0.78 AUD</t>
  </si>
  <si>
    <t>PERRY STREET SOFTWARE     PERRYSTREET.C</t>
  </si>
  <si>
    <t>SYDNEY WATER PYMT         PARRAMATTA</t>
  </si>
  <si>
    <t>OF                        LONDON  6.99  USD 0.34 AUD</t>
  </si>
  <si>
    <t>VASK ENTERPRISES PTY L    NORTH RYDE</t>
  </si>
  <si>
    <t>OF                        London  16.49  USD 0.79 AUD</t>
  </si>
  <si>
    <t>CMEDIA                    612-234-5288  34.99  USD 1.68 AUD</t>
  </si>
  <si>
    <t>HUBBL - KAYO SPORTS       131999</t>
  </si>
  <si>
    <t>5 BUCK PTY LTD            MILSONS POINT</t>
  </si>
  <si>
    <t>INTEREST CHARGED ON PURCHASES</t>
  </si>
  <si>
    <t>OF                        London  11.00  USD 0.53 AUD</t>
  </si>
  <si>
    <t>CAMBODIA AIRWAYS          85596852 5555  174.40  USD 8.44 AUD</t>
  </si>
  <si>
    <t>OOI HOLDINGS PTY LTD      HAYMARKET</t>
  </si>
  <si>
    <t>OF                        LONDON  20.90  USD 1.01 AUD</t>
  </si>
  <si>
    <t>Patreon* Membership Internet</t>
  </si>
  <si>
    <t>Card ending 2145</t>
  </si>
  <si>
    <t>NAB CC</t>
  </si>
  <si>
    <t>CREDIT CARD PURCHASE</t>
  </si>
  <si>
    <t>Services</t>
  </si>
  <si>
    <t>Patreon Australia</t>
  </si>
  <si>
    <t>NAB INTNL TRAN FEE - (MC)</t>
  </si>
  <si>
    <t>FEES</t>
  </si>
  <si>
    <t>Fees</t>
  </si>
  <si>
    <t>NSW NATIONAL PARKS 1 PARRAMATTA</t>
  </si>
  <si>
    <t>Travel expenses</t>
  </si>
  <si>
    <t>NSW National Parks &amp; Wildlife Service</t>
  </si>
  <si>
    <t>Inner West Pain Centr Newtown</t>
  </si>
  <si>
    <t>Medical</t>
  </si>
  <si>
    <t>Inner West Pain Centre</t>
  </si>
  <si>
    <t>CATE MADILL VOICE MELBOURNE</t>
  </si>
  <si>
    <t>Cate Madill Voice &amp; Speech</t>
  </si>
  <si>
    <t>APPLE.COM/BILL SYDNEY</t>
  </si>
  <si>
    <t>Subscriptions</t>
  </si>
  <si>
    <t>Apple (App Store)</t>
  </si>
  <si>
    <t>PAYPAL *PYPL PAYIN4 1800073263</t>
  </si>
  <si>
    <t>PayPal (Pay in 4)</t>
  </si>
  <si>
    <t>CIVIL DEBT PARRAMATTA</t>
  </si>
  <si>
    <t>Government</t>
  </si>
  <si>
    <t>Revenue NSW (Civil Debt)</t>
  </si>
  <si>
    <t>NORTH RYDE R S L COMMU NORTH RYDE</t>
  </si>
  <si>
    <t>Restaurants &amp; takeaway</t>
  </si>
  <si>
    <t>North Ryde RSL</t>
  </si>
  <si>
    <t>BEIFANG ENTERPRISE P CHATSWOOD</t>
  </si>
  <si>
    <t>Beifang Enterprise Pty Ltd</t>
  </si>
  <si>
    <t>MACQ UNI HOSPITAL BLENHEIM ROAD</t>
  </si>
  <si>
    <t>Macquarie University Hospital</t>
  </si>
  <si>
    <t>RESOLUTION LIFE QB SYDNEY</t>
  </si>
  <si>
    <t>Insurance</t>
  </si>
  <si>
    <t>Resolution Life Australasia</t>
  </si>
  <si>
    <t>NURTURE NOURISH THRIVE MACQUARIE PAR</t>
  </si>
  <si>
    <t>Uncategorised</t>
  </si>
  <si>
    <t>ASTERON LIFE SYDNEY</t>
  </si>
  <si>
    <t>Asteron</t>
  </si>
  <si>
    <t>MQ HEALTH ROUSEHILL MACQUARIE PAR</t>
  </si>
  <si>
    <t>Education</t>
  </si>
  <si>
    <t>MQ Health (Rouse Hill)</t>
  </si>
  <si>
    <t>PETCOVER AUST PTY LT TULLAMARINE</t>
  </si>
  <si>
    <t>Petcover</t>
  </si>
  <si>
    <t>CAMBODIA AIRWAYS 85596852 5555</t>
  </si>
  <si>
    <t>WESTERN DISTRICT HEALT LITHGOW</t>
  </si>
  <si>
    <t>Westfund</t>
  </si>
  <si>
    <t>TEMU.COM PARRAMATTA</t>
  </si>
  <si>
    <t>Other shopping</t>
  </si>
  <si>
    <t>Temu Australia</t>
  </si>
  <si>
    <t>Z</t>
  </si>
  <si>
    <t>MOBILE</t>
  </si>
  <si>
    <t>TRAVEL_INT_AIRFARES</t>
  </si>
  <si>
    <t>P</t>
  </si>
  <si>
    <t>MEDICAL_THERAPY</t>
  </si>
  <si>
    <t>TOLLS_PARKING</t>
  </si>
  <si>
    <t>NEWSPAPERS_MAGAZINES</t>
  </si>
  <si>
    <t>INTERNET</t>
  </si>
  <si>
    <t>PROFESSIONAL_DEVELOPMENT</t>
  </si>
  <si>
    <t>TRAVE_DOM_ACCOM</t>
  </si>
  <si>
    <t>TELEPHONE</t>
  </si>
  <si>
    <t>LEGAL</t>
  </si>
  <si>
    <t>MEDICAL_PHARMA</t>
  </si>
  <si>
    <t>INSURANCE_PREMIUM_FUNDING</t>
  </si>
  <si>
    <t>TRAVEL_INT_ACCOM</t>
  </si>
  <si>
    <t>MEDICAL_DOCTOR</t>
  </si>
  <si>
    <t>ADJUSTED</t>
  </si>
  <si>
    <t>PERSONAL_INSURANCE</t>
  </si>
  <si>
    <t>COMPUTER_HARDWARE</t>
  </si>
  <si>
    <t>TRAVEL_ACCESSORIES</t>
  </si>
  <si>
    <t>BANK_FEES Total</t>
  </si>
  <si>
    <t>CAR_PARK Total</t>
  </si>
  <si>
    <t>COMPUTER_HARDWARE Total</t>
  </si>
  <si>
    <t>COMPUTER_SUBSCRIPTION Total</t>
  </si>
  <si>
    <t>FUNDING_PAYMENT Total</t>
  </si>
  <si>
    <t>INSURANCE_PREMIUM_FUNDING Total</t>
  </si>
  <si>
    <t>INTERNET Total</t>
  </si>
  <si>
    <t>LEGAL Total</t>
  </si>
  <si>
    <t>MOBILE Total</t>
  </si>
  <si>
    <t>NEWSPAPERS_MAGAZINES Total</t>
  </si>
  <si>
    <t>PROFESSIONAL_DEVELOPMENT Total</t>
  </si>
  <si>
    <t>SUBC_MBURKITT Total</t>
  </si>
  <si>
    <t>SUBC_PMARSH Total</t>
  </si>
  <si>
    <t>TELEPHONE Total</t>
  </si>
  <si>
    <t>TOLLS_PARKING Total</t>
  </si>
  <si>
    <t>TRAVE_DOM_ACCOM Total</t>
  </si>
  <si>
    <t>TRAVEL_ACCESSORIES Total</t>
  </si>
  <si>
    <t>TRAVEL_INT_ACCOM Total</t>
  </si>
  <si>
    <t>TRAVEL_INT_AIRFARES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</si>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</sst>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d/mm/yyyy;@"/>
  </numFmts>
  <fonts count="9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65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2" fontId="5" fillId="0" borderId="3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wrapText="1"/>
    </xf>
    <xf numFmtId="2" fontId="4" fillId="0" borderId="3" xfId="0" applyNumberFormat="1" applyFont="1" applyBorder="1" applyAlignment="1">
      <alignment horizontal="right" wrapText="1"/>
    </xf>
    <xf numFmtId="15" fontId="0" fillId="0" borderId="3" xfId="0" applyNumberFormat="1" applyBorder="1"/>
    <xf numFmtId="15" fontId="0" fillId="0" borderId="3" xfId="0" applyNumberFormat="1" applyBorder="1" applyAlignment="1">
      <alignment horizontal="left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horizontal="right" wrapText="1"/>
    </xf>
    <xf numFmtId="164" fontId="2" fillId="0" borderId="3" xfId="0" applyNumberFormat="1" applyFont="1" applyBorder="1" applyAlignment="1">
      <alignment horizontal="right" wrapText="1"/>
    </xf>
    <xf numFmtId="164" fontId="4" fillId="0" borderId="3" xfId="0" applyNumberFormat="1" applyFont="1" applyBorder="1" applyAlignment="1">
      <alignment horizontal="right" wrapText="1"/>
    </xf>
    <xf numFmtId="165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164" fontId="3" fillId="0" borderId="2" xfId="0" applyNumberFormat="1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165" fontId="0" fillId="0" borderId="0" xfId="0" applyNumberFormat="1" applyAlignment="1">
      <alignment horizontal="center"/>
    </xf>
    <xf numFmtId="15" fontId="0" fillId="0" borderId="0" xfId="0" applyNumberFormat="1"/>
    <xf numFmtId="0" fontId="0" fillId="0" borderId="0" xfId="0" applyAlignment="1">
      <alignment horizontal="left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6" fillId="0" borderId="1" xfId="0" applyNumberFormat="1" applyFont="1" applyBorder="1"/>
    <xf numFmtId="0" fontId="6" fillId="0" borderId="1" xfId="0" applyFont="1" applyBorder="1"/>
    <xf numFmtId="165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6" fillId="0" borderId="3" xfId="0" applyFont="1" applyBorder="1"/>
    <xf numFmtId="0" fontId="6" fillId="0" borderId="0" xfId="0" applyFont="1"/>
    <xf numFmtId="8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tabSelected="1" topLeftCell="B1" workbookViewId="0">
      <selection activeCell="K5" sqref="K5"/>
    </sheetView>
  </sheetViews>
  <sheetFormatPr baseColWidth="10" defaultRowHeight="15" x14ac:dyDescent="0.2"/>
  <cols>
    <col min="11" max="11" width="11.6640625" bestFit="1" customWidth="1"/>
  </cols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SCDEDULE'!H52</f>
        <v>18958.500000000004</v>
      </c>
      <c r="I5" t="s">
        <v>22</v>
      </c>
      <c r="K5" s="56">
        <v>391321.4</v>
      </c>
    </row>
    <row r="6" spans="2:11" x14ac:dyDescent="0.2">
      <c r="C6" t="s">
        <v>23</v>
      </c>
      <c r="E6" s="4">
        <f>'EXPENSES MASTER SCDEDULE'!I52</f>
        <v>1197.6927272727273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18958.500000000004</v>
      </c>
    </row>
    <row r="8" spans="2:11" x14ac:dyDescent="0.2">
      <c r="C8" t="s">
        <v>26</v>
      </c>
      <c r="E8" s="4">
        <f>'INCOME MASTER SCHEDULE'!H11</f>
        <v>18467.2</v>
      </c>
      <c r="K8" s="4">
        <f>K5-K6+K7</f>
        <v>410279.9</v>
      </c>
    </row>
    <row r="9" spans="2:11" x14ac:dyDescent="0.2">
      <c r="C9" t="s">
        <v>27</v>
      </c>
      <c r="E9" s="4">
        <f>'INCOME MASTER SCHEDULE'!I11</f>
        <v>1675.7509090909091</v>
      </c>
    </row>
    <row r="10" spans="2:11" x14ac:dyDescent="0.2">
      <c r="E10" s="4"/>
    </row>
    <row r="11" spans="2:11" x14ac:dyDescent="0.2">
      <c r="C11" t="s">
        <v>28</v>
      </c>
      <c r="E11" s="4">
        <f>E6-E9</f>
        <v>-478.05818181818177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101"/>
  <sheetViews>
    <sheetView workbookViewId="0">
      <selection sqref="A1:XFD1048576"/>
    </sheetView>
  </sheetViews>
  <sheetFormatPr baseColWidth="10" defaultRowHeight="15" outlineLevelRow="2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24.33203125" bestFit="1" customWidth="1"/>
    <col min="8" max="8" width="9.1640625" bestFit="1" customWidth="1"/>
    <col min="9" max="9" width="11.5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23" customFormat="1" ht="16" x14ac:dyDescent="0.2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2" t="s">
        <v>16</v>
      </c>
      <c r="G1" s="22" t="s">
        <v>17</v>
      </c>
      <c r="H1" s="24" t="s">
        <v>5</v>
      </c>
      <c r="I1" s="25" t="s">
        <v>18</v>
      </c>
      <c r="J1" s="20" t="s">
        <v>6</v>
      </c>
      <c r="K1" s="20" t="s">
        <v>7</v>
      </c>
      <c r="L1" s="20" t="s">
        <v>8</v>
      </c>
      <c r="M1" s="20" t="s">
        <v>9</v>
      </c>
      <c r="N1" s="20" t="s">
        <v>10</v>
      </c>
      <c r="O1" s="20" t="s">
        <v>11</v>
      </c>
      <c r="P1" s="20" t="s">
        <v>12</v>
      </c>
      <c r="Q1" s="20" t="s">
        <v>13</v>
      </c>
      <c r="R1" s="20" t="s">
        <v>14</v>
      </c>
      <c r="S1" s="20" t="s">
        <v>15</v>
      </c>
    </row>
    <row r="2" spans="1:19" ht="32" outlineLevel="2" x14ac:dyDescent="0.2">
      <c r="A2" s="38" t="s">
        <v>373</v>
      </c>
      <c r="B2" s="39" t="s">
        <v>373</v>
      </c>
      <c r="C2" s="39" t="s">
        <v>380</v>
      </c>
      <c r="D2" s="39" t="s">
        <v>75</v>
      </c>
      <c r="E2" s="39" t="s">
        <v>76</v>
      </c>
      <c r="F2" s="39" t="s">
        <v>39</v>
      </c>
      <c r="G2" s="39" t="s">
        <v>56</v>
      </c>
      <c r="H2" s="40">
        <v>9.9</v>
      </c>
      <c r="I2" s="4">
        <v>0</v>
      </c>
      <c r="J2" s="39" t="s">
        <v>61</v>
      </c>
      <c r="K2" s="41" t="s">
        <v>62</v>
      </c>
      <c r="L2" s="39" t="s">
        <v>62</v>
      </c>
      <c r="M2" s="39" t="s">
        <v>62</v>
      </c>
      <c r="N2" s="39" t="s">
        <v>380</v>
      </c>
      <c r="O2" s="39" t="s">
        <v>381</v>
      </c>
      <c r="P2" s="39" t="s">
        <v>382</v>
      </c>
      <c r="Q2" s="39" t="s">
        <v>383</v>
      </c>
      <c r="R2" s="39" t="s">
        <v>66</v>
      </c>
      <c r="S2" s="39" t="s">
        <v>384</v>
      </c>
    </row>
    <row r="3" spans="1:19" outlineLevel="2" x14ac:dyDescent="0.2">
      <c r="A3" s="35">
        <v>45697</v>
      </c>
      <c r="B3" s="3"/>
      <c r="C3" t="s">
        <v>550</v>
      </c>
      <c r="D3" t="s">
        <v>537</v>
      </c>
      <c r="E3" t="s">
        <v>538</v>
      </c>
      <c r="F3" t="s">
        <v>39</v>
      </c>
      <c r="G3" t="s">
        <v>56</v>
      </c>
      <c r="H3" s="4">
        <v>40.25</v>
      </c>
      <c r="I3" s="4">
        <v>0</v>
      </c>
    </row>
    <row r="4" spans="1:19" ht="32" outlineLevel="2" x14ac:dyDescent="0.2">
      <c r="A4" s="38" t="s">
        <v>267</v>
      </c>
      <c r="B4" s="39" t="s">
        <v>267</v>
      </c>
      <c r="C4" s="39" t="s">
        <v>271</v>
      </c>
      <c r="D4" s="39" t="s">
        <v>59</v>
      </c>
      <c r="E4" s="39" t="s">
        <v>60</v>
      </c>
      <c r="F4" s="39" t="s">
        <v>39</v>
      </c>
      <c r="G4" s="39" t="s">
        <v>56</v>
      </c>
      <c r="H4" s="40">
        <v>396.48</v>
      </c>
      <c r="I4" s="4">
        <v>0</v>
      </c>
      <c r="J4" s="39" t="s">
        <v>61</v>
      </c>
      <c r="K4" s="41" t="s">
        <v>62</v>
      </c>
      <c r="L4" s="39" t="s">
        <v>62</v>
      </c>
      <c r="M4" s="39" t="s">
        <v>62</v>
      </c>
      <c r="N4" s="39" t="s">
        <v>271</v>
      </c>
      <c r="O4" s="39" t="s">
        <v>62</v>
      </c>
      <c r="P4" s="39" t="s">
        <v>62</v>
      </c>
      <c r="Q4" s="39" t="s">
        <v>62</v>
      </c>
      <c r="R4" s="39" t="s">
        <v>62</v>
      </c>
      <c r="S4" s="39" t="s">
        <v>272</v>
      </c>
    </row>
    <row r="5" spans="1:19" outlineLevel="2" x14ac:dyDescent="0.2">
      <c r="A5" s="35">
        <v>45716</v>
      </c>
      <c r="B5" s="3"/>
      <c r="C5" t="s">
        <v>55</v>
      </c>
      <c r="D5">
        <v>465083897</v>
      </c>
      <c r="E5" t="s">
        <v>30</v>
      </c>
      <c r="F5" t="s">
        <v>39</v>
      </c>
      <c r="G5" t="s">
        <v>56</v>
      </c>
      <c r="H5" s="4">
        <v>10</v>
      </c>
      <c r="I5" s="4">
        <v>0</v>
      </c>
      <c r="J5" t="s">
        <v>45</v>
      </c>
      <c r="K5">
        <v>14254.17</v>
      </c>
      <c r="L5" t="s">
        <v>33</v>
      </c>
      <c r="M5">
        <v>112879</v>
      </c>
      <c r="N5">
        <v>945</v>
      </c>
    </row>
    <row r="6" spans="1:19" outlineLevel="1" x14ac:dyDescent="0.2">
      <c r="A6" s="42"/>
      <c r="B6" s="43"/>
      <c r="C6" s="44"/>
      <c r="D6" s="44"/>
      <c r="E6" s="44"/>
      <c r="F6" s="44"/>
      <c r="G6" s="46" t="s">
        <v>625</v>
      </c>
      <c r="H6" s="45">
        <f>SUBTOTAL(9,H2:H5)</f>
        <v>456.63</v>
      </c>
      <c r="I6" s="45">
        <f>SUBTOTAL(9,I2:I5)</f>
        <v>0</v>
      </c>
      <c r="J6" s="44"/>
      <c r="K6" s="44"/>
      <c r="L6" s="44"/>
      <c r="M6" s="44"/>
      <c r="N6" s="44"/>
      <c r="O6" s="44"/>
      <c r="P6" s="44"/>
      <c r="Q6" s="44"/>
      <c r="R6" s="44"/>
      <c r="S6" s="44"/>
    </row>
    <row r="7" spans="1:19" outlineLevel="2" x14ac:dyDescent="0.2">
      <c r="A7" s="35">
        <v>45691</v>
      </c>
      <c r="B7" s="3"/>
      <c r="C7" t="s">
        <v>43</v>
      </c>
      <c r="D7">
        <v>465083897</v>
      </c>
      <c r="E7" t="s">
        <v>30</v>
      </c>
      <c r="F7" t="s">
        <v>39</v>
      </c>
      <c r="G7" t="s">
        <v>44</v>
      </c>
      <c r="H7" s="4">
        <v>140</v>
      </c>
      <c r="I7" s="4">
        <v>0</v>
      </c>
      <c r="J7" t="s">
        <v>45</v>
      </c>
      <c r="K7">
        <v>6050.56</v>
      </c>
      <c r="L7" t="s">
        <v>33</v>
      </c>
      <c r="M7">
        <v>112879</v>
      </c>
      <c r="N7">
        <v>946</v>
      </c>
    </row>
    <row r="8" spans="1:19" outlineLevel="2" x14ac:dyDescent="0.2">
      <c r="A8" s="35">
        <v>45705</v>
      </c>
      <c r="B8" s="3"/>
      <c r="C8" t="s">
        <v>48</v>
      </c>
      <c r="D8">
        <v>465083897</v>
      </c>
      <c r="E8" t="s">
        <v>30</v>
      </c>
      <c r="F8" t="s">
        <v>39</v>
      </c>
      <c r="G8" t="s">
        <v>44</v>
      </c>
      <c r="H8" s="4">
        <v>140</v>
      </c>
      <c r="I8" s="4">
        <v>0</v>
      </c>
      <c r="J8" t="s">
        <v>45</v>
      </c>
      <c r="K8">
        <v>10695.01</v>
      </c>
      <c r="L8" t="s">
        <v>33</v>
      </c>
      <c r="M8">
        <v>112879</v>
      </c>
      <c r="N8">
        <v>946</v>
      </c>
    </row>
    <row r="9" spans="1:19" outlineLevel="1" x14ac:dyDescent="0.2">
      <c r="A9" s="42"/>
      <c r="B9" s="43"/>
      <c r="C9" s="44"/>
      <c r="D9" s="44"/>
      <c r="E9" s="44"/>
      <c r="F9" s="44"/>
      <c r="G9" s="47" t="s">
        <v>626</v>
      </c>
      <c r="H9" s="45">
        <f>SUBTOTAL(9,H7:H8)</f>
        <v>280</v>
      </c>
      <c r="I9" s="45">
        <f>SUBTOTAL(9,I7:I8)</f>
        <v>0</v>
      </c>
      <c r="J9" s="44"/>
      <c r="K9" s="44"/>
      <c r="L9" s="44"/>
      <c r="M9" s="44"/>
      <c r="N9" s="44"/>
      <c r="O9" s="44"/>
      <c r="P9" s="44"/>
      <c r="Q9" s="44"/>
      <c r="R9" s="44"/>
      <c r="S9" s="44"/>
    </row>
    <row r="10" spans="1:19" ht="32" outlineLevel="2" x14ac:dyDescent="0.2">
      <c r="A10" s="38" t="s">
        <v>141</v>
      </c>
      <c r="B10" s="39" t="s">
        <v>114</v>
      </c>
      <c r="C10" s="39" t="s">
        <v>142</v>
      </c>
      <c r="D10" s="39" t="s">
        <v>75</v>
      </c>
      <c r="E10" s="39" t="s">
        <v>76</v>
      </c>
      <c r="F10" s="39" t="s">
        <v>31</v>
      </c>
      <c r="G10" s="39" t="s">
        <v>623</v>
      </c>
      <c r="H10" s="40">
        <v>96.99</v>
      </c>
      <c r="I10" s="40">
        <f>H10/11</f>
        <v>8.8172727272727265</v>
      </c>
      <c r="J10" s="39" t="s">
        <v>61</v>
      </c>
      <c r="K10" s="41" t="s">
        <v>62</v>
      </c>
      <c r="L10" s="39" t="s">
        <v>62</v>
      </c>
      <c r="M10" s="39" t="s">
        <v>62</v>
      </c>
      <c r="N10" s="39" t="s">
        <v>142</v>
      </c>
      <c r="O10" s="39" t="s">
        <v>143</v>
      </c>
      <c r="P10" s="39" t="s">
        <v>64</v>
      </c>
      <c r="Q10" s="39" t="s">
        <v>65</v>
      </c>
      <c r="R10" s="39" t="s">
        <v>66</v>
      </c>
      <c r="S10" s="39" t="s">
        <v>144</v>
      </c>
    </row>
    <row r="11" spans="1:19" ht="16" outlineLevel="1" x14ac:dyDescent="0.2">
      <c r="A11" s="48"/>
      <c r="B11" s="49"/>
      <c r="C11" s="49"/>
      <c r="D11" s="49"/>
      <c r="E11" s="49"/>
      <c r="F11" s="49"/>
      <c r="G11" s="52" t="s">
        <v>627</v>
      </c>
      <c r="H11" s="50">
        <f>SUBTOTAL(9,H10:H10)</f>
        <v>96.99</v>
      </c>
      <c r="I11" s="50">
        <f>SUBTOTAL(9,I10:I10)</f>
        <v>8.8172727272727265</v>
      </c>
      <c r="J11" s="49"/>
      <c r="K11" s="51"/>
      <c r="L11" s="49"/>
      <c r="M11" s="49"/>
      <c r="N11" s="49"/>
      <c r="O11" s="49"/>
      <c r="P11" s="49"/>
      <c r="Q11" s="49"/>
      <c r="R11" s="49"/>
      <c r="S11" s="49"/>
    </row>
    <row r="12" spans="1:19" ht="32" outlineLevel="2" x14ac:dyDescent="0.2">
      <c r="A12" s="12" t="s">
        <v>415</v>
      </c>
      <c r="B12" s="13" t="s">
        <v>413</v>
      </c>
      <c r="C12" s="13" t="s">
        <v>58</v>
      </c>
      <c r="D12" s="13" t="s">
        <v>59</v>
      </c>
      <c r="E12" s="13" t="s">
        <v>426</v>
      </c>
      <c r="F12" s="13" t="s">
        <v>31</v>
      </c>
      <c r="G12" s="13" t="s">
        <v>50</v>
      </c>
      <c r="H12" s="27">
        <v>7.99</v>
      </c>
      <c r="I12" s="40">
        <f>H12/11</f>
        <v>0.72636363636363643</v>
      </c>
      <c r="J12" s="13" t="s">
        <v>621</v>
      </c>
      <c r="K12" s="15" t="s">
        <v>62</v>
      </c>
      <c r="L12" s="13" t="s">
        <v>62</v>
      </c>
      <c r="M12" s="13" t="s">
        <v>62</v>
      </c>
      <c r="N12" s="13" t="s">
        <v>58</v>
      </c>
      <c r="O12" s="13" t="s">
        <v>63</v>
      </c>
      <c r="P12" s="13" t="s">
        <v>64</v>
      </c>
      <c r="Q12" s="13" t="s">
        <v>65</v>
      </c>
      <c r="R12" s="13" t="s">
        <v>66</v>
      </c>
      <c r="S12" s="13" t="s">
        <v>527</v>
      </c>
    </row>
    <row r="13" spans="1:19" ht="32" outlineLevel="2" x14ac:dyDescent="0.2">
      <c r="A13" s="12" t="s">
        <v>340</v>
      </c>
      <c r="B13" s="13" t="s">
        <v>325</v>
      </c>
      <c r="C13" s="13" t="s">
        <v>485</v>
      </c>
      <c r="D13" s="13" t="s">
        <v>59</v>
      </c>
      <c r="E13" s="13" t="s">
        <v>426</v>
      </c>
      <c r="F13" s="13" t="s">
        <v>39</v>
      </c>
      <c r="G13" s="13" t="s">
        <v>50</v>
      </c>
      <c r="H13" s="27">
        <v>80.55</v>
      </c>
      <c r="I13" s="4">
        <v>0</v>
      </c>
      <c r="J13" s="13" t="s">
        <v>486</v>
      </c>
      <c r="K13" s="15">
        <v>2.35</v>
      </c>
      <c r="L13" s="13" t="s">
        <v>62</v>
      </c>
      <c r="M13" s="13" t="s">
        <v>62</v>
      </c>
      <c r="N13" s="13" t="s">
        <v>485</v>
      </c>
      <c r="O13" s="13" t="s">
        <v>487</v>
      </c>
      <c r="P13" s="13" t="s">
        <v>488</v>
      </c>
      <c r="Q13" s="13" t="s">
        <v>489</v>
      </c>
      <c r="R13" s="13" t="s">
        <v>81</v>
      </c>
      <c r="S13" s="13" t="s">
        <v>490</v>
      </c>
    </row>
    <row r="14" spans="1:19" ht="64" outlineLevel="2" x14ac:dyDescent="0.2">
      <c r="A14" s="12" t="s">
        <v>325</v>
      </c>
      <c r="B14" s="13" t="s">
        <v>308</v>
      </c>
      <c r="C14" s="13" t="s">
        <v>475</v>
      </c>
      <c r="D14" s="13" t="s">
        <v>59</v>
      </c>
      <c r="E14" s="13" t="s">
        <v>426</v>
      </c>
      <c r="F14" s="13" t="s">
        <v>39</v>
      </c>
      <c r="G14" s="13" t="s">
        <v>50</v>
      </c>
      <c r="H14" s="27">
        <v>96.99</v>
      </c>
      <c r="I14" s="4">
        <v>0</v>
      </c>
      <c r="J14" s="13" t="s">
        <v>61</v>
      </c>
      <c r="K14" s="15" t="s">
        <v>62</v>
      </c>
      <c r="L14" s="13" t="s">
        <v>62</v>
      </c>
      <c r="M14" s="13" t="s">
        <v>62</v>
      </c>
      <c r="N14" s="13" t="s">
        <v>475</v>
      </c>
      <c r="O14" s="13" t="s">
        <v>476</v>
      </c>
      <c r="P14" s="13" t="s">
        <v>62</v>
      </c>
      <c r="Q14" s="13" t="s">
        <v>477</v>
      </c>
      <c r="R14" s="13" t="s">
        <v>478</v>
      </c>
      <c r="S14" s="13" t="s">
        <v>479</v>
      </c>
    </row>
    <row r="15" spans="1:19" ht="32" outlineLevel="2" x14ac:dyDescent="0.2">
      <c r="A15" s="12" t="s">
        <v>308</v>
      </c>
      <c r="B15" s="13" t="s">
        <v>308</v>
      </c>
      <c r="C15" s="13" t="s">
        <v>310</v>
      </c>
      <c r="D15" s="13" t="s">
        <v>84</v>
      </c>
      <c r="E15" s="13" t="s">
        <v>85</v>
      </c>
      <c r="F15" s="13" t="s">
        <v>31</v>
      </c>
      <c r="G15" s="13" t="s">
        <v>50</v>
      </c>
      <c r="H15" s="27">
        <v>155.36000000000001</v>
      </c>
      <c r="I15" s="40">
        <f>H15/11</f>
        <v>14.123636363636365</v>
      </c>
      <c r="J15" s="13" t="s">
        <v>61</v>
      </c>
      <c r="K15" s="15" t="s">
        <v>62</v>
      </c>
      <c r="L15" s="13" t="s">
        <v>62</v>
      </c>
      <c r="M15" s="13" t="s">
        <v>62</v>
      </c>
      <c r="N15" s="13" t="s">
        <v>310</v>
      </c>
      <c r="O15" s="13" t="s">
        <v>311</v>
      </c>
      <c r="P15" s="13" t="s">
        <v>312</v>
      </c>
      <c r="Q15" s="13" t="s">
        <v>313</v>
      </c>
      <c r="R15" s="13" t="s">
        <v>66</v>
      </c>
      <c r="S15" s="13" t="s">
        <v>314</v>
      </c>
    </row>
    <row r="16" spans="1:19" ht="32" outlineLevel="2" x14ac:dyDescent="0.2">
      <c r="A16" s="12" t="s">
        <v>287</v>
      </c>
      <c r="B16" s="13" t="s">
        <v>287</v>
      </c>
      <c r="C16" s="13" t="s">
        <v>291</v>
      </c>
      <c r="D16" s="13" t="s">
        <v>75</v>
      </c>
      <c r="E16" s="13" t="s">
        <v>76</v>
      </c>
      <c r="F16" s="13" t="s">
        <v>31</v>
      </c>
      <c r="G16" s="13" t="s">
        <v>50</v>
      </c>
      <c r="H16" s="27">
        <v>108.9</v>
      </c>
      <c r="I16" s="40">
        <f>H16/11</f>
        <v>9.9</v>
      </c>
      <c r="J16" s="13" t="s">
        <v>61</v>
      </c>
      <c r="K16" s="15" t="s">
        <v>62</v>
      </c>
      <c r="L16" s="13" t="s">
        <v>62</v>
      </c>
      <c r="M16" s="13" t="s">
        <v>62</v>
      </c>
      <c r="N16" s="13" t="s">
        <v>291</v>
      </c>
      <c r="O16" s="13" t="s">
        <v>292</v>
      </c>
      <c r="P16" s="13" t="s">
        <v>293</v>
      </c>
      <c r="Q16" s="13" t="s">
        <v>294</v>
      </c>
      <c r="R16" s="13" t="s">
        <v>66</v>
      </c>
      <c r="S16" s="13" t="s">
        <v>295</v>
      </c>
    </row>
    <row r="17" spans="1:19" outlineLevel="2" x14ac:dyDescent="0.2">
      <c r="A17" s="7">
        <v>45706</v>
      </c>
      <c r="B17" s="8"/>
      <c r="C17" s="9" t="s">
        <v>49</v>
      </c>
      <c r="D17" s="9">
        <v>465083897</v>
      </c>
      <c r="E17" s="9" t="s">
        <v>30</v>
      </c>
      <c r="F17" s="9" t="s">
        <v>31</v>
      </c>
      <c r="G17" s="9" t="s">
        <v>50</v>
      </c>
      <c r="H17" s="11">
        <v>265.38</v>
      </c>
      <c r="I17" s="4">
        <f>H17/11</f>
        <v>24.125454545454545</v>
      </c>
      <c r="J17" s="9" t="s">
        <v>45</v>
      </c>
      <c r="K17" s="9">
        <v>10429.629999999999</v>
      </c>
      <c r="L17" s="9" t="s">
        <v>33</v>
      </c>
      <c r="M17" s="9">
        <v>112879</v>
      </c>
      <c r="N17" s="9">
        <v>908</v>
      </c>
      <c r="O17" s="9"/>
      <c r="P17" s="9"/>
      <c r="Q17" s="9"/>
      <c r="R17" s="9"/>
      <c r="S17" s="9"/>
    </row>
    <row r="18" spans="1:19" ht="32" outlineLevel="2" x14ac:dyDescent="0.2">
      <c r="A18" s="12" t="s">
        <v>241</v>
      </c>
      <c r="B18" s="13" t="s">
        <v>233</v>
      </c>
      <c r="C18" s="13" t="s">
        <v>242</v>
      </c>
      <c r="D18" s="13" t="s">
        <v>75</v>
      </c>
      <c r="E18" s="13" t="s">
        <v>76</v>
      </c>
      <c r="F18" s="13" t="s">
        <v>39</v>
      </c>
      <c r="G18" s="13" t="s">
        <v>50</v>
      </c>
      <c r="H18" s="27">
        <v>170.17</v>
      </c>
      <c r="I18" s="4">
        <v>0</v>
      </c>
      <c r="J18" s="13" t="s">
        <v>243</v>
      </c>
      <c r="K18" s="15">
        <v>4.96</v>
      </c>
      <c r="L18" s="13" t="s">
        <v>62</v>
      </c>
      <c r="M18" s="13" t="s">
        <v>62</v>
      </c>
      <c r="N18" s="13" t="s">
        <v>242</v>
      </c>
      <c r="O18" s="13" t="s">
        <v>244</v>
      </c>
      <c r="P18" s="13" t="s">
        <v>245</v>
      </c>
      <c r="Q18" s="13" t="s">
        <v>246</v>
      </c>
      <c r="R18" s="13" t="s">
        <v>247</v>
      </c>
      <c r="S18" s="13" t="s">
        <v>248</v>
      </c>
    </row>
    <row r="19" spans="1:19" ht="32" outlineLevel="2" x14ac:dyDescent="0.2">
      <c r="A19" s="12" t="s">
        <v>227</v>
      </c>
      <c r="B19" s="13" t="s">
        <v>196</v>
      </c>
      <c r="C19" s="13" t="s">
        <v>228</v>
      </c>
      <c r="D19" s="13" t="s">
        <v>84</v>
      </c>
      <c r="E19" s="13" t="s">
        <v>85</v>
      </c>
      <c r="F19" s="13" t="s">
        <v>39</v>
      </c>
      <c r="G19" s="13" t="s">
        <v>50</v>
      </c>
      <c r="H19" s="27">
        <v>35.729999999999997</v>
      </c>
      <c r="I19" s="11">
        <v>0</v>
      </c>
      <c r="J19" s="13" t="s">
        <v>97</v>
      </c>
      <c r="K19" s="15">
        <v>1.04</v>
      </c>
      <c r="L19" s="13" t="s">
        <v>62</v>
      </c>
      <c r="M19" s="13" t="s">
        <v>62</v>
      </c>
      <c r="N19" s="13" t="s">
        <v>228</v>
      </c>
      <c r="O19" s="13" t="s">
        <v>210</v>
      </c>
      <c r="P19" s="13" t="s">
        <v>99</v>
      </c>
      <c r="Q19" s="13" t="s">
        <v>211</v>
      </c>
      <c r="R19" s="13" t="s">
        <v>81</v>
      </c>
      <c r="S19" s="13" t="s">
        <v>229</v>
      </c>
    </row>
    <row r="20" spans="1:19" outlineLevel="2" x14ac:dyDescent="0.2">
      <c r="A20" s="7">
        <v>45709</v>
      </c>
      <c r="B20" s="17"/>
      <c r="C20" s="9" t="s">
        <v>572</v>
      </c>
      <c r="D20" s="9" t="s">
        <v>556</v>
      </c>
      <c r="E20" s="9" t="s">
        <v>557</v>
      </c>
      <c r="F20" s="9" t="s">
        <v>31</v>
      </c>
      <c r="G20" s="9" t="s">
        <v>50</v>
      </c>
      <c r="H20" s="11">
        <v>37.979999999999997</v>
      </c>
      <c r="I20" s="40">
        <f>H20/11</f>
        <v>3.4527272727272726</v>
      </c>
      <c r="J20" s="9" t="s">
        <v>558</v>
      </c>
      <c r="K20" s="9"/>
      <c r="L20" s="9">
        <v>-5898.88</v>
      </c>
      <c r="M20" s="9" t="s">
        <v>573</v>
      </c>
      <c r="N20" s="9" t="s">
        <v>574</v>
      </c>
      <c r="O20" s="9"/>
      <c r="P20" s="9"/>
      <c r="Q20" s="9"/>
      <c r="R20" s="9"/>
      <c r="S20" s="9"/>
    </row>
    <row r="21" spans="1:19" ht="32" outlineLevel="2" x14ac:dyDescent="0.2">
      <c r="A21" s="12" t="s">
        <v>196</v>
      </c>
      <c r="B21" s="13" t="s">
        <v>192</v>
      </c>
      <c r="C21" s="13" t="s">
        <v>203</v>
      </c>
      <c r="D21" s="13" t="s">
        <v>59</v>
      </c>
      <c r="E21" s="13" t="s">
        <v>60</v>
      </c>
      <c r="F21" s="13" t="s">
        <v>39</v>
      </c>
      <c r="G21" s="13" t="s">
        <v>50</v>
      </c>
      <c r="H21" s="27">
        <v>64.739999999999995</v>
      </c>
      <c r="I21" s="4">
        <v>0</v>
      </c>
      <c r="J21" s="13" t="s">
        <v>204</v>
      </c>
      <c r="K21" s="15">
        <v>1.89</v>
      </c>
      <c r="L21" s="13" t="s">
        <v>62</v>
      </c>
      <c r="M21" s="13" t="s">
        <v>62</v>
      </c>
      <c r="N21" s="13" t="s">
        <v>203</v>
      </c>
      <c r="O21" s="13" t="s">
        <v>205</v>
      </c>
      <c r="P21" s="13" t="s">
        <v>62</v>
      </c>
      <c r="Q21" s="13" t="s">
        <v>206</v>
      </c>
      <c r="R21" s="13" t="s">
        <v>207</v>
      </c>
      <c r="S21" s="13" t="s">
        <v>208</v>
      </c>
    </row>
    <row r="22" spans="1:19" ht="32" outlineLevel="2" x14ac:dyDescent="0.2">
      <c r="A22" s="12" t="s">
        <v>196</v>
      </c>
      <c r="B22" s="13" t="s">
        <v>192</v>
      </c>
      <c r="C22" s="13" t="s">
        <v>209</v>
      </c>
      <c r="D22" s="13" t="s">
        <v>75</v>
      </c>
      <c r="E22" s="13" t="s">
        <v>76</v>
      </c>
      <c r="F22" s="13" t="s">
        <v>39</v>
      </c>
      <c r="G22" s="13" t="s">
        <v>50</v>
      </c>
      <c r="H22" s="27">
        <v>35.58</v>
      </c>
      <c r="I22" s="4">
        <v>0</v>
      </c>
      <c r="J22" s="13" t="s">
        <v>97</v>
      </c>
      <c r="K22" s="15">
        <v>1.04</v>
      </c>
      <c r="L22" s="13" t="s">
        <v>62</v>
      </c>
      <c r="M22" s="13" t="s">
        <v>62</v>
      </c>
      <c r="N22" s="13" t="s">
        <v>209</v>
      </c>
      <c r="O22" s="13" t="s">
        <v>210</v>
      </c>
      <c r="P22" s="13" t="s">
        <v>99</v>
      </c>
      <c r="Q22" s="13" t="s">
        <v>211</v>
      </c>
      <c r="R22" s="13" t="s">
        <v>81</v>
      </c>
      <c r="S22" s="13" t="s">
        <v>212</v>
      </c>
    </row>
    <row r="23" spans="1:19" ht="32" outlineLevel="2" x14ac:dyDescent="0.2">
      <c r="A23" s="12" t="s">
        <v>173</v>
      </c>
      <c r="B23" s="13" t="s">
        <v>166</v>
      </c>
      <c r="C23" s="13" t="s">
        <v>58</v>
      </c>
      <c r="D23" s="13" t="s">
        <v>59</v>
      </c>
      <c r="E23" s="13" t="s">
        <v>60</v>
      </c>
      <c r="F23" s="13" t="s">
        <v>31</v>
      </c>
      <c r="G23" s="13" t="s">
        <v>50</v>
      </c>
      <c r="H23" s="27">
        <v>4.49</v>
      </c>
      <c r="I23" s="40">
        <f>H23/11</f>
        <v>0.4081818181818182</v>
      </c>
      <c r="J23" s="13" t="s">
        <v>61</v>
      </c>
      <c r="K23" s="15" t="s">
        <v>62</v>
      </c>
      <c r="L23" s="13" t="s">
        <v>62</v>
      </c>
      <c r="M23" s="13" t="s">
        <v>62</v>
      </c>
      <c r="N23" s="13" t="s">
        <v>58</v>
      </c>
      <c r="O23" s="13" t="s">
        <v>63</v>
      </c>
      <c r="P23" s="13" t="s">
        <v>64</v>
      </c>
      <c r="Q23" s="13" t="s">
        <v>65</v>
      </c>
      <c r="R23" s="13" t="s">
        <v>66</v>
      </c>
      <c r="S23" s="13" t="s">
        <v>174</v>
      </c>
    </row>
    <row r="24" spans="1:19" ht="32" outlineLevel="2" x14ac:dyDescent="0.2">
      <c r="A24" s="12" t="s">
        <v>166</v>
      </c>
      <c r="B24" s="13" t="s">
        <v>154</v>
      </c>
      <c r="C24" s="13" t="s">
        <v>58</v>
      </c>
      <c r="D24" s="13" t="s">
        <v>75</v>
      </c>
      <c r="E24" s="13" t="s">
        <v>76</v>
      </c>
      <c r="F24" s="13" t="s">
        <v>31</v>
      </c>
      <c r="G24" s="13" t="s">
        <v>50</v>
      </c>
      <c r="H24" s="27">
        <v>1.49</v>
      </c>
      <c r="I24" s="40">
        <f>H24/11</f>
        <v>0.13545454545454547</v>
      </c>
      <c r="J24" s="13" t="s">
        <v>61</v>
      </c>
      <c r="K24" s="15" t="s">
        <v>62</v>
      </c>
      <c r="L24" s="13" t="s">
        <v>62</v>
      </c>
      <c r="M24" s="13" t="s">
        <v>62</v>
      </c>
      <c r="N24" s="13" t="s">
        <v>58</v>
      </c>
      <c r="O24" s="13" t="s">
        <v>63</v>
      </c>
      <c r="P24" s="13" t="s">
        <v>64</v>
      </c>
      <c r="Q24" s="13" t="s">
        <v>65</v>
      </c>
      <c r="R24" s="13" t="s">
        <v>66</v>
      </c>
      <c r="S24" s="13" t="s">
        <v>167</v>
      </c>
    </row>
    <row r="25" spans="1:19" outlineLevel="2" x14ac:dyDescent="0.2">
      <c r="A25" s="7">
        <v>45712</v>
      </c>
      <c r="B25" s="17"/>
      <c r="C25" s="9" t="s">
        <v>572</v>
      </c>
      <c r="D25" s="9" t="s">
        <v>556</v>
      </c>
      <c r="E25" s="9" t="s">
        <v>557</v>
      </c>
      <c r="F25" s="9" t="s">
        <v>31</v>
      </c>
      <c r="G25" s="9" t="s">
        <v>50</v>
      </c>
      <c r="H25" s="11">
        <v>23.49</v>
      </c>
      <c r="I25" s="40">
        <f>H25/11</f>
        <v>2.1354545454545453</v>
      </c>
      <c r="J25" s="9" t="s">
        <v>558</v>
      </c>
      <c r="K25" s="9"/>
      <c r="L25" s="9">
        <v>-5957.85</v>
      </c>
      <c r="M25" s="9" t="s">
        <v>573</v>
      </c>
      <c r="N25" s="9" t="s">
        <v>574</v>
      </c>
      <c r="O25" s="9"/>
      <c r="P25" s="9"/>
      <c r="Q25" s="9"/>
      <c r="R25" s="9"/>
      <c r="S25" s="9"/>
    </row>
    <row r="26" spans="1:19" outlineLevel="2" x14ac:dyDescent="0.2">
      <c r="A26" s="7">
        <v>45712</v>
      </c>
      <c r="B26" s="17"/>
      <c r="C26" s="9" t="s">
        <v>572</v>
      </c>
      <c r="D26" s="9" t="s">
        <v>556</v>
      </c>
      <c r="E26" s="9" t="s">
        <v>557</v>
      </c>
      <c r="F26" s="9" t="s">
        <v>31</v>
      </c>
      <c r="G26" s="9" t="s">
        <v>50</v>
      </c>
      <c r="H26" s="11">
        <v>20.49</v>
      </c>
      <c r="I26" s="27">
        <f>H26/11</f>
        <v>1.8627272727272726</v>
      </c>
      <c r="J26" s="9" t="s">
        <v>558</v>
      </c>
      <c r="K26" s="9"/>
      <c r="L26" s="9">
        <v>-5934.36</v>
      </c>
      <c r="M26" s="9" t="s">
        <v>573</v>
      </c>
      <c r="N26" s="9" t="s">
        <v>574</v>
      </c>
      <c r="O26" s="9"/>
      <c r="P26" s="9"/>
      <c r="Q26" s="9"/>
      <c r="R26" s="9"/>
      <c r="S26" s="9"/>
    </row>
    <row r="27" spans="1:19" outlineLevel="2" x14ac:dyDescent="0.2">
      <c r="A27" s="7">
        <v>45712</v>
      </c>
      <c r="B27" s="17"/>
      <c r="C27" s="9" t="s">
        <v>572</v>
      </c>
      <c r="D27" s="9" t="s">
        <v>556</v>
      </c>
      <c r="E27" s="9" t="s">
        <v>557</v>
      </c>
      <c r="F27" s="9" t="s">
        <v>31</v>
      </c>
      <c r="G27" s="9" t="s">
        <v>50</v>
      </c>
      <c r="H27" s="11">
        <v>14.99</v>
      </c>
      <c r="I27" s="27">
        <f>H27/11</f>
        <v>1.3627272727272728</v>
      </c>
      <c r="J27" s="9" t="s">
        <v>558</v>
      </c>
      <c r="K27" s="9"/>
      <c r="L27" s="9">
        <v>-5913.87</v>
      </c>
      <c r="M27" s="9" t="s">
        <v>573</v>
      </c>
      <c r="N27" s="9" t="s">
        <v>574</v>
      </c>
      <c r="O27" s="9"/>
      <c r="P27" s="9"/>
      <c r="Q27" s="9"/>
      <c r="R27" s="9"/>
      <c r="S27" s="9"/>
    </row>
    <row r="28" spans="1:19" ht="32" outlineLevel="2" x14ac:dyDescent="0.2">
      <c r="A28" s="12" t="s">
        <v>154</v>
      </c>
      <c r="B28" s="13" t="s">
        <v>141</v>
      </c>
      <c r="C28" s="13" t="s">
        <v>442</v>
      </c>
      <c r="D28" s="13" t="s">
        <v>59</v>
      </c>
      <c r="E28" s="13" t="s">
        <v>426</v>
      </c>
      <c r="F28" s="13" t="s">
        <v>39</v>
      </c>
      <c r="G28" s="13" t="s">
        <v>50</v>
      </c>
      <c r="H28" s="27">
        <v>82.95</v>
      </c>
      <c r="I28" s="4">
        <v>0</v>
      </c>
      <c r="J28" s="13" t="s">
        <v>61</v>
      </c>
      <c r="K28" s="15" t="s">
        <v>62</v>
      </c>
      <c r="L28" s="13" t="s">
        <v>62</v>
      </c>
      <c r="M28" s="13" t="s">
        <v>62</v>
      </c>
      <c r="N28" s="13" t="s">
        <v>442</v>
      </c>
      <c r="O28" s="13" t="s">
        <v>443</v>
      </c>
      <c r="P28" s="13" t="s">
        <v>62</v>
      </c>
      <c r="Q28" s="13" t="s">
        <v>444</v>
      </c>
      <c r="R28" s="13" t="s">
        <v>445</v>
      </c>
      <c r="S28" s="13" t="s">
        <v>446</v>
      </c>
    </row>
    <row r="29" spans="1:19" ht="32" outlineLevel="2" x14ac:dyDescent="0.2">
      <c r="A29" s="12" t="s">
        <v>114</v>
      </c>
      <c r="B29" s="13" t="s">
        <v>57</v>
      </c>
      <c r="C29" s="13" t="s">
        <v>115</v>
      </c>
      <c r="D29" s="13" t="s">
        <v>75</v>
      </c>
      <c r="E29" s="13" t="s">
        <v>76</v>
      </c>
      <c r="F29" s="13" t="s">
        <v>31</v>
      </c>
      <c r="G29" s="13" t="s">
        <v>50</v>
      </c>
      <c r="H29" s="27">
        <v>75</v>
      </c>
      <c r="I29" s="40">
        <f>H29/11</f>
        <v>6.8181818181818183</v>
      </c>
      <c r="J29" s="13" t="s">
        <v>61</v>
      </c>
      <c r="K29" s="15" t="s">
        <v>62</v>
      </c>
      <c r="L29" s="13" t="s">
        <v>62</v>
      </c>
      <c r="M29" s="13" t="s">
        <v>62</v>
      </c>
      <c r="N29" s="13" t="s">
        <v>115</v>
      </c>
      <c r="O29" s="13" t="s">
        <v>116</v>
      </c>
      <c r="P29" s="13" t="s">
        <v>117</v>
      </c>
      <c r="Q29" s="13" t="s">
        <v>118</v>
      </c>
      <c r="R29" s="13" t="s">
        <v>66</v>
      </c>
      <c r="S29" s="13" t="s">
        <v>119</v>
      </c>
    </row>
    <row r="30" spans="1:19" ht="32" outlineLevel="2" x14ac:dyDescent="0.2">
      <c r="A30" s="12" t="s">
        <v>57</v>
      </c>
      <c r="B30" s="13" t="s">
        <v>57</v>
      </c>
      <c r="C30" s="13" t="s">
        <v>58</v>
      </c>
      <c r="D30" s="13" t="s">
        <v>59</v>
      </c>
      <c r="E30" s="13" t="s">
        <v>60</v>
      </c>
      <c r="F30" s="13" t="s">
        <v>31</v>
      </c>
      <c r="G30" s="13" t="s">
        <v>50</v>
      </c>
      <c r="H30" s="27">
        <v>1.49</v>
      </c>
      <c r="I30" s="40">
        <f>H30/11</f>
        <v>0.13545454545454547</v>
      </c>
      <c r="J30" s="13" t="s">
        <v>61</v>
      </c>
      <c r="K30" s="15" t="s">
        <v>62</v>
      </c>
      <c r="L30" s="13" t="s">
        <v>62</v>
      </c>
      <c r="M30" s="13" t="s">
        <v>62</v>
      </c>
      <c r="N30" s="13" t="s">
        <v>58</v>
      </c>
      <c r="O30" s="13" t="s">
        <v>63</v>
      </c>
      <c r="P30" s="13" t="s">
        <v>64</v>
      </c>
      <c r="Q30" s="13" t="s">
        <v>65</v>
      </c>
      <c r="R30" s="13" t="s">
        <v>66</v>
      </c>
      <c r="S30" s="13" t="s">
        <v>67</v>
      </c>
    </row>
    <row r="31" spans="1:19" ht="32" outlineLevel="2" x14ac:dyDescent="0.2">
      <c r="A31" s="12" t="s">
        <v>57</v>
      </c>
      <c r="B31" s="13" t="s">
        <v>68</v>
      </c>
      <c r="C31" s="13" t="s">
        <v>74</v>
      </c>
      <c r="D31" s="13" t="s">
        <v>75</v>
      </c>
      <c r="E31" s="13" t="s">
        <v>76</v>
      </c>
      <c r="F31" s="13" t="s">
        <v>39</v>
      </c>
      <c r="G31" s="13" t="s">
        <v>50</v>
      </c>
      <c r="H31" s="27">
        <v>90.67</v>
      </c>
      <c r="I31" s="11">
        <v>0</v>
      </c>
      <c r="J31" s="13" t="s">
        <v>77</v>
      </c>
      <c r="K31" s="15">
        <v>2.64</v>
      </c>
      <c r="L31" s="13" t="s">
        <v>62</v>
      </c>
      <c r="M31" s="13" t="s">
        <v>62</v>
      </c>
      <c r="N31" s="13" t="s">
        <v>74</v>
      </c>
      <c r="O31" s="13" t="s">
        <v>78</v>
      </c>
      <c r="P31" s="13" t="s">
        <v>79</v>
      </c>
      <c r="Q31" s="13" t="s">
        <v>80</v>
      </c>
      <c r="R31" s="13" t="s">
        <v>81</v>
      </c>
      <c r="S31" s="13" t="s">
        <v>82</v>
      </c>
    </row>
    <row r="32" spans="1:19" ht="32" outlineLevel="1" x14ac:dyDescent="0.2">
      <c r="A32" s="12"/>
      <c r="B32" s="13"/>
      <c r="C32" s="13"/>
      <c r="D32" s="13"/>
      <c r="E32" s="13"/>
      <c r="F32" s="13"/>
      <c r="G32" s="53" t="s">
        <v>628</v>
      </c>
      <c r="H32" s="27">
        <f>SUBTOTAL(9,H12:H31)</f>
        <v>1374.43</v>
      </c>
      <c r="I32" s="11">
        <f>SUBTOTAL(9,I12:I31)</f>
        <v>65.186363636363623</v>
      </c>
      <c r="J32" s="13"/>
      <c r="K32" s="15"/>
      <c r="L32" s="13"/>
      <c r="M32" s="13"/>
      <c r="N32" s="13"/>
      <c r="O32" s="13"/>
      <c r="P32" s="13"/>
      <c r="Q32" s="13"/>
      <c r="R32" s="13"/>
      <c r="S32" s="13"/>
    </row>
    <row r="33" spans="1:19" outlineLevel="2" x14ac:dyDescent="0.2">
      <c r="A33" s="7">
        <v>45702</v>
      </c>
      <c r="B33" s="8"/>
      <c r="C33" s="9" t="s">
        <v>46</v>
      </c>
      <c r="D33" s="9">
        <v>465083897</v>
      </c>
      <c r="E33" s="9" t="s">
        <v>30</v>
      </c>
      <c r="F33" s="9" t="s">
        <v>39</v>
      </c>
      <c r="G33" s="9" t="s">
        <v>47</v>
      </c>
      <c r="H33" s="11">
        <v>550</v>
      </c>
      <c r="I33" s="11">
        <v>0</v>
      </c>
      <c r="J33" s="9" t="s">
        <v>45</v>
      </c>
      <c r="K33" s="9">
        <v>10835.01</v>
      </c>
      <c r="L33" s="9" t="s">
        <v>33</v>
      </c>
      <c r="M33" s="9">
        <v>112879</v>
      </c>
      <c r="N33" s="9">
        <v>926</v>
      </c>
      <c r="O33" s="9"/>
      <c r="P33" s="9"/>
      <c r="Q33" s="9"/>
      <c r="R33" s="9"/>
      <c r="S33" s="9"/>
    </row>
    <row r="34" spans="1:19" outlineLevel="1" x14ac:dyDescent="0.2">
      <c r="A34" s="7"/>
      <c r="B34" s="8"/>
      <c r="C34" s="9"/>
      <c r="D34" s="9"/>
      <c r="E34" s="9"/>
      <c r="F34" s="9"/>
      <c r="G34" s="54" t="s">
        <v>629</v>
      </c>
      <c r="H34" s="11">
        <f>SUBTOTAL(9,H33:H33)</f>
        <v>550</v>
      </c>
      <c r="I34" s="11">
        <f>SUBTOTAL(9,I33:I33)</f>
        <v>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32" outlineLevel="2" x14ac:dyDescent="0.2">
      <c r="A35" s="12" t="s">
        <v>57</v>
      </c>
      <c r="B35" s="13" t="s">
        <v>57</v>
      </c>
      <c r="C35" s="13" t="s">
        <v>83</v>
      </c>
      <c r="D35" s="13" t="s">
        <v>84</v>
      </c>
      <c r="E35" s="13" t="s">
        <v>85</v>
      </c>
      <c r="F35" s="13" t="s">
        <v>39</v>
      </c>
      <c r="G35" s="13" t="s">
        <v>618</v>
      </c>
      <c r="H35" s="27">
        <v>188.63</v>
      </c>
      <c r="I35" s="11">
        <v>0</v>
      </c>
      <c r="J35" s="13" t="s">
        <v>61</v>
      </c>
      <c r="K35" s="15" t="s">
        <v>62</v>
      </c>
      <c r="L35" s="13" t="s">
        <v>62</v>
      </c>
      <c r="M35" s="13" t="s">
        <v>62</v>
      </c>
      <c r="N35" s="13" t="s">
        <v>83</v>
      </c>
      <c r="O35" s="13" t="s">
        <v>86</v>
      </c>
      <c r="P35" s="13" t="s">
        <v>87</v>
      </c>
      <c r="Q35" s="13" t="s">
        <v>88</v>
      </c>
      <c r="R35" s="13" t="s">
        <v>66</v>
      </c>
      <c r="S35" s="13" t="s">
        <v>89</v>
      </c>
    </row>
    <row r="36" spans="1:19" ht="32" outlineLevel="2" x14ac:dyDescent="0.2">
      <c r="A36" s="12" t="s">
        <v>57</v>
      </c>
      <c r="B36" s="13" t="s">
        <v>57</v>
      </c>
      <c r="C36" s="13" t="s">
        <v>83</v>
      </c>
      <c r="D36" s="13" t="s">
        <v>84</v>
      </c>
      <c r="E36" s="13" t="s">
        <v>85</v>
      </c>
      <c r="F36" s="13" t="s">
        <v>39</v>
      </c>
      <c r="G36" s="13" t="s">
        <v>618</v>
      </c>
      <c r="H36" s="27">
        <v>620.05999999999995</v>
      </c>
      <c r="I36" s="11">
        <v>0</v>
      </c>
      <c r="J36" s="13" t="s">
        <v>61</v>
      </c>
      <c r="K36" s="15" t="s">
        <v>62</v>
      </c>
      <c r="L36" s="13" t="s">
        <v>62</v>
      </c>
      <c r="M36" s="13" t="s">
        <v>62</v>
      </c>
      <c r="N36" s="13" t="s">
        <v>83</v>
      </c>
      <c r="O36" s="13" t="s">
        <v>86</v>
      </c>
      <c r="P36" s="13" t="s">
        <v>87</v>
      </c>
      <c r="Q36" s="13" t="s">
        <v>88</v>
      </c>
      <c r="R36" s="13" t="s">
        <v>66</v>
      </c>
      <c r="S36" s="13" t="s">
        <v>90</v>
      </c>
    </row>
    <row r="37" spans="1:19" ht="32" outlineLevel="1" x14ac:dyDescent="0.2">
      <c r="A37" s="12"/>
      <c r="B37" s="13"/>
      <c r="C37" s="13"/>
      <c r="D37" s="13"/>
      <c r="E37" s="13"/>
      <c r="F37" s="13"/>
      <c r="G37" s="53" t="s">
        <v>630</v>
      </c>
      <c r="H37" s="27">
        <f>SUBTOTAL(9,H35:H36)</f>
        <v>808.68999999999994</v>
      </c>
      <c r="I37" s="11">
        <f>SUBTOTAL(9,I35:I36)</f>
        <v>0</v>
      </c>
      <c r="J37" s="13"/>
      <c r="K37" s="15"/>
      <c r="L37" s="13"/>
      <c r="M37" s="13"/>
      <c r="N37" s="13"/>
      <c r="O37" s="13"/>
      <c r="P37" s="13"/>
      <c r="Q37" s="13"/>
      <c r="R37" s="13"/>
      <c r="S37" s="13"/>
    </row>
    <row r="38" spans="1:19" ht="32" outlineLevel="2" x14ac:dyDescent="0.2">
      <c r="A38" s="12" t="s">
        <v>340</v>
      </c>
      <c r="B38" s="13" t="s">
        <v>325</v>
      </c>
      <c r="C38" s="13" t="s">
        <v>346</v>
      </c>
      <c r="D38" s="13" t="s">
        <v>75</v>
      </c>
      <c r="E38" s="13" t="s">
        <v>76</v>
      </c>
      <c r="F38" s="13" t="s">
        <v>31</v>
      </c>
      <c r="G38" s="13" t="s">
        <v>612</v>
      </c>
      <c r="H38" s="27">
        <v>20.82</v>
      </c>
      <c r="I38" s="27">
        <f>H38/11</f>
        <v>1.8927272727272728</v>
      </c>
      <c r="J38" s="13" t="s">
        <v>61</v>
      </c>
      <c r="K38" s="15" t="s">
        <v>62</v>
      </c>
      <c r="L38" s="13" t="s">
        <v>62</v>
      </c>
      <c r="M38" s="13" t="s">
        <v>62</v>
      </c>
      <c r="N38" s="13" t="s">
        <v>346</v>
      </c>
      <c r="O38" s="13" t="s">
        <v>327</v>
      </c>
      <c r="P38" s="13" t="s">
        <v>328</v>
      </c>
      <c r="Q38" s="13" t="s">
        <v>329</v>
      </c>
      <c r="R38" s="13" t="s">
        <v>66</v>
      </c>
      <c r="S38" s="13" t="s">
        <v>347</v>
      </c>
    </row>
    <row r="39" spans="1:19" ht="32" outlineLevel="2" x14ac:dyDescent="0.2">
      <c r="A39" s="12" t="s">
        <v>325</v>
      </c>
      <c r="B39" s="13" t="s">
        <v>318</v>
      </c>
      <c r="C39" s="13" t="s">
        <v>326</v>
      </c>
      <c r="D39" s="13" t="s">
        <v>75</v>
      </c>
      <c r="E39" s="13" t="s">
        <v>76</v>
      </c>
      <c r="F39" s="13" t="s">
        <v>31</v>
      </c>
      <c r="G39" s="13" t="s">
        <v>612</v>
      </c>
      <c r="H39" s="27">
        <v>294</v>
      </c>
      <c r="I39" s="27">
        <f>H39/11</f>
        <v>26.727272727272727</v>
      </c>
      <c r="J39" s="13" t="s">
        <v>61</v>
      </c>
      <c r="K39" s="15" t="s">
        <v>62</v>
      </c>
      <c r="L39" s="13" t="s">
        <v>62</v>
      </c>
      <c r="M39" s="13" t="s">
        <v>62</v>
      </c>
      <c r="N39" s="13" t="s">
        <v>326</v>
      </c>
      <c r="O39" s="13" t="s">
        <v>327</v>
      </c>
      <c r="P39" s="13" t="s">
        <v>328</v>
      </c>
      <c r="Q39" s="13" t="s">
        <v>329</v>
      </c>
      <c r="R39" s="13" t="s">
        <v>66</v>
      </c>
      <c r="S39" s="13" t="s">
        <v>330</v>
      </c>
    </row>
    <row r="40" spans="1:19" ht="16" outlineLevel="1" x14ac:dyDescent="0.2">
      <c r="A40" s="12"/>
      <c r="B40" s="13"/>
      <c r="C40" s="13"/>
      <c r="D40" s="13"/>
      <c r="E40" s="13"/>
      <c r="F40" s="13"/>
      <c r="G40" s="53" t="s">
        <v>631</v>
      </c>
      <c r="H40" s="27">
        <f>SUBTOTAL(9,H38:H39)</f>
        <v>314.82</v>
      </c>
      <c r="I40" s="27">
        <f>SUBTOTAL(9,I38:I39)</f>
        <v>28.62</v>
      </c>
      <c r="J40" s="13"/>
      <c r="K40" s="15"/>
      <c r="L40" s="13"/>
      <c r="M40" s="13"/>
      <c r="N40" s="13"/>
      <c r="O40" s="13"/>
      <c r="P40" s="13"/>
      <c r="Q40" s="13"/>
      <c r="R40" s="13"/>
      <c r="S40" s="13"/>
    </row>
    <row r="41" spans="1:19" ht="48" outlineLevel="2" x14ac:dyDescent="0.2">
      <c r="A41" s="12" t="s">
        <v>373</v>
      </c>
      <c r="B41" s="13" t="s">
        <v>367</v>
      </c>
      <c r="C41" s="13" t="s">
        <v>388</v>
      </c>
      <c r="D41" s="13" t="s">
        <v>84</v>
      </c>
      <c r="E41" s="13" t="s">
        <v>85</v>
      </c>
      <c r="F41" s="13" t="s">
        <v>31</v>
      </c>
      <c r="G41" s="13" t="s">
        <v>616</v>
      </c>
      <c r="H41" s="27">
        <v>663.84</v>
      </c>
      <c r="I41" s="27">
        <f>H41/11</f>
        <v>60.349090909090911</v>
      </c>
      <c r="J41" s="13" t="s">
        <v>61</v>
      </c>
      <c r="K41" s="15" t="s">
        <v>62</v>
      </c>
      <c r="L41" s="13" t="s">
        <v>62</v>
      </c>
      <c r="M41" s="13" t="s">
        <v>389</v>
      </c>
      <c r="N41" s="13" t="s">
        <v>388</v>
      </c>
      <c r="O41" s="13" t="s">
        <v>390</v>
      </c>
      <c r="P41" s="13" t="s">
        <v>391</v>
      </c>
      <c r="Q41" s="13" t="s">
        <v>392</v>
      </c>
      <c r="R41" s="13" t="s">
        <v>66</v>
      </c>
      <c r="S41" s="13" t="s">
        <v>393</v>
      </c>
    </row>
    <row r="42" spans="1:19" ht="16" outlineLevel="1" x14ac:dyDescent="0.2">
      <c r="A42" s="12"/>
      <c r="B42" s="13"/>
      <c r="C42" s="13"/>
      <c r="D42" s="13"/>
      <c r="E42" s="13"/>
      <c r="F42" s="13"/>
      <c r="G42" s="53" t="s">
        <v>632</v>
      </c>
      <c r="H42" s="27">
        <f>SUBTOTAL(9,H41:H41)</f>
        <v>663.84</v>
      </c>
      <c r="I42" s="27">
        <f>SUBTOTAL(9,I41:I41)</f>
        <v>60.349090909090911</v>
      </c>
      <c r="J42" s="13"/>
      <c r="K42" s="15"/>
      <c r="L42" s="13"/>
      <c r="M42" s="13"/>
      <c r="N42" s="13"/>
      <c r="O42" s="13"/>
      <c r="P42" s="13"/>
      <c r="Q42" s="13"/>
      <c r="R42" s="13"/>
      <c r="S42" s="13"/>
    </row>
    <row r="43" spans="1:19" ht="32" outlineLevel="2" x14ac:dyDescent="0.2">
      <c r="A43" s="12" t="s">
        <v>354</v>
      </c>
      <c r="B43" s="13" t="s">
        <v>340</v>
      </c>
      <c r="C43" s="13" t="s">
        <v>465</v>
      </c>
      <c r="D43" s="13" t="s">
        <v>59</v>
      </c>
      <c r="E43" s="13" t="s">
        <v>426</v>
      </c>
      <c r="F43" s="13" t="s">
        <v>31</v>
      </c>
      <c r="G43" s="13" t="s">
        <v>606</v>
      </c>
      <c r="H43" s="27">
        <v>30</v>
      </c>
      <c r="I43" s="27">
        <f>H43/11</f>
        <v>2.7272727272727271</v>
      </c>
      <c r="J43" s="13" t="s">
        <v>61</v>
      </c>
      <c r="K43" s="15" t="s">
        <v>62</v>
      </c>
      <c r="L43" s="13" t="s">
        <v>62</v>
      </c>
      <c r="M43" s="13" t="s">
        <v>62</v>
      </c>
      <c r="N43" s="13" t="s">
        <v>465</v>
      </c>
      <c r="O43" s="13" t="s">
        <v>466</v>
      </c>
      <c r="P43" s="13" t="s">
        <v>64</v>
      </c>
      <c r="Q43" s="13" t="s">
        <v>65</v>
      </c>
      <c r="R43" s="13" t="s">
        <v>66</v>
      </c>
      <c r="S43" s="13" t="s">
        <v>491</v>
      </c>
    </row>
    <row r="44" spans="1:19" ht="32" outlineLevel="2" x14ac:dyDescent="0.2">
      <c r="A44" s="12" t="s">
        <v>267</v>
      </c>
      <c r="B44" s="13" t="s">
        <v>252</v>
      </c>
      <c r="C44" s="13" t="s">
        <v>465</v>
      </c>
      <c r="D44" s="13" t="s">
        <v>59</v>
      </c>
      <c r="E44" s="13" t="s">
        <v>426</v>
      </c>
      <c r="F44" s="13" t="s">
        <v>31</v>
      </c>
      <c r="G44" s="13" t="s">
        <v>606</v>
      </c>
      <c r="H44" s="27">
        <v>30</v>
      </c>
      <c r="I44" s="27">
        <f>H44/11</f>
        <v>2.7272727272727271</v>
      </c>
      <c r="J44" s="13" t="s">
        <v>61</v>
      </c>
      <c r="K44" s="15" t="s">
        <v>62</v>
      </c>
      <c r="L44" s="13" t="s">
        <v>62</v>
      </c>
      <c r="M44" s="13" t="s">
        <v>62</v>
      </c>
      <c r="N44" s="13" t="s">
        <v>465</v>
      </c>
      <c r="O44" s="13" t="s">
        <v>466</v>
      </c>
      <c r="P44" s="13" t="s">
        <v>64</v>
      </c>
      <c r="Q44" s="13" t="s">
        <v>65</v>
      </c>
      <c r="R44" s="13" t="s">
        <v>66</v>
      </c>
      <c r="S44" s="13" t="s">
        <v>467</v>
      </c>
    </row>
    <row r="45" spans="1:19" ht="16" outlineLevel="1" x14ac:dyDescent="0.2">
      <c r="A45" s="12"/>
      <c r="B45" s="13"/>
      <c r="C45" s="13"/>
      <c r="D45" s="13"/>
      <c r="E45" s="13"/>
      <c r="F45" s="13"/>
      <c r="G45" s="53" t="s">
        <v>633</v>
      </c>
      <c r="H45" s="27">
        <f>SUBTOTAL(9,H43:H44)</f>
        <v>60</v>
      </c>
      <c r="I45" s="27">
        <f>SUBTOTAL(9,I43:I44)</f>
        <v>5.4545454545454541</v>
      </c>
      <c r="J45" s="13"/>
      <c r="K45" s="15"/>
      <c r="L45" s="13"/>
      <c r="M45" s="13"/>
      <c r="N45" s="13"/>
      <c r="O45" s="13"/>
      <c r="P45" s="13"/>
      <c r="Q45" s="13"/>
      <c r="R45" s="13"/>
      <c r="S45" s="13"/>
    </row>
    <row r="46" spans="1:19" ht="32" outlineLevel="2" x14ac:dyDescent="0.2">
      <c r="A46" s="12" t="s">
        <v>373</v>
      </c>
      <c r="B46" s="13" t="s">
        <v>367</v>
      </c>
      <c r="C46" s="13" t="s">
        <v>385</v>
      </c>
      <c r="D46" s="13" t="s">
        <v>75</v>
      </c>
      <c r="E46" s="13" t="s">
        <v>76</v>
      </c>
      <c r="F46" s="13" t="s">
        <v>31</v>
      </c>
      <c r="G46" s="13" t="s">
        <v>611</v>
      </c>
      <c r="H46" s="27">
        <v>64.989999999999995</v>
      </c>
      <c r="I46" s="27">
        <f>H46/11</f>
        <v>5.9081818181818173</v>
      </c>
      <c r="J46" s="13" t="s">
        <v>61</v>
      </c>
      <c r="K46" s="15" t="s">
        <v>62</v>
      </c>
      <c r="L46" s="13" t="s">
        <v>62</v>
      </c>
      <c r="M46" s="13" t="s">
        <v>62</v>
      </c>
      <c r="N46" s="13" t="s">
        <v>385</v>
      </c>
      <c r="O46" s="13" t="s">
        <v>386</v>
      </c>
      <c r="P46" s="13" t="s">
        <v>328</v>
      </c>
      <c r="Q46" s="13" t="s">
        <v>329</v>
      </c>
      <c r="R46" s="13" t="s">
        <v>66</v>
      </c>
      <c r="S46" s="13" t="s">
        <v>387</v>
      </c>
    </row>
    <row r="47" spans="1:19" outlineLevel="2" x14ac:dyDescent="0.2">
      <c r="A47" s="7">
        <v>45698</v>
      </c>
      <c r="B47" s="17"/>
      <c r="C47" s="9" t="s">
        <v>572</v>
      </c>
      <c r="D47" s="9" t="s">
        <v>556</v>
      </c>
      <c r="E47" s="9" t="s">
        <v>557</v>
      </c>
      <c r="F47" s="9" t="s">
        <v>31</v>
      </c>
      <c r="G47" s="9" t="s">
        <v>611</v>
      </c>
      <c r="H47" s="11">
        <v>19.989999999999998</v>
      </c>
      <c r="I47" s="27">
        <f>H47/11</f>
        <v>1.8172727272727272</v>
      </c>
      <c r="J47" s="9" t="s">
        <v>558</v>
      </c>
      <c r="K47" s="9"/>
      <c r="L47" s="9">
        <v>-3577.48</v>
      </c>
      <c r="M47" s="9" t="s">
        <v>573</v>
      </c>
      <c r="N47" s="9" t="s">
        <v>574</v>
      </c>
      <c r="O47" s="9"/>
      <c r="P47" s="9"/>
      <c r="Q47" s="9"/>
      <c r="R47" s="9"/>
      <c r="S47" s="9"/>
    </row>
    <row r="48" spans="1:19" ht="32" outlineLevel="2" x14ac:dyDescent="0.2">
      <c r="A48" s="12" t="s">
        <v>141</v>
      </c>
      <c r="B48" s="13" t="s">
        <v>114</v>
      </c>
      <c r="C48" s="13" t="s">
        <v>436</v>
      </c>
      <c r="D48" s="13" t="s">
        <v>59</v>
      </c>
      <c r="E48" s="13" t="s">
        <v>426</v>
      </c>
      <c r="F48" s="13" t="s">
        <v>39</v>
      </c>
      <c r="G48" s="13" t="s">
        <v>611</v>
      </c>
      <c r="H48" s="27">
        <v>41.36</v>
      </c>
      <c r="I48" s="11">
        <v>0</v>
      </c>
      <c r="J48" s="13" t="s">
        <v>437</v>
      </c>
      <c r="K48" s="15">
        <v>1.2</v>
      </c>
      <c r="L48" s="13" t="s">
        <v>62</v>
      </c>
      <c r="M48" s="13" t="s">
        <v>62</v>
      </c>
      <c r="N48" s="13" t="s">
        <v>436</v>
      </c>
      <c r="O48" s="13" t="s">
        <v>438</v>
      </c>
      <c r="P48" s="13" t="s">
        <v>439</v>
      </c>
      <c r="Q48" s="13" t="s">
        <v>440</v>
      </c>
      <c r="R48" s="13" t="s">
        <v>81</v>
      </c>
      <c r="S48" s="13" t="s">
        <v>441</v>
      </c>
    </row>
    <row r="49" spans="1:19" ht="32" outlineLevel="1" x14ac:dyDescent="0.2">
      <c r="A49" s="12"/>
      <c r="B49" s="13"/>
      <c r="C49" s="13"/>
      <c r="D49" s="13"/>
      <c r="E49" s="13"/>
      <c r="F49" s="13"/>
      <c r="G49" s="53" t="s">
        <v>634</v>
      </c>
      <c r="H49" s="27">
        <f>SUBTOTAL(9,H46:H48)</f>
        <v>126.33999999999999</v>
      </c>
      <c r="I49" s="11">
        <f>SUBTOTAL(9,I46:I48)</f>
        <v>7.7254545454545447</v>
      </c>
      <c r="J49" s="13"/>
      <c r="K49" s="15"/>
      <c r="L49" s="13"/>
      <c r="M49" s="13"/>
      <c r="N49" s="13"/>
      <c r="O49" s="13"/>
      <c r="P49" s="13"/>
      <c r="Q49" s="13"/>
      <c r="R49" s="13"/>
      <c r="S49" s="13"/>
    </row>
    <row r="50" spans="1:19" ht="32" outlineLevel="2" x14ac:dyDescent="0.2">
      <c r="A50" s="12" t="s">
        <v>415</v>
      </c>
      <c r="B50" s="13" t="s">
        <v>415</v>
      </c>
      <c r="C50" s="13" t="s">
        <v>416</v>
      </c>
      <c r="D50" s="13" t="s">
        <v>75</v>
      </c>
      <c r="E50" s="13" t="s">
        <v>76</v>
      </c>
      <c r="F50" s="13" t="s">
        <v>31</v>
      </c>
      <c r="G50" s="13" t="s">
        <v>613</v>
      </c>
      <c r="H50" s="27">
        <v>1218</v>
      </c>
      <c r="I50" s="27">
        <f>H50/11</f>
        <v>110.72727272727273</v>
      </c>
      <c r="J50" s="13" t="s">
        <v>61</v>
      </c>
      <c r="K50" s="15" t="s">
        <v>62</v>
      </c>
      <c r="L50" s="13" t="s">
        <v>62</v>
      </c>
      <c r="M50" s="13" t="s">
        <v>62</v>
      </c>
      <c r="N50" s="13" t="s">
        <v>416</v>
      </c>
      <c r="O50" s="13" t="s">
        <v>417</v>
      </c>
      <c r="P50" s="13" t="s">
        <v>418</v>
      </c>
      <c r="Q50" s="13" t="s">
        <v>419</v>
      </c>
      <c r="R50" s="13" t="s">
        <v>66</v>
      </c>
      <c r="S50" s="13" t="s">
        <v>420</v>
      </c>
    </row>
    <row r="51" spans="1:19" ht="32" outlineLevel="1" x14ac:dyDescent="0.2">
      <c r="A51" s="12"/>
      <c r="B51" s="13"/>
      <c r="C51" s="13"/>
      <c r="D51" s="13"/>
      <c r="E51" s="13"/>
      <c r="F51" s="13"/>
      <c r="G51" s="53" t="s">
        <v>635</v>
      </c>
      <c r="H51" s="27">
        <f>SUBTOTAL(9,H50:H50)</f>
        <v>1218</v>
      </c>
      <c r="I51" s="27">
        <f>SUBTOTAL(9,I50:I50)</f>
        <v>110.72727272727273</v>
      </c>
      <c r="J51" s="13"/>
      <c r="K51" s="15"/>
      <c r="L51" s="13"/>
      <c r="M51" s="13"/>
      <c r="N51" s="13"/>
      <c r="O51" s="13"/>
      <c r="P51" s="13"/>
      <c r="Q51" s="13"/>
      <c r="R51" s="13"/>
      <c r="S51" s="13"/>
    </row>
    <row r="52" spans="1:19" outlineLevel="2" x14ac:dyDescent="0.2">
      <c r="A52" s="7">
        <v>45712</v>
      </c>
      <c r="B52" s="8"/>
      <c r="C52" s="9" t="s">
        <v>51</v>
      </c>
      <c r="D52" s="9">
        <v>465083897</v>
      </c>
      <c r="E52" s="9" t="s">
        <v>30</v>
      </c>
      <c r="F52" s="9" t="s">
        <v>31</v>
      </c>
      <c r="G52" s="9" t="s">
        <v>52</v>
      </c>
      <c r="H52" s="11">
        <v>1881.46</v>
      </c>
      <c r="I52" s="11">
        <f>H52/11</f>
        <v>171.04181818181817</v>
      </c>
      <c r="J52" s="9" t="s">
        <v>45</v>
      </c>
      <c r="K52" s="9">
        <v>8548.17</v>
      </c>
      <c r="L52" s="9" t="s">
        <v>33</v>
      </c>
      <c r="M52" s="9">
        <v>112879</v>
      </c>
      <c r="N52" s="9">
        <v>946</v>
      </c>
      <c r="O52" s="9"/>
      <c r="P52" s="9"/>
      <c r="Q52" s="9"/>
      <c r="R52" s="9"/>
      <c r="S52" s="9"/>
    </row>
    <row r="53" spans="1:19" outlineLevel="1" x14ac:dyDescent="0.2">
      <c r="A53" s="7"/>
      <c r="B53" s="8"/>
      <c r="C53" s="9"/>
      <c r="D53" s="9"/>
      <c r="E53" s="9"/>
      <c r="F53" s="9"/>
      <c r="G53" s="54" t="s">
        <v>636</v>
      </c>
      <c r="H53" s="11">
        <f>SUBTOTAL(9,H52:H52)</f>
        <v>1881.46</v>
      </c>
      <c r="I53" s="11">
        <f>SUBTOTAL(9,I52:I52)</f>
        <v>171.04181818181817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outlineLevel="2" x14ac:dyDescent="0.2">
      <c r="A54" s="7">
        <v>45712</v>
      </c>
      <c r="B54" s="8"/>
      <c r="C54" s="9" t="s">
        <v>53</v>
      </c>
      <c r="D54" s="9">
        <v>465083897</v>
      </c>
      <c r="E54" s="9" t="s">
        <v>30</v>
      </c>
      <c r="F54" s="9" t="s">
        <v>31</v>
      </c>
      <c r="G54" s="9" t="s">
        <v>54</v>
      </c>
      <c r="H54" s="11">
        <v>7416.75</v>
      </c>
      <c r="I54" s="11">
        <f>H54/11</f>
        <v>674.25</v>
      </c>
      <c r="J54" s="9" t="s">
        <v>45</v>
      </c>
      <c r="K54" s="9">
        <v>1131.42</v>
      </c>
      <c r="L54" s="9" t="s">
        <v>33</v>
      </c>
      <c r="M54" s="9">
        <v>112879</v>
      </c>
      <c r="N54" s="9">
        <v>946</v>
      </c>
      <c r="O54" s="9"/>
      <c r="P54" s="9"/>
      <c r="Q54" s="9"/>
      <c r="R54" s="9"/>
      <c r="S54" s="9"/>
    </row>
    <row r="55" spans="1:19" outlineLevel="1" x14ac:dyDescent="0.2">
      <c r="A55" s="7"/>
      <c r="B55" s="8"/>
      <c r="C55" s="9"/>
      <c r="D55" s="9"/>
      <c r="E55" s="9"/>
      <c r="F55" s="9"/>
      <c r="G55" s="54" t="s">
        <v>637</v>
      </c>
      <c r="H55" s="11">
        <f>SUBTOTAL(9,H54:H54)</f>
        <v>7416.75</v>
      </c>
      <c r="I55" s="11">
        <f>SUBTOTAL(9,I54:I54)</f>
        <v>674.25</v>
      </c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t="32" outlineLevel="2" x14ac:dyDescent="0.2">
      <c r="A56" s="12" t="s">
        <v>252</v>
      </c>
      <c r="B56" s="13" t="s">
        <v>252</v>
      </c>
      <c r="C56" s="13" t="s">
        <v>264</v>
      </c>
      <c r="D56" s="13" t="s">
        <v>84</v>
      </c>
      <c r="E56" s="13" t="s">
        <v>85</v>
      </c>
      <c r="F56" s="13" t="s">
        <v>31</v>
      </c>
      <c r="G56" s="13" t="s">
        <v>615</v>
      </c>
      <c r="H56" s="27">
        <v>33.24</v>
      </c>
      <c r="I56" s="27">
        <f>H56/11</f>
        <v>3.021818181818182</v>
      </c>
      <c r="J56" s="13" t="s">
        <v>61</v>
      </c>
      <c r="K56" s="15" t="s">
        <v>62</v>
      </c>
      <c r="L56" s="13" t="s">
        <v>62</v>
      </c>
      <c r="M56" s="13" t="s">
        <v>62</v>
      </c>
      <c r="N56" s="13" t="s">
        <v>264</v>
      </c>
      <c r="O56" s="13" t="s">
        <v>265</v>
      </c>
      <c r="P56" s="13" t="s">
        <v>64</v>
      </c>
      <c r="Q56" s="13" t="s">
        <v>65</v>
      </c>
      <c r="R56" s="13" t="s">
        <v>66</v>
      </c>
      <c r="S56" s="13" t="s">
        <v>266</v>
      </c>
    </row>
    <row r="57" spans="1:19" ht="16" outlineLevel="1" x14ac:dyDescent="0.2">
      <c r="A57" s="12"/>
      <c r="B57" s="13"/>
      <c r="C57" s="13"/>
      <c r="D57" s="13"/>
      <c r="E57" s="13"/>
      <c r="F57" s="13"/>
      <c r="G57" s="53" t="s">
        <v>638</v>
      </c>
      <c r="H57" s="27">
        <f>SUBTOTAL(9,H56:H56)</f>
        <v>33.24</v>
      </c>
      <c r="I57" s="27">
        <f>SUBTOTAL(9,I56:I56)</f>
        <v>3.021818181818182</v>
      </c>
      <c r="J57" s="13"/>
      <c r="K57" s="15"/>
      <c r="L57" s="13"/>
      <c r="M57" s="13"/>
      <c r="N57" s="13"/>
      <c r="O57" s="13"/>
      <c r="P57" s="13"/>
      <c r="Q57" s="13"/>
      <c r="R57" s="13"/>
      <c r="S57" s="13"/>
    </row>
    <row r="58" spans="1:19" outlineLevel="2" x14ac:dyDescent="0.2">
      <c r="A58" s="7">
        <v>45702</v>
      </c>
      <c r="B58" s="17"/>
      <c r="C58" s="9" t="s">
        <v>577</v>
      </c>
      <c r="D58" s="9" t="s">
        <v>556</v>
      </c>
      <c r="E58" s="9" t="s">
        <v>557</v>
      </c>
      <c r="F58" s="9" t="s">
        <v>39</v>
      </c>
      <c r="G58" s="9" t="s">
        <v>610</v>
      </c>
      <c r="H58" s="11">
        <v>1299.7</v>
      </c>
      <c r="I58" s="11">
        <v>0</v>
      </c>
      <c r="J58" s="9" t="s">
        <v>558</v>
      </c>
      <c r="K58" s="9"/>
      <c r="L58" s="9">
        <v>-5773.96</v>
      </c>
      <c r="M58" s="9" t="s">
        <v>578</v>
      </c>
      <c r="N58" s="9" t="s">
        <v>579</v>
      </c>
      <c r="O58" s="9"/>
      <c r="P58" s="9"/>
      <c r="Q58" s="9"/>
      <c r="R58" s="9"/>
      <c r="S58" s="9"/>
    </row>
    <row r="59" spans="1:19" outlineLevel="1" x14ac:dyDescent="0.2">
      <c r="A59" s="7"/>
      <c r="B59" s="17"/>
      <c r="C59" s="9"/>
      <c r="D59" s="9"/>
      <c r="E59" s="9"/>
      <c r="F59" s="9"/>
      <c r="G59" s="54" t="s">
        <v>639</v>
      </c>
      <c r="H59" s="11">
        <f>SUBTOTAL(9,H58:H58)</f>
        <v>1299.7</v>
      </c>
      <c r="I59" s="11">
        <f>SUBTOTAL(9,I58:I58)</f>
        <v>0</v>
      </c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ht="32" outlineLevel="2" x14ac:dyDescent="0.2">
      <c r="A60" s="12" t="s">
        <v>252</v>
      </c>
      <c r="B60" s="13" t="s">
        <v>241</v>
      </c>
      <c r="C60" s="13" t="s">
        <v>254</v>
      </c>
      <c r="D60" s="13" t="s">
        <v>75</v>
      </c>
      <c r="E60" s="13" t="s">
        <v>76</v>
      </c>
      <c r="F60" s="13" t="s">
        <v>31</v>
      </c>
      <c r="G60" s="13" t="s">
        <v>614</v>
      </c>
      <c r="H60" s="27">
        <v>596</v>
      </c>
      <c r="I60" s="27">
        <f>H60/11</f>
        <v>54.18181818181818</v>
      </c>
      <c r="J60" s="13" t="s">
        <v>61</v>
      </c>
      <c r="K60" s="15" t="s">
        <v>62</v>
      </c>
      <c r="L60" s="13" t="s">
        <v>62</v>
      </c>
      <c r="M60" s="13" t="s">
        <v>62</v>
      </c>
      <c r="N60" s="13" t="s">
        <v>254</v>
      </c>
      <c r="O60" s="13" t="s">
        <v>255</v>
      </c>
      <c r="P60" s="13" t="s">
        <v>256</v>
      </c>
      <c r="Q60" s="13" t="s">
        <v>257</v>
      </c>
      <c r="R60" s="13" t="s">
        <v>66</v>
      </c>
      <c r="S60" s="13" t="s">
        <v>258</v>
      </c>
    </row>
    <row r="61" spans="1:19" ht="16" outlineLevel="1" x14ac:dyDescent="0.2">
      <c r="A61" s="12"/>
      <c r="B61" s="13"/>
      <c r="C61" s="13"/>
      <c r="D61" s="13"/>
      <c r="E61" s="13"/>
      <c r="F61" s="13"/>
      <c r="G61" s="53" t="s">
        <v>640</v>
      </c>
      <c r="H61" s="27">
        <f>SUBTOTAL(9,H60:H60)</f>
        <v>596</v>
      </c>
      <c r="I61" s="27">
        <f>SUBTOTAL(9,I60:I60)</f>
        <v>54.18181818181818</v>
      </c>
      <c r="J61" s="13"/>
      <c r="K61" s="15"/>
      <c r="L61" s="13"/>
      <c r="M61" s="13"/>
      <c r="N61" s="13"/>
      <c r="O61" s="13"/>
      <c r="P61" s="13"/>
      <c r="Q61" s="13"/>
      <c r="R61" s="13"/>
      <c r="S61" s="13"/>
    </row>
    <row r="62" spans="1:19" ht="32" outlineLevel="2" x14ac:dyDescent="0.2">
      <c r="A62" s="12" t="s">
        <v>398</v>
      </c>
      <c r="B62" s="13" t="s">
        <v>373</v>
      </c>
      <c r="C62" s="13" t="s">
        <v>142</v>
      </c>
      <c r="D62" s="13" t="s">
        <v>59</v>
      </c>
      <c r="E62" s="13" t="s">
        <v>60</v>
      </c>
      <c r="F62" s="13" t="s">
        <v>31</v>
      </c>
      <c r="G62" s="13" t="s">
        <v>624</v>
      </c>
      <c r="H62" s="27">
        <v>91.49</v>
      </c>
      <c r="I62" s="27">
        <f>H62/11</f>
        <v>8.3172727272727265</v>
      </c>
      <c r="J62" s="13" t="s">
        <v>61</v>
      </c>
      <c r="K62" s="15" t="s">
        <v>62</v>
      </c>
      <c r="L62" s="13" t="s">
        <v>62</v>
      </c>
      <c r="M62" s="13" t="s">
        <v>62</v>
      </c>
      <c r="N62" s="13" t="s">
        <v>142</v>
      </c>
      <c r="O62" s="13" t="s">
        <v>143</v>
      </c>
      <c r="P62" s="13" t="s">
        <v>64</v>
      </c>
      <c r="Q62" s="13" t="s">
        <v>65</v>
      </c>
      <c r="R62" s="13" t="s">
        <v>66</v>
      </c>
      <c r="S62" s="13" t="s">
        <v>399</v>
      </c>
    </row>
    <row r="63" spans="1:19" ht="16" outlineLevel="1" x14ac:dyDescent="0.2">
      <c r="A63" s="12"/>
      <c r="B63" s="13"/>
      <c r="C63" s="13"/>
      <c r="D63" s="13"/>
      <c r="E63" s="13"/>
      <c r="F63" s="13"/>
      <c r="G63" s="53" t="s">
        <v>641</v>
      </c>
      <c r="H63" s="27">
        <f>SUBTOTAL(9,H62:H62)</f>
        <v>91.49</v>
      </c>
      <c r="I63" s="27">
        <f>SUBTOTAL(9,I62:I62)</f>
        <v>8.3172727272727265</v>
      </c>
      <c r="J63" s="13"/>
      <c r="K63" s="15"/>
      <c r="L63" s="13"/>
      <c r="M63" s="13"/>
      <c r="N63" s="13"/>
      <c r="O63" s="13"/>
      <c r="P63" s="13"/>
      <c r="Q63" s="13"/>
      <c r="R63" s="13"/>
      <c r="S63" s="13"/>
    </row>
    <row r="64" spans="1:19" ht="32" outlineLevel="2" x14ac:dyDescent="0.2">
      <c r="A64" s="12" t="s">
        <v>408</v>
      </c>
      <c r="B64" s="13" t="s">
        <v>403</v>
      </c>
      <c r="C64" s="13" t="s">
        <v>510</v>
      </c>
      <c r="D64" s="13" t="s">
        <v>59</v>
      </c>
      <c r="E64" s="13" t="s">
        <v>426</v>
      </c>
      <c r="F64" s="13" t="s">
        <v>39</v>
      </c>
      <c r="G64" s="13" t="s">
        <v>619</v>
      </c>
      <c r="H64" s="27">
        <v>624.94000000000005</v>
      </c>
      <c r="I64" s="11">
        <v>0</v>
      </c>
      <c r="J64" s="13" t="s">
        <v>511</v>
      </c>
      <c r="K64" s="15">
        <v>18.2</v>
      </c>
      <c r="L64" s="13" t="s">
        <v>62</v>
      </c>
      <c r="M64" s="13" t="s">
        <v>62</v>
      </c>
      <c r="N64" s="13" t="s">
        <v>510</v>
      </c>
      <c r="O64" s="13" t="s">
        <v>512</v>
      </c>
      <c r="P64" s="13" t="s">
        <v>62</v>
      </c>
      <c r="Q64" s="13" t="s">
        <v>513</v>
      </c>
      <c r="R64" s="13" t="s">
        <v>472</v>
      </c>
      <c r="S64" s="13" t="s">
        <v>514</v>
      </c>
    </row>
    <row r="65" spans="1:19" ht="64" outlineLevel="2" x14ac:dyDescent="0.2">
      <c r="A65" s="12" t="s">
        <v>287</v>
      </c>
      <c r="B65" s="13" t="s">
        <v>267</v>
      </c>
      <c r="C65" s="13" t="s">
        <v>296</v>
      </c>
      <c r="D65" s="13" t="s">
        <v>75</v>
      </c>
      <c r="E65" s="13" t="s">
        <v>76</v>
      </c>
      <c r="F65" s="13" t="s">
        <v>39</v>
      </c>
      <c r="G65" s="13" t="s">
        <v>619</v>
      </c>
      <c r="H65" s="27">
        <v>614.02</v>
      </c>
      <c r="I65" s="11">
        <v>0</v>
      </c>
      <c r="J65" s="13" t="s">
        <v>297</v>
      </c>
      <c r="K65" s="15">
        <v>17.88</v>
      </c>
      <c r="L65" s="13" t="s">
        <v>62</v>
      </c>
      <c r="M65" s="13" t="s">
        <v>62</v>
      </c>
      <c r="N65" s="13" t="s">
        <v>296</v>
      </c>
      <c r="O65" s="13" t="s">
        <v>298</v>
      </c>
      <c r="P65" s="13" t="s">
        <v>62</v>
      </c>
      <c r="Q65" s="13" t="s">
        <v>299</v>
      </c>
      <c r="R65" s="13" t="s">
        <v>300</v>
      </c>
      <c r="S65" s="13" t="s">
        <v>301</v>
      </c>
    </row>
    <row r="66" spans="1:19" ht="16" outlineLevel="1" x14ac:dyDescent="0.2">
      <c r="A66" s="12"/>
      <c r="B66" s="13"/>
      <c r="C66" s="13"/>
      <c r="D66" s="13"/>
      <c r="E66" s="13"/>
      <c r="F66" s="13"/>
      <c r="G66" s="53" t="s">
        <v>642</v>
      </c>
      <c r="H66" s="27">
        <f>SUBTOTAL(9,H64:H65)</f>
        <v>1238.96</v>
      </c>
      <c r="I66" s="11">
        <f>SUBTOTAL(9,I64:I65)</f>
        <v>0</v>
      </c>
      <c r="J66" s="13"/>
      <c r="K66" s="15"/>
      <c r="L66" s="13"/>
      <c r="M66" s="13"/>
      <c r="N66" s="13"/>
      <c r="O66" s="13"/>
      <c r="P66" s="13"/>
      <c r="Q66" s="13"/>
      <c r="R66" s="13"/>
      <c r="S66" s="13"/>
    </row>
    <row r="67" spans="1:19" outlineLevel="2" x14ac:dyDescent="0.2">
      <c r="A67" s="7">
        <v>45692</v>
      </c>
      <c r="B67" s="17"/>
      <c r="C67" s="9" t="s">
        <v>599</v>
      </c>
      <c r="D67" s="9" t="s">
        <v>556</v>
      </c>
      <c r="E67" s="9" t="s">
        <v>557</v>
      </c>
      <c r="F67" s="9" t="s">
        <v>39</v>
      </c>
      <c r="G67" s="9" t="s">
        <v>607</v>
      </c>
      <c r="H67" s="11">
        <v>161.34</v>
      </c>
      <c r="I67" s="11">
        <v>0</v>
      </c>
      <c r="J67" s="9" t="s">
        <v>558</v>
      </c>
      <c r="K67" s="9"/>
      <c r="L67" s="9">
        <v>-1873.42</v>
      </c>
      <c r="M67" s="9" t="s">
        <v>591</v>
      </c>
      <c r="N67" s="9"/>
      <c r="O67" s="9"/>
      <c r="P67" s="9"/>
      <c r="Q67" s="9"/>
      <c r="R67" s="9"/>
      <c r="S67" s="9"/>
    </row>
    <row r="68" spans="1:19" outlineLevel="2" x14ac:dyDescent="0.2">
      <c r="A68" s="7">
        <v>45693</v>
      </c>
      <c r="B68" s="8"/>
      <c r="C68" s="9" t="s">
        <v>552</v>
      </c>
      <c r="D68" s="9" t="s">
        <v>537</v>
      </c>
      <c r="E68" s="9" t="s">
        <v>538</v>
      </c>
      <c r="F68" s="9" t="s">
        <v>39</v>
      </c>
      <c r="G68" s="9" t="s">
        <v>607</v>
      </c>
      <c r="H68" s="11">
        <v>289.82</v>
      </c>
      <c r="I68" s="11">
        <v>0</v>
      </c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outlineLevel="1" x14ac:dyDescent="0.2">
      <c r="A69" s="7"/>
      <c r="B69" s="8"/>
      <c r="C69" s="9"/>
      <c r="D69" s="9"/>
      <c r="E69" s="9"/>
      <c r="F69" s="9"/>
      <c r="G69" s="54" t="s">
        <v>643</v>
      </c>
      <c r="H69" s="11">
        <f>SUBTOTAL(9,H67:H68)</f>
        <v>451.15999999999997</v>
      </c>
      <c r="I69" s="11">
        <f>SUBTOTAL(9,I67:I68)</f>
        <v>0</v>
      </c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outlineLevel="1" x14ac:dyDescent="0.2">
      <c r="A70" s="12"/>
      <c r="B70" s="13"/>
      <c r="C70" s="13"/>
      <c r="D70" s="13"/>
      <c r="E70" s="13"/>
      <c r="F70" s="13"/>
      <c r="G70" s="13"/>
      <c r="H70" s="28"/>
      <c r="I70" s="26"/>
      <c r="J70" s="13"/>
      <c r="K70" s="16"/>
      <c r="L70" s="13"/>
      <c r="M70" s="13"/>
      <c r="N70" s="13"/>
      <c r="O70" s="13"/>
      <c r="P70" s="13"/>
      <c r="Q70" s="13"/>
      <c r="R70" s="13"/>
      <c r="S70" s="13"/>
    </row>
    <row r="71" spans="1:19" outlineLevel="1" x14ac:dyDescent="0.2">
      <c r="A71" s="12"/>
      <c r="B71" s="13"/>
      <c r="C71" s="13"/>
      <c r="D71" s="13"/>
      <c r="E71" s="13"/>
      <c r="F71" s="13"/>
      <c r="G71" s="13"/>
      <c r="H71" s="28"/>
      <c r="I71" s="26"/>
      <c r="J71" s="13"/>
      <c r="K71" s="16"/>
      <c r="L71" s="13"/>
      <c r="M71" s="13"/>
      <c r="N71" s="13"/>
      <c r="O71" s="13"/>
      <c r="P71" s="13"/>
      <c r="Q71" s="13"/>
      <c r="R71" s="13"/>
      <c r="S71" s="13"/>
    </row>
    <row r="72" spans="1:19" outlineLevel="1" x14ac:dyDescent="0.2">
      <c r="A72" s="12"/>
      <c r="B72" s="13"/>
      <c r="C72" s="13"/>
      <c r="D72" s="13"/>
      <c r="E72" s="13"/>
      <c r="F72" s="13"/>
      <c r="G72" s="13"/>
      <c r="H72" s="28"/>
      <c r="I72" s="26"/>
      <c r="J72" s="13"/>
      <c r="K72" s="16"/>
      <c r="L72" s="13"/>
      <c r="M72" s="13"/>
      <c r="N72" s="13"/>
      <c r="O72" s="13"/>
      <c r="P72" s="13"/>
      <c r="Q72" s="13"/>
      <c r="R72" s="13"/>
      <c r="S72" s="13"/>
    </row>
    <row r="73" spans="1:19" outlineLevel="1" x14ac:dyDescent="0.2">
      <c r="A73" s="12"/>
      <c r="B73" s="13"/>
      <c r="C73" s="13"/>
      <c r="D73" s="13"/>
      <c r="E73" s="13"/>
      <c r="F73" s="13"/>
      <c r="G73" s="13"/>
      <c r="H73" s="27"/>
      <c r="I73" s="26"/>
      <c r="J73" s="13"/>
      <c r="K73" s="15"/>
      <c r="L73" s="13"/>
      <c r="M73" s="13"/>
      <c r="N73" s="13"/>
      <c r="O73" s="13"/>
      <c r="P73" s="13"/>
      <c r="Q73" s="13"/>
      <c r="R73" s="13"/>
      <c r="S73" s="13"/>
    </row>
    <row r="74" spans="1:19" outlineLevel="1" x14ac:dyDescent="0.2">
      <c r="A74" s="12"/>
      <c r="B74" s="13"/>
      <c r="C74" s="13"/>
      <c r="D74" s="13"/>
      <c r="E74" s="13"/>
      <c r="F74" s="13"/>
      <c r="G74" s="13"/>
      <c r="H74" s="27"/>
      <c r="I74" s="26"/>
      <c r="J74" s="13"/>
      <c r="K74" s="15"/>
      <c r="L74" s="13"/>
      <c r="M74" s="13"/>
      <c r="N74" s="13"/>
      <c r="O74" s="13"/>
      <c r="P74" s="13"/>
      <c r="Q74" s="13"/>
      <c r="R74" s="13"/>
      <c r="S74" s="13"/>
    </row>
    <row r="75" spans="1:19" outlineLevel="1" x14ac:dyDescent="0.2">
      <c r="A75" s="12"/>
      <c r="B75" s="13"/>
      <c r="C75" s="13"/>
      <c r="D75" s="13"/>
      <c r="E75" s="13"/>
      <c r="F75" s="13"/>
      <c r="G75" s="13"/>
      <c r="H75" s="26"/>
      <c r="I75" s="26"/>
      <c r="J75" s="13"/>
      <c r="K75" s="14"/>
      <c r="L75" s="13"/>
      <c r="M75" s="13"/>
      <c r="N75" s="13"/>
      <c r="O75" s="13"/>
      <c r="P75" s="13"/>
      <c r="Q75" s="13"/>
      <c r="R75" s="13"/>
      <c r="S75" s="13"/>
    </row>
    <row r="76" spans="1:19" outlineLevel="1" x14ac:dyDescent="0.2">
      <c r="A76" s="12"/>
      <c r="B76" s="13"/>
      <c r="C76" s="13"/>
      <c r="D76" s="13"/>
      <c r="E76" s="13"/>
      <c r="F76" s="13"/>
      <c r="G76" s="13"/>
      <c r="H76" s="27"/>
      <c r="I76" s="26"/>
      <c r="J76" s="13"/>
      <c r="K76" s="15"/>
      <c r="L76" s="13"/>
      <c r="M76" s="13"/>
      <c r="N76" s="13"/>
      <c r="O76" s="13"/>
      <c r="P76" s="13"/>
      <c r="Q76" s="13"/>
      <c r="R76" s="13"/>
      <c r="S76" s="13"/>
    </row>
    <row r="77" spans="1:19" outlineLevel="1" x14ac:dyDescent="0.2">
      <c r="A77" s="12"/>
      <c r="B77" s="13"/>
      <c r="C77" s="13"/>
      <c r="D77" s="13"/>
      <c r="E77" s="13"/>
      <c r="F77" s="13"/>
      <c r="G77" s="13"/>
      <c r="H77" s="28"/>
      <c r="I77" s="26"/>
      <c r="J77" s="13"/>
      <c r="K77" s="16"/>
      <c r="L77" s="13"/>
      <c r="M77" s="13"/>
      <c r="N77" s="13"/>
      <c r="O77" s="13"/>
      <c r="P77" s="13"/>
      <c r="Q77" s="13"/>
      <c r="R77" s="13"/>
      <c r="S77" s="13"/>
    </row>
    <row r="78" spans="1:19" outlineLevel="1" x14ac:dyDescent="0.2">
      <c r="A78" s="12"/>
      <c r="B78" s="13"/>
      <c r="C78" s="13"/>
      <c r="D78" s="13"/>
      <c r="E78" s="13"/>
      <c r="F78" s="13"/>
      <c r="G78" s="13"/>
      <c r="H78" s="27"/>
      <c r="I78" s="26"/>
      <c r="J78" s="13"/>
      <c r="K78" s="15"/>
      <c r="L78" s="13"/>
      <c r="M78" s="13"/>
      <c r="N78" s="13"/>
      <c r="O78" s="13"/>
      <c r="P78" s="13"/>
      <c r="Q78" s="13"/>
      <c r="R78" s="13"/>
      <c r="S78" s="13"/>
    </row>
    <row r="79" spans="1:19" outlineLevel="1" x14ac:dyDescent="0.2">
      <c r="A79" s="7"/>
      <c r="B79" s="8"/>
      <c r="C79" s="9"/>
      <c r="D79" s="10"/>
      <c r="E79" s="9"/>
      <c r="F79" s="11"/>
      <c r="G79" s="9"/>
      <c r="H79" s="11"/>
      <c r="I79" s="26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outlineLevel="1" x14ac:dyDescent="0.2">
      <c r="A80" s="12"/>
      <c r="B80" s="13"/>
      <c r="C80" s="13"/>
      <c r="D80" s="13"/>
      <c r="E80" s="13"/>
      <c r="F80" s="13"/>
      <c r="G80" s="13"/>
      <c r="H80" s="28"/>
      <c r="I80" s="26"/>
      <c r="J80" s="13"/>
      <c r="K80" s="16"/>
      <c r="L80" s="13"/>
      <c r="M80" s="13"/>
      <c r="N80" s="13"/>
      <c r="O80" s="13"/>
      <c r="P80" s="13"/>
      <c r="Q80" s="13"/>
      <c r="R80" s="13"/>
      <c r="S80" s="13"/>
    </row>
    <row r="81" spans="1:19" outlineLevel="1" x14ac:dyDescent="0.2">
      <c r="A81" s="12"/>
      <c r="B81" s="13"/>
      <c r="C81" s="13"/>
      <c r="D81" s="13"/>
      <c r="E81" s="13"/>
      <c r="F81" s="13"/>
      <c r="G81" s="13"/>
      <c r="H81" s="26"/>
      <c r="I81" s="26"/>
      <c r="J81" s="13"/>
      <c r="K81" s="14"/>
      <c r="L81" s="13"/>
      <c r="M81" s="13"/>
      <c r="N81" s="13"/>
      <c r="O81" s="13"/>
      <c r="P81" s="13"/>
      <c r="Q81" s="13"/>
      <c r="R81" s="13"/>
      <c r="S81" s="13"/>
    </row>
    <row r="82" spans="1:19" outlineLevel="1" x14ac:dyDescent="0.2">
      <c r="A82" s="12"/>
      <c r="B82" s="13"/>
      <c r="C82" s="13"/>
      <c r="D82" s="13"/>
      <c r="E82" s="13"/>
      <c r="F82" s="13"/>
      <c r="G82" s="13"/>
      <c r="H82" s="26"/>
      <c r="I82" s="26"/>
      <c r="J82" s="13"/>
      <c r="K82" s="14"/>
      <c r="L82" s="13"/>
      <c r="M82" s="13"/>
      <c r="N82" s="13"/>
      <c r="O82" s="13"/>
      <c r="P82" s="13"/>
      <c r="Q82" s="13"/>
      <c r="R82" s="13"/>
      <c r="S82" s="13"/>
    </row>
    <row r="83" spans="1:19" outlineLevel="1" x14ac:dyDescent="0.2">
      <c r="A83" s="7"/>
      <c r="B83" s="8"/>
      <c r="C83" s="9"/>
      <c r="D83" s="10"/>
      <c r="E83" s="9"/>
      <c r="F83" s="9"/>
      <c r="G83" s="9"/>
      <c r="H83" s="11"/>
      <c r="I83" s="26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outlineLevel="1" x14ac:dyDescent="0.2">
      <c r="A84" s="7"/>
      <c r="B84" s="8"/>
      <c r="C84" s="9"/>
      <c r="D84" s="10"/>
      <c r="E84" s="9"/>
      <c r="F84" s="9"/>
      <c r="G84" s="9"/>
      <c r="H84" s="11"/>
      <c r="I84" s="26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outlineLevel="1" x14ac:dyDescent="0.2">
      <c r="A85" s="7"/>
      <c r="B85" s="8"/>
      <c r="C85" s="9"/>
      <c r="D85" s="10"/>
      <c r="E85" s="9"/>
      <c r="F85" s="9"/>
      <c r="G85" s="9"/>
      <c r="H85" s="11"/>
      <c r="I85" s="26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outlineLevel="1" x14ac:dyDescent="0.2">
      <c r="A86" s="12"/>
      <c r="B86" s="13"/>
      <c r="C86" s="13"/>
      <c r="D86" s="13"/>
      <c r="E86" s="13"/>
      <c r="F86" s="13"/>
      <c r="G86" s="13"/>
      <c r="H86" s="28"/>
      <c r="I86" s="26"/>
      <c r="J86" s="13"/>
      <c r="K86" s="16"/>
      <c r="L86" s="13"/>
      <c r="M86" s="13"/>
      <c r="N86" s="13"/>
      <c r="O86" s="13"/>
      <c r="P86" s="13"/>
      <c r="Q86" s="13"/>
      <c r="R86" s="13"/>
      <c r="S86" s="13"/>
    </row>
    <row r="87" spans="1:19" outlineLevel="1" x14ac:dyDescent="0.2">
      <c r="A87" s="12"/>
      <c r="B87" s="13"/>
      <c r="C87" s="13"/>
      <c r="D87" s="13"/>
      <c r="E87" s="13"/>
      <c r="F87" s="13"/>
      <c r="G87" s="13"/>
      <c r="H87" s="26"/>
      <c r="I87" s="26"/>
      <c r="J87" s="13"/>
      <c r="K87" s="14"/>
      <c r="L87" s="13"/>
      <c r="M87" s="13"/>
      <c r="N87" s="13"/>
      <c r="O87" s="13"/>
      <c r="P87" s="13"/>
      <c r="Q87" s="13"/>
      <c r="R87" s="13"/>
      <c r="S87" s="13"/>
    </row>
    <row r="88" spans="1:19" outlineLevel="1" x14ac:dyDescent="0.2">
      <c r="A88" s="12"/>
      <c r="B88" s="13"/>
      <c r="C88" s="13"/>
      <c r="D88" s="13"/>
      <c r="E88" s="13"/>
      <c r="F88" s="13"/>
      <c r="G88" s="13"/>
      <c r="H88" s="28"/>
      <c r="I88" s="26"/>
      <c r="J88" s="13"/>
      <c r="K88" s="16"/>
      <c r="L88" s="13"/>
      <c r="M88" s="13"/>
      <c r="N88" s="13"/>
      <c r="O88" s="13"/>
      <c r="P88" s="13"/>
      <c r="Q88" s="13"/>
      <c r="R88" s="13"/>
      <c r="S88" s="13"/>
    </row>
    <row r="89" spans="1:19" outlineLevel="1" x14ac:dyDescent="0.2">
      <c r="A89" s="12"/>
      <c r="B89" s="13"/>
      <c r="C89" s="13"/>
      <c r="D89" s="13"/>
      <c r="E89" s="13"/>
      <c r="F89" s="13"/>
      <c r="G89" s="13"/>
      <c r="H89" s="28"/>
      <c r="I89" s="26"/>
      <c r="J89" s="13"/>
      <c r="K89" s="16"/>
      <c r="L89" s="13"/>
      <c r="M89" s="13"/>
      <c r="N89" s="13"/>
      <c r="O89" s="13"/>
      <c r="P89" s="13"/>
      <c r="Q89" s="13"/>
      <c r="R89" s="13"/>
      <c r="S89" s="13"/>
    </row>
    <row r="90" spans="1:19" outlineLevel="1" x14ac:dyDescent="0.2">
      <c r="A90" s="12"/>
      <c r="B90" s="13"/>
      <c r="C90" s="13"/>
      <c r="D90" s="13"/>
      <c r="E90" s="13"/>
      <c r="F90" s="13"/>
      <c r="G90" s="13"/>
      <c r="H90" s="26"/>
      <c r="I90" s="26"/>
      <c r="J90" s="13"/>
      <c r="K90" s="14"/>
      <c r="L90" s="13"/>
      <c r="M90" s="13"/>
      <c r="N90" s="13"/>
      <c r="O90" s="13"/>
      <c r="P90" s="13"/>
      <c r="Q90" s="13"/>
      <c r="R90" s="13"/>
      <c r="S90" s="13"/>
    </row>
    <row r="91" spans="1:19" outlineLevel="1" x14ac:dyDescent="0.2">
      <c r="A91" s="7"/>
      <c r="B91" s="17"/>
      <c r="C91" s="9"/>
      <c r="D91" s="18"/>
      <c r="E91" s="17"/>
      <c r="F91" s="17"/>
      <c r="G91" s="17"/>
      <c r="H91" s="11"/>
      <c r="I91" s="26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outlineLevel="1" x14ac:dyDescent="0.2">
      <c r="A92" s="12"/>
      <c r="B92" s="13"/>
      <c r="C92" s="13"/>
      <c r="D92" s="13"/>
      <c r="E92" s="13"/>
      <c r="F92" s="13"/>
      <c r="G92" s="13"/>
      <c r="H92" s="28"/>
      <c r="I92" s="26"/>
      <c r="J92" s="13"/>
      <c r="K92" s="16"/>
      <c r="L92" s="13"/>
      <c r="M92" s="13"/>
      <c r="N92" s="13"/>
      <c r="O92" s="13"/>
      <c r="P92" s="13"/>
      <c r="Q92" s="13"/>
      <c r="R92" s="13"/>
      <c r="S92" s="13"/>
    </row>
    <row r="93" spans="1:19" outlineLevel="1" x14ac:dyDescent="0.2">
      <c r="A93" s="12"/>
      <c r="B93" s="13"/>
      <c r="C93" s="13"/>
      <c r="D93" s="13"/>
      <c r="E93" s="13"/>
      <c r="F93" s="13"/>
      <c r="G93" s="13"/>
      <c r="H93" s="28"/>
      <c r="I93" s="26"/>
      <c r="J93" s="13"/>
      <c r="K93" s="16"/>
      <c r="L93" s="13"/>
      <c r="M93" s="13"/>
      <c r="N93" s="13"/>
      <c r="O93" s="13"/>
      <c r="P93" s="13"/>
      <c r="Q93" s="13"/>
      <c r="R93" s="13"/>
      <c r="S93" s="13"/>
    </row>
    <row r="94" spans="1:19" outlineLevel="1" x14ac:dyDescent="0.2">
      <c r="A94" s="12"/>
      <c r="B94" s="13"/>
      <c r="C94" s="13"/>
      <c r="D94" s="13"/>
      <c r="E94" s="13"/>
      <c r="F94" s="13"/>
      <c r="G94" s="13"/>
      <c r="H94" s="26"/>
      <c r="I94" s="26"/>
      <c r="J94" s="13"/>
      <c r="K94" s="14"/>
      <c r="L94" s="13"/>
      <c r="M94" s="13"/>
      <c r="N94" s="13"/>
      <c r="O94" s="13"/>
      <c r="P94" s="13"/>
      <c r="Q94" s="13"/>
      <c r="R94" s="13"/>
      <c r="S94" s="13"/>
    </row>
    <row r="95" spans="1:19" outlineLevel="1" x14ac:dyDescent="0.2">
      <c r="A95" s="12"/>
      <c r="B95" s="13"/>
      <c r="C95" s="13"/>
      <c r="D95" s="13"/>
      <c r="E95" s="13"/>
      <c r="F95" s="13"/>
      <c r="G95" s="13"/>
      <c r="H95" s="28"/>
      <c r="I95" s="26"/>
      <c r="J95" s="13"/>
      <c r="K95" s="16"/>
      <c r="L95" s="13"/>
      <c r="M95" s="13"/>
      <c r="N95" s="13"/>
      <c r="O95" s="13"/>
      <c r="P95" s="13"/>
      <c r="Q95" s="13"/>
      <c r="R95" s="13"/>
      <c r="S95" s="13"/>
    </row>
    <row r="96" spans="1:19" outlineLevel="1" x14ac:dyDescent="0.2">
      <c r="A96" s="12"/>
      <c r="B96" s="13"/>
      <c r="C96" s="13"/>
      <c r="D96" s="13"/>
      <c r="E96" s="13"/>
      <c r="F96" s="13"/>
      <c r="G96" s="13"/>
      <c r="H96" s="28"/>
      <c r="I96" s="26"/>
      <c r="J96" s="13"/>
      <c r="K96" s="16"/>
      <c r="L96" s="13"/>
      <c r="M96" s="13"/>
      <c r="N96" s="13"/>
      <c r="O96" s="13"/>
      <c r="P96" s="13"/>
      <c r="Q96" s="13"/>
      <c r="R96" s="13"/>
      <c r="S96" s="13"/>
    </row>
    <row r="97" spans="1:19" outlineLevel="1" x14ac:dyDescent="0.2">
      <c r="A97" s="12"/>
      <c r="B97" s="13"/>
      <c r="C97" s="13"/>
      <c r="D97" s="13"/>
      <c r="E97" s="13"/>
      <c r="F97" s="13"/>
      <c r="G97" s="13"/>
      <c r="H97" s="26"/>
      <c r="I97" s="26"/>
      <c r="J97" s="13"/>
      <c r="K97" s="14"/>
      <c r="L97" s="13"/>
      <c r="M97" s="13"/>
      <c r="N97" s="13"/>
      <c r="O97" s="13"/>
      <c r="P97" s="13"/>
      <c r="Q97" s="13"/>
      <c r="R97" s="13"/>
      <c r="S97" s="13"/>
    </row>
    <row r="98" spans="1:19" outlineLevel="1" x14ac:dyDescent="0.2">
      <c r="A98" s="7"/>
      <c r="B98" s="17"/>
      <c r="C98" s="9"/>
      <c r="D98" s="18"/>
      <c r="E98" s="17"/>
      <c r="F98" s="17"/>
      <c r="G98" s="17"/>
      <c r="H98" s="11"/>
      <c r="I98" s="26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outlineLevel="1" x14ac:dyDescent="0.2">
      <c r="A99" s="7"/>
      <c r="B99" s="9"/>
      <c r="C99" s="9"/>
      <c r="D99" s="10"/>
      <c r="E99" s="9"/>
      <c r="F99" s="11"/>
      <c r="G99" s="17"/>
      <c r="H99" s="11"/>
      <c r="I99" s="26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outlineLevel="1" x14ac:dyDescent="0.2"/>
    <row r="101" spans="1:19" outlineLevel="1" x14ac:dyDescent="0.2">
      <c r="G101" s="55" t="s">
        <v>644</v>
      </c>
      <c r="H101">
        <f>SUBTOTAL(9,H2:H100)</f>
        <v>18958.5</v>
      </c>
      <c r="I101">
        <f>SUBTOTAL(9,I2:I100)</f>
        <v>1197.6927272727273</v>
      </c>
    </row>
  </sheetData>
  <sortState xmlns:xlrd2="http://schemas.microsoft.com/office/spreadsheetml/2017/richdata2" ref="A2:S99">
    <sortCondition ref="G2:G99"/>
    <sortCondition ref="A2:A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7"/>
  <sheetViews>
    <sheetView workbookViewId="0">
      <pane ySplit="1" topLeftCell="A31" activePane="bottomLeft" state="frozen"/>
      <selection pane="bottomLeft" activeCell="A2" sqref="A2:XFD50"/>
    </sheetView>
  </sheetViews>
  <sheetFormatPr baseColWidth="10" defaultColWidth="25.83203125" defaultRowHeight="15" x14ac:dyDescent="0.2"/>
  <cols>
    <col min="1" max="1" width="25.83203125" style="35"/>
    <col min="3" max="3" width="60.1640625" bestFit="1" customWidth="1"/>
    <col min="4" max="4" width="25.83203125" style="37"/>
    <col min="6" max="6" width="12.6640625" customWidth="1"/>
    <col min="7" max="7" width="38" customWidth="1"/>
    <col min="8" max="9" width="25.83203125" style="4"/>
  </cols>
  <sheetData>
    <row r="1" spans="1:19" ht="16" x14ac:dyDescent="0.2">
      <c r="A1" s="29" t="s">
        <v>0</v>
      </c>
      <c r="B1" s="30" t="s">
        <v>1</v>
      </c>
      <c r="C1" s="30" t="s">
        <v>2</v>
      </c>
      <c r="D1" s="31" t="s">
        <v>3</v>
      </c>
      <c r="E1" s="30" t="s">
        <v>4</v>
      </c>
      <c r="F1" s="32" t="s">
        <v>16</v>
      </c>
      <c r="G1" s="32" t="s">
        <v>17</v>
      </c>
      <c r="H1" s="33" t="s">
        <v>5</v>
      </c>
      <c r="I1" s="34" t="s">
        <v>18</v>
      </c>
      <c r="J1" s="30" t="s">
        <v>6</v>
      </c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0" t="s">
        <v>13</v>
      </c>
      <c r="R1" s="30" t="s">
        <v>14</v>
      </c>
      <c r="S1" s="30" t="s">
        <v>15</v>
      </c>
    </row>
    <row r="2" spans="1:19" ht="32" x14ac:dyDescent="0.2">
      <c r="A2" s="38" t="s">
        <v>415</v>
      </c>
      <c r="B2" s="39" t="s">
        <v>413</v>
      </c>
      <c r="C2" s="39" t="s">
        <v>58</v>
      </c>
      <c r="D2" s="39" t="s">
        <v>59</v>
      </c>
      <c r="E2" s="39" t="s">
        <v>426</v>
      </c>
      <c r="F2" s="39" t="s">
        <v>31</v>
      </c>
      <c r="G2" s="39" t="s">
        <v>50</v>
      </c>
      <c r="H2" s="40">
        <v>7.99</v>
      </c>
      <c r="I2" s="40">
        <f>H2/11</f>
        <v>0.72636363636363643</v>
      </c>
      <c r="J2" s="39" t="s">
        <v>621</v>
      </c>
      <c r="K2" s="41" t="s">
        <v>62</v>
      </c>
      <c r="L2" s="39" t="s">
        <v>62</v>
      </c>
      <c r="M2" s="39" t="s">
        <v>62</v>
      </c>
      <c r="N2" s="39" t="s">
        <v>58</v>
      </c>
      <c r="O2" s="39" t="s">
        <v>63</v>
      </c>
      <c r="P2" s="39" t="s">
        <v>64</v>
      </c>
      <c r="Q2" s="39" t="s">
        <v>65</v>
      </c>
      <c r="R2" s="39" t="s">
        <v>66</v>
      </c>
      <c r="S2" s="39" t="s">
        <v>527</v>
      </c>
    </row>
    <row r="3" spans="1:19" ht="32" x14ac:dyDescent="0.2">
      <c r="A3" s="38" t="s">
        <v>415</v>
      </c>
      <c r="B3" s="39" t="s">
        <v>415</v>
      </c>
      <c r="C3" s="39" t="s">
        <v>416</v>
      </c>
      <c r="D3" s="39" t="s">
        <v>75</v>
      </c>
      <c r="E3" s="39" t="s">
        <v>76</v>
      </c>
      <c r="F3" s="39" t="s">
        <v>31</v>
      </c>
      <c r="G3" s="39" t="s">
        <v>613</v>
      </c>
      <c r="H3" s="40">
        <v>1218</v>
      </c>
      <c r="I3" s="40">
        <f t="shared" ref="I3:I22" si="0">H3/11</f>
        <v>110.72727272727273</v>
      </c>
      <c r="J3" s="39" t="s">
        <v>61</v>
      </c>
      <c r="K3" s="41" t="s">
        <v>62</v>
      </c>
      <c r="L3" s="39" t="s">
        <v>62</v>
      </c>
      <c r="M3" s="39" t="s">
        <v>62</v>
      </c>
      <c r="N3" s="39" t="s">
        <v>416</v>
      </c>
      <c r="O3" s="39" t="s">
        <v>417</v>
      </c>
      <c r="P3" s="39" t="s">
        <v>418</v>
      </c>
      <c r="Q3" s="39" t="s">
        <v>419</v>
      </c>
      <c r="R3" s="39" t="s">
        <v>66</v>
      </c>
      <c r="S3" s="39" t="s">
        <v>420</v>
      </c>
    </row>
    <row r="4" spans="1:19" ht="32" x14ac:dyDescent="0.2">
      <c r="A4" s="38" t="s">
        <v>398</v>
      </c>
      <c r="B4" s="39" t="s">
        <v>373</v>
      </c>
      <c r="C4" s="39" t="s">
        <v>142</v>
      </c>
      <c r="D4" s="39" t="s">
        <v>59</v>
      </c>
      <c r="E4" s="39" t="s">
        <v>60</v>
      </c>
      <c r="F4" s="39" t="s">
        <v>31</v>
      </c>
      <c r="G4" s="39" t="s">
        <v>624</v>
      </c>
      <c r="H4" s="40">
        <v>91.49</v>
      </c>
      <c r="I4" s="40">
        <f t="shared" si="0"/>
        <v>8.3172727272727265</v>
      </c>
      <c r="J4" s="39" t="s">
        <v>61</v>
      </c>
      <c r="K4" s="41" t="s">
        <v>62</v>
      </c>
      <c r="L4" s="39" t="s">
        <v>62</v>
      </c>
      <c r="M4" s="39" t="s">
        <v>62</v>
      </c>
      <c r="N4" s="39" t="s">
        <v>142</v>
      </c>
      <c r="O4" s="39" t="s">
        <v>143</v>
      </c>
      <c r="P4" s="39" t="s">
        <v>64</v>
      </c>
      <c r="Q4" s="39" t="s">
        <v>65</v>
      </c>
      <c r="R4" s="39" t="s">
        <v>66</v>
      </c>
      <c r="S4" s="39" t="s">
        <v>399</v>
      </c>
    </row>
    <row r="5" spans="1:19" ht="32" x14ac:dyDescent="0.2">
      <c r="A5" s="38" t="s">
        <v>373</v>
      </c>
      <c r="B5" s="39" t="s">
        <v>367</v>
      </c>
      <c r="C5" s="39" t="s">
        <v>385</v>
      </c>
      <c r="D5" s="39" t="s">
        <v>75</v>
      </c>
      <c r="E5" s="39" t="s">
        <v>76</v>
      </c>
      <c r="F5" s="39" t="s">
        <v>31</v>
      </c>
      <c r="G5" s="39" t="s">
        <v>611</v>
      </c>
      <c r="H5" s="40">
        <v>64.989999999999995</v>
      </c>
      <c r="I5" s="40">
        <f t="shared" si="0"/>
        <v>5.9081818181818173</v>
      </c>
      <c r="J5" s="39" t="s">
        <v>61</v>
      </c>
      <c r="K5" s="41" t="s">
        <v>62</v>
      </c>
      <c r="L5" s="39" t="s">
        <v>62</v>
      </c>
      <c r="M5" s="39" t="s">
        <v>62</v>
      </c>
      <c r="N5" s="39" t="s">
        <v>385</v>
      </c>
      <c r="O5" s="39" t="s">
        <v>386</v>
      </c>
      <c r="P5" s="39" t="s">
        <v>328</v>
      </c>
      <c r="Q5" s="39" t="s">
        <v>329</v>
      </c>
      <c r="R5" s="39" t="s">
        <v>66</v>
      </c>
      <c r="S5" s="39" t="s">
        <v>387</v>
      </c>
    </row>
    <row r="6" spans="1:19" ht="48" x14ac:dyDescent="0.2">
      <c r="A6" s="38" t="s">
        <v>373</v>
      </c>
      <c r="B6" s="39" t="s">
        <v>367</v>
      </c>
      <c r="C6" s="39" t="s">
        <v>388</v>
      </c>
      <c r="D6" s="39" t="s">
        <v>84</v>
      </c>
      <c r="E6" s="39" t="s">
        <v>85</v>
      </c>
      <c r="F6" s="39" t="s">
        <v>31</v>
      </c>
      <c r="G6" s="39" t="s">
        <v>616</v>
      </c>
      <c r="H6" s="40">
        <v>663.84</v>
      </c>
      <c r="I6" s="40">
        <f t="shared" si="0"/>
        <v>60.349090909090911</v>
      </c>
      <c r="J6" s="39" t="s">
        <v>61</v>
      </c>
      <c r="K6" s="41" t="s">
        <v>62</v>
      </c>
      <c r="L6" s="39" t="s">
        <v>62</v>
      </c>
      <c r="M6" s="39" t="s">
        <v>389</v>
      </c>
      <c r="N6" s="39" t="s">
        <v>388</v>
      </c>
      <c r="O6" s="39" t="s">
        <v>390</v>
      </c>
      <c r="P6" s="39" t="s">
        <v>391</v>
      </c>
      <c r="Q6" s="39" t="s">
        <v>392</v>
      </c>
      <c r="R6" s="39" t="s">
        <v>66</v>
      </c>
      <c r="S6" s="39" t="s">
        <v>393</v>
      </c>
    </row>
    <row r="7" spans="1:19" ht="32" x14ac:dyDescent="0.2">
      <c r="A7" s="38" t="s">
        <v>354</v>
      </c>
      <c r="B7" s="39" t="s">
        <v>340</v>
      </c>
      <c r="C7" s="39" t="s">
        <v>465</v>
      </c>
      <c r="D7" s="39" t="s">
        <v>59</v>
      </c>
      <c r="E7" s="39" t="s">
        <v>426</v>
      </c>
      <c r="F7" s="39" t="s">
        <v>31</v>
      </c>
      <c r="G7" s="39" t="s">
        <v>606</v>
      </c>
      <c r="H7" s="40">
        <v>30</v>
      </c>
      <c r="I7" s="40">
        <f t="shared" si="0"/>
        <v>2.7272727272727271</v>
      </c>
      <c r="J7" s="39" t="s">
        <v>61</v>
      </c>
      <c r="K7" s="41" t="s">
        <v>62</v>
      </c>
      <c r="L7" s="39" t="s">
        <v>62</v>
      </c>
      <c r="M7" s="39" t="s">
        <v>62</v>
      </c>
      <c r="N7" s="39" t="s">
        <v>465</v>
      </c>
      <c r="O7" s="39" t="s">
        <v>466</v>
      </c>
      <c r="P7" s="39" t="s">
        <v>64</v>
      </c>
      <c r="Q7" s="39" t="s">
        <v>65</v>
      </c>
      <c r="R7" s="39" t="s">
        <v>66</v>
      </c>
      <c r="S7" s="39" t="s">
        <v>491</v>
      </c>
    </row>
    <row r="8" spans="1:19" x14ac:dyDescent="0.2">
      <c r="A8" s="35">
        <v>45698</v>
      </c>
      <c r="B8" s="36"/>
      <c r="C8" t="s">
        <v>572</v>
      </c>
      <c r="D8" t="s">
        <v>556</v>
      </c>
      <c r="E8" t="s">
        <v>557</v>
      </c>
      <c r="F8" t="s">
        <v>31</v>
      </c>
      <c r="G8" t="s">
        <v>611</v>
      </c>
      <c r="H8" s="4">
        <v>19.989999999999998</v>
      </c>
      <c r="I8" s="40">
        <f t="shared" si="0"/>
        <v>1.8172727272727272</v>
      </c>
      <c r="J8" t="s">
        <v>558</v>
      </c>
      <c r="L8">
        <v>-3577.48</v>
      </c>
      <c r="M8" t="s">
        <v>573</v>
      </c>
      <c r="N8" t="s">
        <v>574</v>
      </c>
    </row>
    <row r="9" spans="1:19" ht="32" x14ac:dyDescent="0.2">
      <c r="A9" s="12" t="s">
        <v>340</v>
      </c>
      <c r="B9" s="13" t="s">
        <v>325</v>
      </c>
      <c r="C9" s="13" t="s">
        <v>346</v>
      </c>
      <c r="D9" s="13" t="s">
        <v>75</v>
      </c>
      <c r="E9" s="13" t="s">
        <v>76</v>
      </c>
      <c r="F9" s="13" t="s">
        <v>31</v>
      </c>
      <c r="G9" s="13" t="s">
        <v>612</v>
      </c>
      <c r="H9" s="27">
        <v>20.82</v>
      </c>
      <c r="I9" s="40">
        <f t="shared" si="0"/>
        <v>1.8927272727272728</v>
      </c>
      <c r="J9" s="13" t="s">
        <v>61</v>
      </c>
      <c r="K9" s="15" t="s">
        <v>62</v>
      </c>
      <c r="L9" s="13" t="s">
        <v>62</v>
      </c>
      <c r="M9" s="13" t="s">
        <v>62</v>
      </c>
      <c r="N9" s="13" t="s">
        <v>346</v>
      </c>
      <c r="O9" s="13" t="s">
        <v>327</v>
      </c>
      <c r="P9" s="13" t="s">
        <v>328</v>
      </c>
      <c r="Q9" s="13" t="s">
        <v>329</v>
      </c>
      <c r="R9" s="13" t="s">
        <v>66</v>
      </c>
      <c r="S9" s="13" t="s">
        <v>347</v>
      </c>
    </row>
    <row r="10" spans="1:19" ht="32" x14ac:dyDescent="0.2">
      <c r="A10" s="12" t="s">
        <v>325</v>
      </c>
      <c r="B10" s="13" t="s">
        <v>318</v>
      </c>
      <c r="C10" s="13" t="s">
        <v>326</v>
      </c>
      <c r="D10" s="13" t="s">
        <v>75</v>
      </c>
      <c r="E10" s="13" t="s">
        <v>76</v>
      </c>
      <c r="F10" s="13" t="s">
        <v>31</v>
      </c>
      <c r="G10" s="13" t="s">
        <v>612</v>
      </c>
      <c r="H10" s="27">
        <v>294</v>
      </c>
      <c r="I10" s="40">
        <f t="shared" si="0"/>
        <v>26.727272727272727</v>
      </c>
      <c r="J10" s="13" t="s">
        <v>61</v>
      </c>
      <c r="K10" s="15" t="s">
        <v>62</v>
      </c>
      <c r="L10" s="13" t="s">
        <v>62</v>
      </c>
      <c r="M10" s="13" t="s">
        <v>62</v>
      </c>
      <c r="N10" s="13" t="s">
        <v>326</v>
      </c>
      <c r="O10" s="13" t="s">
        <v>327</v>
      </c>
      <c r="P10" s="13" t="s">
        <v>328</v>
      </c>
      <c r="Q10" s="13" t="s">
        <v>329</v>
      </c>
      <c r="R10" s="13" t="s">
        <v>66</v>
      </c>
      <c r="S10" s="13" t="s">
        <v>330</v>
      </c>
    </row>
    <row r="11" spans="1:19" ht="32" x14ac:dyDescent="0.2">
      <c r="A11" s="12" t="s">
        <v>308</v>
      </c>
      <c r="B11" s="13" t="s">
        <v>308</v>
      </c>
      <c r="C11" s="13" t="s">
        <v>310</v>
      </c>
      <c r="D11" s="13" t="s">
        <v>84</v>
      </c>
      <c r="E11" s="13" t="s">
        <v>85</v>
      </c>
      <c r="F11" s="13" t="s">
        <v>31</v>
      </c>
      <c r="G11" s="13" t="s">
        <v>50</v>
      </c>
      <c r="H11" s="27">
        <v>155.36000000000001</v>
      </c>
      <c r="I11" s="40">
        <f t="shared" si="0"/>
        <v>14.123636363636365</v>
      </c>
      <c r="J11" s="13" t="s">
        <v>61</v>
      </c>
      <c r="K11" s="15" t="s">
        <v>62</v>
      </c>
      <c r="L11" s="13" t="s">
        <v>62</v>
      </c>
      <c r="M11" s="13" t="s">
        <v>62</v>
      </c>
      <c r="N11" s="13" t="s">
        <v>310</v>
      </c>
      <c r="O11" s="13" t="s">
        <v>311</v>
      </c>
      <c r="P11" s="13" t="s">
        <v>312</v>
      </c>
      <c r="Q11" s="13" t="s">
        <v>313</v>
      </c>
      <c r="R11" s="13" t="s">
        <v>66</v>
      </c>
      <c r="S11" s="13" t="s">
        <v>314</v>
      </c>
    </row>
    <row r="12" spans="1:19" ht="32" x14ac:dyDescent="0.2">
      <c r="A12" s="12" t="s">
        <v>287</v>
      </c>
      <c r="B12" s="13" t="s">
        <v>287</v>
      </c>
      <c r="C12" s="13" t="s">
        <v>291</v>
      </c>
      <c r="D12" s="13" t="s">
        <v>75</v>
      </c>
      <c r="E12" s="13" t="s">
        <v>76</v>
      </c>
      <c r="F12" s="13" t="s">
        <v>31</v>
      </c>
      <c r="G12" s="13" t="s">
        <v>50</v>
      </c>
      <c r="H12" s="27">
        <v>108.9</v>
      </c>
      <c r="I12" s="40">
        <f t="shared" si="0"/>
        <v>9.9</v>
      </c>
      <c r="J12" s="13" t="s">
        <v>61</v>
      </c>
      <c r="K12" s="15" t="s">
        <v>62</v>
      </c>
      <c r="L12" s="13" t="s">
        <v>62</v>
      </c>
      <c r="M12" s="13" t="s">
        <v>62</v>
      </c>
      <c r="N12" s="13" t="s">
        <v>291</v>
      </c>
      <c r="O12" s="13" t="s">
        <v>292</v>
      </c>
      <c r="P12" s="13" t="s">
        <v>293</v>
      </c>
      <c r="Q12" s="13" t="s">
        <v>294</v>
      </c>
      <c r="R12" s="13" t="s">
        <v>66</v>
      </c>
      <c r="S12" s="13" t="s">
        <v>295</v>
      </c>
    </row>
    <row r="13" spans="1:19" ht="32" x14ac:dyDescent="0.2">
      <c r="A13" s="12" t="s">
        <v>267</v>
      </c>
      <c r="B13" s="13" t="s">
        <v>252</v>
      </c>
      <c r="C13" s="13" t="s">
        <v>465</v>
      </c>
      <c r="D13" s="13" t="s">
        <v>59</v>
      </c>
      <c r="E13" s="13" t="s">
        <v>426</v>
      </c>
      <c r="F13" s="13" t="s">
        <v>31</v>
      </c>
      <c r="G13" s="13" t="s">
        <v>606</v>
      </c>
      <c r="H13" s="27">
        <v>30</v>
      </c>
      <c r="I13" s="40">
        <f t="shared" si="0"/>
        <v>2.7272727272727271</v>
      </c>
      <c r="J13" s="13" t="s">
        <v>61</v>
      </c>
      <c r="K13" s="15" t="s">
        <v>62</v>
      </c>
      <c r="L13" s="13" t="s">
        <v>62</v>
      </c>
      <c r="M13" s="13" t="s">
        <v>62</v>
      </c>
      <c r="N13" s="13" t="s">
        <v>465</v>
      </c>
      <c r="O13" s="13" t="s">
        <v>466</v>
      </c>
      <c r="P13" s="13" t="s">
        <v>64</v>
      </c>
      <c r="Q13" s="13" t="s">
        <v>65</v>
      </c>
      <c r="R13" s="13" t="s">
        <v>66</v>
      </c>
      <c r="S13" s="13" t="s">
        <v>467</v>
      </c>
    </row>
    <row r="14" spans="1:19" ht="32" x14ac:dyDescent="0.2">
      <c r="A14" s="12" t="s">
        <v>252</v>
      </c>
      <c r="B14" s="13" t="s">
        <v>241</v>
      </c>
      <c r="C14" s="13" t="s">
        <v>254</v>
      </c>
      <c r="D14" s="13" t="s">
        <v>75</v>
      </c>
      <c r="E14" s="13" t="s">
        <v>76</v>
      </c>
      <c r="F14" s="13" t="s">
        <v>31</v>
      </c>
      <c r="G14" s="13" t="s">
        <v>614</v>
      </c>
      <c r="H14" s="27">
        <v>596</v>
      </c>
      <c r="I14" s="40">
        <f t="shared" si="0"/>
        <v>54.18181818181818</v>
      </c>
      <c r="J14" s="13" t="s">
        <v>61</v>
      </c>
      <c r="K14" s="15" t="s">
        <v>62</v>
      </c>
      <c r="L14" s="13" t="s">
        <v>62</v>
      </c>
      <c r="M14" s="13" t="s">
        <v>62</v>
      </c>
      <c r="N14" s="13" t="s">
        <v>254</v>
      </c>
      <c r="O14" s="13" t="s">
        <v>255</v>
      </c>
      <c r="P14" s="13" t="s">
        <v>256</v>
      </c>
      <c r="Q14" s="13" t="s">
        <v>257</v>
      </c>
      <c r="R14" s="13" t="s">
        <v>66</v>
      </c>
      <c r="S14" s="13" t="s">
        <v>258</v>
      </c>
    </row>
    <row r="15" spans="1:19" ht="32" x14ac:dyDescent="0.2">
      <c r="A15" s="12" t="s">
        <v>252</v>
      </c>
      <c r="B15" s="13" t="s">
        <v>252</v>
      </c>
      <c r="C15" s="13" t="s">
        <v>264</v>
      </c>
      <c r="D15" s="13" t="s">
        <v>84</v>
      </c>
      <c r="E15" s="13" t="s">
        <v>85</v>
      </c>
      <c r="F15" s="13" t="s">
        <v>31</v>
      </c>
      <c r="G15" s="13" t="s">
        <v>615</v>
      </c>
      <c r="H15" s="27">
        <v>33.24</v>
      </c>
      <c r="I15" s="40">
        <f t="shared" si="0"/>
        <v>3.021818181818182</v>
      </c>
      <c r="J15" s="13" t="s">
        <v>61</v>
      </c>
      <c r="K15" s="15" t="s">
        <v>62</v>
      </c>
      <c r="L15" s="13" t="s">
        <v>62</v>
      </c>
      <c r="M15" s="13" t="s">
        <v>62</v>
      </c>
      <c r="N15" s="13" t="s">
        <v>264</v>
      </c>
      <c r="O15" s="13" t="s">
        <v>265</v>
      </c>
      <c r="P15" s="13" t="s">
        <v>64</v>
      </c>
      <c r="Q15" s="13" t="s">
        <v>65</v>
      </c>
      <c r="R15" s="13" t="s">
        <v>66</v>
      </c>
      <c r="S15" s="13" t="s">
        <v>266</v>
      </c>
    </row>
    <row r="16" spans="1:19" x14ac:dyDescent="0.2">
      <c r="A16" s="7">
        <v>45706</v>
      </c>
      <c r="B16" s="8"/>
      <c r="C16" s="9" t="s">
        <v>49</v>
      </c>
      <c r="D16" s="9">
        <v>465083897</v>
      </c>
      <c r="E16" s="9" t="s">
        <v>30</v>
      </c>
      <c r="F16" s="9" t="s">
        <v>31</v>
      </c>
      <c r="G16" s="9" t="s">
        <v>50</v>
      </c>
      <c r="H16" s="11">
        <v>265.38</v>
      </c>
      <c r="I16" s="11">
        <f>H16/11</f>
        <v>24.125454545454545</v>
      </c>
      <c r="J16" s="9" t="s">
        <v>45</v>
      </c>
      <c r="K16" s="9">
        <v>10429.629999999999</v>
      </c>
      <c r="L16" s="9" t="s">
        <v>33</v>
      </c>
      <c r="M16" s="9">
        <v>112879</v>
      </c>
      <c r="N16" s="9">
        <v>908</v>
      </c>
      <c r="O16" s="9"/>
      <c r="P16" s="9"/>
      <c r="Q16" s="9"/>
      <c r="R16" s="9"/>
      <c r="S16" s="9"/>
    </row>
    <row r="17" spans="1:19" x14ac:dyDescent="0.2">
      <c r="A17" s="7">
        <v>45709</v>
      </c>
      <c r="B17" s="17"/>
      <c r="C17" s="9" t="s">
        <v>572</v>
      </c>
      <c r="D17" s="9" t="s">
        <v>556</v>
      </c>
      <c r="E17" s="9" t="s">
        <v>557</v>
      </c>
      <c r="F17" s="9" t="s">
        <v>31</v>
      </c>
      <c r="G17" s="9" t="s">
        <v>50</v>
      </c>
      <c r="H17" s="11">
        <v>37.979999999999997</v>
      </c>
      <c r="I17" s="40">
        <f t="shared" si="0"/>
        <v>3.4527272727272726</v>
      </c>
      <c r="J17" s="9" t="s">
        <v>558</v>
      </c>
      <c r="K17" s="9"/>
      <c r="L17" s="9">
        <v>-5898.88</v>
      </c>
      <c r="M17" s="9" t="s">
        <v>573</v>
      </c>
      <c r="N17" s="9" t="s">
        <v>574</v>
      </c>
      <c r="O17" s="9"/>
      <c r="P17" s="9"/>
      <c r="Q17" s="9"/>
      <c r="R17" s="9"/>
      <c r="S17" s="9"/>
    </row>
    <row r="18" spans="1:19" ht="32" x14ac:dyDescent="0.2">
      <c r="A18" s="12" t="s">
        <v>173</v>
      </c>
      <c r="B18" s="13" t="s">
        <v>166</v>
      </c>
      <c r="C18" s="13" t="s">
        <v>58</v>
      </c>
      <c r="D18" s="13" t="s">
        <v>59</v>
      </c>
      <c r="E18" s="13" t="s">
        <v>60</v>
      </c>
      <c r="F18" s="13" t="s">
        <v>31</v>
      </c>
      <c r="G18" s="13" t="s">
        <v>50</v>
      </c>
      <c r="H18" s="27">
        <v>4.49</v>
      </c>
      <c r="I18" s="40">
        <f t="shared" si="0"/>
        <v>0.4081818181818182</v>
      </c>
      <c r="J18" s="13" t="s">
        <v>61</v>
      </c>
      <c r="K18" s="15" t="s">
        <v>62</v>
      </c>
      <c r="L18" s="13" t="s">
        <v>62</v>
      </c>
      <c r="M18" s="13" t="s">
        <v>62</v>
      </c>
      <c r="N18" s="13" t="s">
        <v>58</v>
      </c>
      <c r="O18" s="13" t="s">
        <v>63</v>
      </c>
      <c r="P18" s="13" t="s">
        <v>64</v>
      </c>
      <c r="Q18" s="13" t="s">
        <v>65</v>
      </c>
      <c r="R18" s="13" t="s">
        <v>66</v>
      </c>
      <c r="S18" s="13" t="s">
        <v>174</v>
      </c>
    </row>
    <row r="19" spans="1:19" ht="32" x14ac:dyDescent="0.2">
      <c r="A19" s="12" t="s">
        <v>166</v>
      </c>
      <c r="B19" s="13" t="s">
        <v>154</v>
      </c>
      <c r="C19" s="13" t="s">
        <v>58</v>
      </c>
      <c r="D19" s="13" t="s">
        <v>75</v>
      </c>
      <c r="E19" s="13" t="s">
        <v>76</v>
      </c>
      <c r="F19" s="13" t="s">
        <v>31</v>
      </c>
      <c r="G19" s="13" t="s">
        <v>50</v>
      </c>
      <c r="H19" s="27">
        <v>1.49</v>
      </c>
      <c r="I19" s="40">
        <f t="shared" si="0"/>
        <v>0.13545454545454547</v>
      </c>
      <c r="J19" s="13" t="s">
        <v>61</v>
      </c>
      <c r="K19" s="15" t="s">
        <v>62</v>
      </c>
      <c r="L19" s="13" t="s">
        <v>62</v>
      </c>
      <c r="M19" s="13" t="s">
        <v>62</v>
      </c>
      <c r="N19" s="13" t="s">
        <v>58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167</v>
      </c>
    </row>
    <row r="20" spans="1:19" x14ac:dyDescent="0.2">
      <c r="A20" s="7">
        <v>45712</v>
      </c>
      <c r="B20" s="17"/>
      <c r="C20" s="9" t="s">
        <v>572</v>
      </c>
      <c r="D20" s="9" t="s">
        <v>556</v>
      </c>
      <c r="E20" s="9" t="s">
        <v>557</v>
      </c>
      <c r="F20" s="9" t="s">
        <v>31</v>
      </c>
      <c r="G20" s="9" t="s">
        <v>50</v>
      </c>
      <c r="H20" s="11">
        <v>23.49</v>
      </c>
      <c r="I20" s="40">
        <f t="shared" si="0"/>
        <v>2.1354545454545453</v>
      </c>
      <c r="J20" s="9" t="s">
        <v>558</v>
      </c>
      <c r="K20" s="9"/>
      <c r="L20" s="9">
        <v>-5957.85</v>
      </c>
      <c r="M20" s="9" t="s">
        <v>573</v>
      </c>
      <c r="N20" s="9" t="s">
        <v>574</v>
      </c>
      <c r="O20" s="9"/>
      <c r="P20" s="9"/>
      <c r="Q20" s="9"/>
      <c r="R20" s="9"/>
      <c r="S20" s="9"/>
    </row>
    <row r="21" spans="1:19" x14ac:dyDescent="0.2">
      <c r="A21" s="7">
        <v>45712</v>
      </c>
      <c r="B21" s="17"/>
      <c r="C21" s="9" t="s">
        <v>572</v>
      </c>
      <c r="D21" s="9" t="s">
        <v>556</v>
      </c>
      <c r="E21" s="9" t="s">
        <v>557</v>
      </c>
      <c r="F21" s="9" t="s">
        <v>31</v>
      </c>
      <c r="G21" s="9" t="s">
        <v>50</v>
      </c>
      <c r="H21" s="11">
        <v>20.49</v>
      </c>
      <c r="I21" s="40">
        <f t="shared" si="0"/>
        <v>1.8627272727272726</v>
      </c>
      <c r="J21" s="9" t="s">
        <v>558</v>
      </c>
      <c r="K21" s="9"/>
      <c r="L21" s="9">
        <v>-5934.36</v>
      </c>
      <c r="M21" s="9" t="s">
        <v>573</v>
      </c>
      <c r="N21" s="9" t="s">
        <v>574</v>
      </c>
      <c r="O21" s="9"/>
      <c r="P21" s="9"/>
      <c r="Q21" s="9"/>
      <c r="R21" s="9"/>
      <c r="S21" s="9"/>
    </row>
    <row r="22" spans="1:19" x14ac:dyDescent="0.2">
      <c r="A22" s="7">
        <v>45712</v>
      </c>
      <c r="B22" s="17"/>
      <c r="C22" s="9" t="s">
        <v>572</v>
      </c>
      <c r="D22" s="9" t="s">
        <v>556</v>
      </c>
      <c r="E22" s="9" t="s">
        <v>557</v>
      </c>
      <c r="F22" s="9" t="s">
        <v>31</v>
      </c>
      <c r="G22" s="9" t="s">
        <v>50</v>
      </c>
      <c r="H22" s="11">
        <v>14.99</v>
      </c>
      <c r="I22" s="40">
        <f t="shared" si="0"/>
        <v>1.3627272727272728</v>
      </c>
      <c r="J22" s="9" t="s">
        <v>558</v>
      </c>
      <c r="K22" s="9"/>
      <c r="L22" s="9">
        <v>-5913.87</v>
      </c>
      <c r="M22" s="9" t="s">
        <v>573</v>
      </c>
      <c r="N22" s="9" t="s">
        <v>574</v>
      </c>
      <c r="O22" s="9"/>
      <c r="P22" s="9"/>
      <c r="Q22" s="9"/>
      <c r="R22" s="9"/>
      <c r="S22" s="9"/>
    </row>
    <row r="23" spans="1:19" x14ac:dyDescent="0.2">
      <c r="A23" s="7">
        <v>45712</v>
      </c>
      <c r="B23" s="8"/>
      <c r="C23" s="9" t="s">
        <v>51</v>
      </c>
      <c r="D23" s="9">
        <v>465083897</v>
      </c>
      <c r="E23" s="9" t="s">
        <v>30</v>
      </c>
      <c r="F23" s="9" t="s">
        <v>31</v>
      </c>
      <c r="G23" s="9" t="s">
        <v>52</v>
      </c>
      <c r="H23" s="11">
        <v>1881.46</v>
      </c>
      <c r="I23" s="11">
        <f>H23/11</f>
        <v>171.04181818181817</v>
      </c>
      <c r="J23" s="9" t="s">
        <v>45</v>
      </c>
      <c r="K23" s="9">
        <v>8548.17</v>
      </c>
      <c r="L23" s="9" t="s">
        <v>33</v>
      </c>
      <c r="M23" s="9">
        <v>112879</v>
      </c>
      <c r="N23" s="9">
        <v>946</v>
      </c>
      <c r="O23" s="9"/>
      <c r="P23" s="9"/>
      <c r="Q23" s="9"/>
      <c r="R23" s="9"/>
      <c r="S23" s="9"/>
    </row>
    <row r="24" spans="1:19" x14ac:dyDescent="0.2">
      <c r="A24" s="7">
        <v>45712</v>
      </c>
      <c r="B24" s="8"/>
      <c r="C24" s="9" t="s">
        <v>53</v>
      </c>
      <c r="D24" s="9">
        <v>465083897</v>
      </c>
      <c r="E24" s="9" t="s">
        <v>30</v>
      </c>
      <c r="F24" s="9" t="s">
        <v>31</v>
      </c>
      <c r="G24" s="9" t="s">
        <v>54</v>
      </c>
      <c r="H24" s="11">
        <v>7416.75</v>
      </c>
      <c r="I24" s="11">
        <f>H24/11</f>
        <v>674.25</v>
      </c>
      <c r="J24" s="9" t="s">
        <v>45</v>
      </c>
      <c r="K24" s="9">
        <v>1131.42</v>
      </c>
      <c r="L24" s="9" t="s">
        <v>33</v>
      </c>
      <c r="M24" s="9">
        <v>112879</v>
      </c>
      <c r="N24" s="9">
        <v>946</v>
      </c>
      <c r="O24" s="9"/>
      <c r="P24" s="9"/>
      <c r="Q24" s="9"/>
      <c r="R24" s="9"/>
      <c r="S24" s="9"/>
    </row>
    <row r="25" spans="1:19" ht="32" x14ac:dyDescent="0.2">
      <c r="A25" s="12" t="s">
        <v>141</v>
      </c>
      <c r="B25" s="13" t="s">
        <v>114</v>
      </c>
      <c r="C25" s="13" t="s">
        <v>142</v>
      </c>
      <c r="D25" s="13" t="s">
        <v>75</v>
      </c>
      <c r="E25" s="13" t="s">
        <v>76</v>
      </c>
      <c r="F25" s="13" t="s">
        <v>31</v>
      </c>
      <c r="G25" s="13" t="s">
        <v>623</v>
      </c>
      <c r="H25" s="27">
        <v>96.99</v>
      </c>
      <c r="I25" s="40">
        <f t="shared" ref="I25:I27" si="1">H25/11</f>
        <v>8.8172727272727265</v>
      </c>
      <c r="J25" s="13" t="s">
        <v>61</v>
      </c>
      <c r="K25" s="15" t="s">
        <v>62</v>
      </c>
      <c r="L25" s="13" t="s">
        <v>62</v>
      </c>
      <c r="M25" s="13" t="s">
        <v>62</v>
      </c>
      <c r="N25" s="13" t="s">
        <v>142</v>
      </c>
      <c r="O25" s="13" t="s">
        <v>143</v>
      </c>
      <c r="P25" s="13" t="s">
        <v>64</v>
      </c>
      <c r="Q25" s="13" t="s">
        <v>65</v>
      </c>
      <c r="R25" s="13" t="s">
        <v>66</v>
      </c>
      <c r="S25" s="13" t="s">
        <v>144</v>
      </c>
    </row>
    <row r="26" spans="1:19" ht="32" x14ac:dyDescent="0.2">
      <c r="A26" s="12" t="s">
        <v>114</v>
      </c>
      <c r="B26" s="13" t="s">
        <v>57</v>
      </c>
      <c r="C26" s="13" t="s">
        <v>115</v>
      </c>
      <c r="D26" s="13" t="s">
        <v>75</v>
      </c>
      <c r="E26" s="13" t="s">
        <v>76</v>
      </c>
      <c r="F26" s="13" t="s">
        <v>31</v>
      </c>
      <c r="G26" s="13" t="s">
        <v>50</v>
      </c>
      <c r="H26" s="27">
        <v>75</v>
      </c>
      <c r="I26" s="40">
        <f t="shared" si="1"/>
        <v>6.8181818181818183</v>
      </c>
      <c r="J26" s="13" t="s">
        <v>61</v>
      </c>
      <c r="K26" s="15" t="s">
        <v>62</v>
      </c>
      <c r="L26" s="13" t="s">
        <v>62</v>
      </c>
      <c r="M26" s="13" t="s">
        <v>62</v>
      </c>
      <c r="N26" s="13" t="s">
        <v>115</v>
      </c>
      <c r="O26" s="13" t="s">
        <v>116</v>
      </c>
      <c r="P26" s="13" t="s">
        <v>117</v>
      </c>
      <c r="Q26" s="13" t="s">
        <v>118</v>
      </c>
      <c r="R26" s="13" t="s">
        <v>66</v>
      </c>
      <c r="S26" s="13" t="s">
        <v>119</v>
      </c>
    </row>
    <row r="27" spans="1:19" ht="32" x14ac:dyDescent="0.2">
      <c r="A27" s="12" t="s">
        <v>57</v>
      </c>
      <c r="B27" s="13" t="s">
        <v>57</v>
      </c>
      <c r="C27" s="13" t="s">
        <v>58</v>
      </c>
      <c r="D27" s="13" t="s">
        <v>59</v>
      </c>
      <c r="E27" s="13" t="s">
        <v>60</v>
      </c>
      <c r="F27" s="13" t="s">
        <v>31</v>
      </c>
      <c r="G27" s="13" t="s">
        <v>50</v>
      </c>
      <c r="H27" s="27">
        <v>1.49</v>
      </c>
      <c r="I27" s="40">
        <f t="shared" si="1"/>
        <v>0.13545454545454547</v>
      </c>
      <c r="J27" s="13" t="s">
        <v>61</v>
      </c>
      <c r="K27" s="15" t="s">
        <v>62</v>
      </c>
      <c r="L27" s="13" t="s">
        <v>62</v>
      </c>
      <c r="M27" s="13" t="s">
        <v>62</v>
      </c>
      <c r="N27" s="13" t="s">
        <v>58</v>
      </c>
      <c r="O27" s="13" t="s">
        <v>63</v>
      </c>
      <c r="P27" s="13" t="s">
        <v>64</v>
      </c>
      <c r="Q27" s="13" t="s">
        <v>65</v>
      </c>
      <c r="R27" s="13" t="s">
        <v>66</v>
      </c>
      <c r="S27" s="13" t="s">
        <v>67</v>
      </c>
    </row>
    <row r="28" spans="1:19" x14ac:dyDescent="0.2">
      <c r="A28" s="7">
        <v>45691</v>
      </c>
      <c r="B28" s="8"/>
      <c r="C28" s="9" t="s">
        <v>43</v>
      </c>
      <c r="D28" s="9">
        <v>465083897</v>
      </c>
      <c r="E28" s="9" t="s">
        <v>30</v>
      </c>
      <c r="F28" s="9" t="s">
        <v>39</v>
      </c>
      <c r="G28" s="9" t="s">
        <v>44</v>
      </c>
      <c r="H28" s="11">
        <v>140</v>
      </c>
      <c r="I28" s="11">
        <v>0</v>
      </c>
      <c r="J28" s="9" t="s">
        <v>45</v>
      </c>
      <c r="K28" s="9">
        <v>6050.56</v>
      </c>
      <c r="L28" s="9" t="s">
        <v>33</v>
      </c>
      <c r="M28" s="9">
        <v>112879</v>
      </c>
      <c r="N28" s="9">
        <v>946</v>
      </c>
      <c r="O28" s="9"/>
      <c r="P28" s="9"/>
      <c r="Q28" s="9"/>
      <c r="R28" s="9"/>
      <c r="S28" s="9"/>
    </row>
    <row r="29" spans="1:19" x14ac:dyDescent="0.2">
      <c r="A29" s="7">
        <v>45692</v>
      </c>
      <c r="B29" s="17"/>
      <c r="C29" s="9" t="s">
        <v>599</v>
      </c>
      <c r="D29" s="9" t="s">
        <v>556</v>
      </c>
      <c r="E29" s="9" t="s">
        <v>557</v>
      </c>
      <c r="F29" s="9" t="s">
        <v>39</v>
      </c>
      <c r="G29" s="9" t="s">
        <v>607</v>
      </c>
      <c r="H29" s="11">
        <v>161.34</v>
      </c>
      <c r="I29" s="11">
        <v>0</v>
      </c>
      <c r="J29" s="9" t="s">
        <v>558</v>
      </c>
      <c r="K29" s="9"/>
      <c r="L29" s="9">
        <v>-1873.42</v>
      </c>
      <c r="M29" s="9" t="s">
        <v>591</v>
      </c>
      <c r="N29" s="9"/>
      <c r="O29" s="9"/>
      <c r="P29" s="9"/>
      <c r="Q29" s="9"/>
      <c r="R29" s="9"/>
      <c r="S29" s="9"/>
    </row>
    <row r="30" spans="1:19" ht="32" x14ac:dyDescent="0.2">
      <c r="A30" s="12" t="s">
        <v>408</v>
      </c>
      <c r="B30" s="13" t="s">
        <v>403</v>
      </c>
      <c r="C30" s="13" t="s">
        <v>510</v>
      </c>
      <c r="D30" s="13" t="s">
        <v>59</v>
      </c>
      <c r="E30" s="13" t="s">
        <v>426</v>
      </c>
      <c r="F30" s="13" t="s">
        <v>39</v>
      </c>
      <c r="G30" s="13" t="s">
        <v>619</v>
      </c>
      <c r="H30" s="27">
        <v>624.94000000000005</v>
      </c>
      <c r="I30" s="11">
        <v>0</v>
      </c>
      <c r="J30" s="13" t="s">
        <v>511</v>
      </c>
      <c r="K30" s="15">
        <v>18.2</v>
      </c>
      <c r="L30" s="13" t="s">
        <v>62</v>
      </c>
      <c r="M30" s="13" t="s">
        <v>62</v>
      </c>
      <c r="N30" s="13" t="s">
        <v>510</v>
      </c>
      <c r="O30" s="13" t="s">
        <v>512</v>
      </c>
      <c r="P30" s="13" t="s">
        <v>62</v>
      </c>
      <c r="Q30" s="13" t="s">
        <v>513</v>
      </c>
      <c r="R30" s="13" t="s">
        <v>472</v>
      </c>
      <c r="S30" s="13" t="s">
        <v>514</v>
      </c>
    </row>
    <row r="31" spans="1:19" x14ac:dyDescent="0.2">
      <c r="A31" s="7">
        <v>45693</v>
      </c>
      <c r="B31" s="8"/>
      <c r="C31" s="9" t="s">
        <v>552</v>
      </c>
      <c r="D31" s="9" t="s">
        <v>537</v>
      </c>
      <c r="E31" s="9" t="s">
        <v>538</v>
      </c>
      <c r="F31" s="9" t="s">
        <v>39</v>
      </c>
      <c r="G31" s="9" t="s">
        <v>607</v>
      </c>
      <c r="H31" s="11">
        <v>289.82</v>
      </c>
      <c r="I31" s="11">
        <v>0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32" x14ac:dyDescent="0.2">
      <c r="A32" s="12" t="s">
        <v>373</v>
      </c>
      <c r="B32" s="13" t="s">
        <v>373</v>
      </c>
      <c r="C32" s="13" t="s">
        <v>380</v>
      </c>
      <c r="D32" s="13" t="s">
        <v>75</v>
      </c>
      <c r="E32" s="13" t="s">
        <v>76</v>
      </c>
      <c r="F32" s="13" t="s">
        <v>39</v>
      </c>
      <c r="G32" s="13" t="s">
        <v>56</v>
      </c>
      <c r="H32" s="27">
        <v>9.9</v>
      </c>
      <c r="I32" s="11">
        <v>0</v>
      </c>
      <c r="J32" s="13" t="s">
        <v>61</v>
      </c>
      <c r="K32" s="15" t="s">
        <v>62</v>
      </c>
      <c r="L32" s="13" t="s">
        <v>62</v>
      </c>
      <c r="M32" s="13" t="s">
        <v>62</v>
      </c>
      <c r="N32" s="13" t="s">
        <v>380</v>
      </c>
      <c r="O32" s="13" t="s">
        <v>381</v>
      </c>
      <c r="P32" s="13" t="s">
        <v>382</v>
      </c>
      <c r="Q32" s="13" t="s">
        <v>383</v>
      </c>
      <c r="R32" s="13" t="s">
        <v>66</v>
      </c>
      <c r="S32" s="13" t="s">
        <v>384</v>
      </c>
    </row>
    <row r="33" spans="1:19" x14ac:dyDescent="0.2">
      <c r="A33" s="7">
        <v>45697</v>
      </c>
      <c r="B33" s="8"/>
      <c r="C33" s="9" t="s">
        <v>550</v>
      </c>
      <c r="D33" s="9" t="s">
        <v>537</v>
      </c>
      <c r="E33" s="9" t="s">
        <v>538</v>
      </c>
      <c r="F33" s="9" t="s">
        <v>39</v>
      </c>
      <c r="G33" s="9" t="s">
        <v>56</v>
      </c>
      <c r="H33" s="11">
        <v>40.25</v>
      </c>
      <c r="I33" s="11">
        <v>0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32" x14ac:dyDescent="0.2">
      <c r="A34" s="12" t="s">
        <v>340</v>
      </c>
      <c r="B34" s="13" t="s">
        <v>325</v>
      </c>
      <c r="C34" s="13" t="s">
        <v>485</v>
      </c>
      <c r="D34" s="13" t="s">
        <v>59</v>
      </c>
      <c r="E34" s="13" t="s">
        <v>426</v>
      </c>
      <c r="F34" s="13" t="s">
        <v>39</v>
      </c>
      <c r="G34" s="13" t="s">
        <v>50</v>
      </c>
      <c r="H34" s="27">
        <v>80.55</v>
      </c>
      <c r="I34" s="11">
        <v>0</v>
      </c>
      <c r="J34" s="13" t="s">
        <v>486</v>
      </c>
      <c r="K34" s="15">
        <v>2.35</v>
      </c>
      <c r="L34" s="13" t="s">
        <v>62</v>
      </c>
      <c r="M34" s="13" t="s">
        <v>62</v>
      </c>
      <c r="N34" s="13" t="s">
        <v>485</v>
      </c>
      <c r="O34" s="13" t="s">
        <v>487</v>
      </c>
      <c r="P34" s="13" t="s">
        <v>488</v>
      </c>
      <c r="Q34" s="13" t="s">
        <v>489</v>
      </c>
      <c r="R34" s="13" t="s">
        <v>81</v>
      </c>
      <c r="S34" s="13" t="s">
        <v>490</v>
      </c>
    </row>
    <row r="35" spans="1:19" ht="64" x14ac:dyDescent="0.2">
      <c r="A35" s="12" t="s">
        <v>325</v>
      </c>
      <c r="B35" s="13" t="s">
        <v>308</v>
      </c>
      <c r="C35" s="13" t="s">
        <v>475</v>
      </c>
      <c r="D35" s="13" t="s">
        <v>59</v>
      </c>
      <c r="E35" s="13" t="s">
        <v>426</v>
      </c>
      <c r="F35" s="13" t="s">
        <v>39</v>
      </c>
      <c r="G35" s="13" t="s">
        <v>50</v>
      </c>
      <c r="H35" s="27">
        <v>96.99</v>
      </c>
      <c r="I35" s="11">
        <v>0</v>
      </c>
      <c r="J35" s="13" t="s">
        <v>61</v>
      </c>
      <c r="K35" s="15" t="s">
        <v>62</v>
      </c>
      <c r="L35" s="13" t="s">
        <v>62</v>
      </c>
      <c r="M35" s="13" t="s">
        <v>62</v>
      </c>
      <c r="N35" s="13" t="s">
        <v>475</v>
      </c>
      <c r="O35" s="13" t="s">
        <v>476</v>
      </c>
      <c r="P35" s="13" t="s">
        <v>62</v>
      </c>
      <c r="Q35" s="13" t="s">
        <v>477</v>
      </c>
      <c r="R35" s="13" t="s">
        <v>478</v>
      </c>
      <c r="S35" s="13" t="s">
        <v>479</v>
      </c>
    </row>
    <row r="36" spans="1:19" x14ac:dyDescent="0.2">
      <c r="A36" s="7">
        <v>45702</v>
      </c>
      <c r="B36" s="17"/>
      <c r="C36" s="9" t="s">
        <v>577</v>
      </c>
      <c r="D36" s="9" t="s">
        <v>556</v>
      </c>
      <c r="E36" s="9" t="s">
        <v>557</v>
      </c>
      <c r="F36" s="9" t="s">
        <v>39</v>
      </c>
      <c r="G36" s="9" t="s">
        <v>610</v>
      </c>
      <c r="H36" s="11">
        <v>1299.7</v>
      </c>
      <c r="I36" s="11">
        <v>0</v>
      </c>
      <c r="J36" s="9" t="s">
        <v>558</v>
      </c>
      <c r="K36" s="9"/>
      <c r="L36" s="9">
        <v>-5773.96</v>
      </c>
      <c r="M36" s="9" t="s">
        <v>578</v>
      </c>
      <c r="N36" s="9" t="s">
        <v>579</v>
      </c>
      <c r="O36" s="9"/>
      <c r="P36" s="9"/>
      <c r="Q36" s="9"/>
      <c r="R36" s="9"/>
      <c r="S36" s="9"/>
    </row>
    <row r="37" spans="1:19" x14ac:dyDescent="0.2">
      <c r="A37" s="7">
        <v>45702</v>
      </c>
      <c r="B37" s="8"/>
      <c r="C37" s="9" t="s">
        <v>46</v>
      </c>
      <c r="D37" s="9">
        <v>465083897</v>
      </c>
      <c r="E37" s="9" t="s">
        <v>30</v>
      </c>
      <c r="F37" s="9" t="s">
        <v>39</v>
      </c>
      <c r="G37" s="9" t="s">
        <v>47</v>
      </c>
      <c r="H37" s="11">
        <v>550</v>
      </c>
      <c r="I37" s="11">
        <v>0</v>
      </c>
      <c r="J37" s="9" t="s">
        <v>45</v>
      </c>
      <c r="K37" s="9">
        <v>10835.01</v>
      </c>
      <c r="L37" s="9" t="s">
        <v>33</v>
      </c>
      <c r="M37" s="9">
        <v>112879</v>
      </c>
      <c r="N37" s="9">
        <v>926</v>
      </c>
      <c r="O37" s="9"/>
      <c r="P37" s="9"/>
      <c r="Q37" s="9"/>
      <c r="R37" s="9"/>
      <c r="S37" s="9"/>
    </row>
    <row r="38" spans="1:19" ht="64" x14ac:dyDescent="0.2">
      <c r="A38" s="12" t="s">
        <v>287</v>
      </c>
      <c r="B38" s="13" t="s">
        <v>267</v>
      </c>
      <c r="C38" s="13" t="s">
        <v>296</v>
      </c>
      <c r="D38" s="13" t="s">
        <v>75</v>
      </c>
      <c r="E38" s="13" t="s">
        <v>76</v>
      </c>
      <c r="F38" s="13" t="s">
        <v>39</v>
      </c>
      <c r="G38" s="13" t="s">
        <v>619</v>
      </c>
      <c r="H38" s="27">
        <v>614.02</v>
      </c>
      <c r="I38" s="11">
        <v>0</v>
      </c>
      <c r="J38" s="13" t="s">
        <v>297</v>
      </c>
      <c r="K38" s="15">
        <v>17.88</v>
      </c>
      <c r="L38" s="13" t="s">
        <v>62</v>
      </c>
      <c r="M38" s="13" t="s">
        <v>62</v>
      </c>
      <c r="N38" s="13" t="s">
        <v>296</v>
      </c>
      <c r="O38" s="13" t="s">
        <v>298</v>
      </c>
      <c r="P38" s="13" t="s">
        <v>62</v>
      </c>
      <c r="Q38" s="13" t="s">
        <v>299</v>
      </c>
      <c r="R38" s="13" t="s">
        <v>300</v>
      </c>
      <c r="S38" s="13" t="s">
        <v>301</v>
      </c>
    </row>
    <row r="39" spans="1:19" ht="32" x14ac:dyDescent="0.2">
      <c r="A39" s="12" t="s">
        <v>267</v>
      </c>
      <c r="B39" s="13" t="s">
        <v>267</v>
      </c>
      <c r="C39" s="13" t="s">
        <v>271</v>
      </c>
      <c r="D39" s="13" t="s">
        <v>59</v>
      </c>
      <c r="E39" s="13" t="s">
        <v>60</v>
      </c>
      <c r="F39" s="13" t="s">
        <v>39</v>
      </c>
      <c r="G39" s="13" t="s">
        <v>56</v>
      </c>
      <c r="H39" s="27">
        <v>396.48</v>
      </c>
      <c r="I39" s="11">
        <v>0</v>
      </c>
      <c r="J39" s="13" t="s">
        <v>61</v>
      </c>
      <c r="K39" s="15" t="s">
        <v>62</v>
      </c>
      <c r="L39" s="13" t="s">
        <v>62</v>
      </c>
      <c r="M39" s="13" t="s">
        <v>62</v>
      </c>
      <c r="N39" s="13" t="s">
        <v>271</v>
      </c>
      <c r="O39" s="13" t="s">
        <v>62</v>
      </c>
      <c r="P39" s="13" t="s">
        <v>62</v>
      </c>
      <c r="Q39" s="13" t="s">
        <v>62</v>
      </c>
      <c r="R39" s="13" t="s">
        <v>62</v>
      </c>
      <c r="S39" s="13" t="s">
        <v>272</v>
      </c>
    </row>
    <row r="40" spans="1:19" x14ac:dyDescent="0.2">
      <c r="A40" s="7">
        <v>45705</v>
      </c>
      <c r="B40" s="8"/>
      <c r="C40" s="9" t="s">
        <v>48</v>
      </c>
      <c r="D40" s="9">
        <v>465083897</v>
      </c>
      <c r="E40" s="9" t="s">
        <v>30</v>
      </c>
      <c r="F40" s="9" t="s">
        <v>39</v>
      </c>
      <c r="G40" s="9" t="s">
        <v>44</v>
      </c>
      <c r="H40" s="11">
        <v>140</v>
      </c>
      <c r="I40" s="11">
        <v>0</v>
      </c>
      <c r="J40" s="9" t="s">
        <v>45</v>
      </c>
      <c r="K40" s="9">
        <v>10695.01</v>
      </c>
      <c r="L40" s="9" t="s">
        <v>33</v>
      </c>
      <c r="M40" s="9">
        <v>112879</v>
      </c>
      <c r="N40" s="9">
        <v>946</v>
      </c>
      <c r="O40" s="9"/>
      <c r="P40" s="9"/>
      <c r="Q40" s="9"/>
      <c r="R40" s="9"/>
      <c r="S40" s="9"/>
    </row>
    <row r="41" spans="1:19" ht="32" x14ac:dyDescent="0.2">
      <c r="A41" s="12" t="s">
        <v>241</v>
      </c>
      <c r="B41" s="13" t="s">
        <v>233</v>
      </c>
      <c r="C41" s="13" t="s">
        <v>242</v>
      </c>
      <c r="D41" s="13" t="s">
        <v>75</v>
      </c>
      <c r="E41" s="13" t="s">
        <v>76</v>
      </c>
      <c r="F41" s="13" t="s">
        <v>39</v>
      </c>
      <c r="G41" s="13" t="s">
        <v>50</v>
      </c>
      <c r="H41" s="27">
        <v>170.17</v>
      </c>
      <c r="I41" s="11">
        <v>0</v>
      </c>
      <c r="J41" s="13" t="s">
        <v>243</v>
      </c>
      <c r="K41" s="15">
        <v>4.96</v>
      </c>
      <c r="L41" s="13" t="s">
        <v>62</v>
      </c>
      <c r="M41" s="13" t="s">
        <v>62</v>
      </c>
      <c r="N41" s="13" t="s">
        <v>242</v>
      </c>
      <c r="O41" s="13" t="s">
        <v>244</v>
      </c>
      <c r="P41" s="13" t="s">
        <v>245</v>
      </c>
      <c r="Q41" s="13" t="s">
        <v>246</v>
      </c>
      <c r="R41" s="13" t="s">
        <v>247</v>
      </c>
      <c r="S41" s="13" t="s">
        <v>248</v>
      </c>
    </row>
    <row r="42" spans="1:19" ht="32" x14ac:dyDescent="0.2">
      <c r="A42" s="12" t="s">
        <v>227</v>
      </c>
      <c r="B42" s="13" t="s">
        <v>196</v>
      </c>
      <c r="C42" s="13" t="s">
        <v>228</v>
      </c>
      <c r="D42" s="13" t="s">
        <v>84</v>
      </c>
      <c r="E42" s="13" t="s">
        <v>85</v>
      </c>
      <c r="F42" s="13" t="s">
        <v>39</v>
      </c>
      <c r="G42" s="13" t="s">
        <v>50</v>
      </c>
      <c r="H42" s="27">
        <v>35.729999999999997</v>
      </c>
      <c r="I42" s="11">
        <v>0</v>
      </c>
      <c r="J42" s="13" t="s">
        <v>97</v>
      </c>
      <c r="K42" s="15">
        <v>1.04</v>
      </c>
      <c r="L42" s="13" t="s">
        <v>62</v>
      </c>
      <c r="M42" s="13" t="s">
        <v>62</v>
      </c>
      <c r="N42" s="13" t="s">
        <v>228</v>
      </c>
      <c r="O42" s="13" t="s">
        <v>210</v>
      </c>
      <c r="P42" s="13" t="s">
        <v>99</v>
      </c>
      <c r="Q42" s="13" t="s">
        <v>211</v>
      </c>
      <c r="R42" s="13" t="s">
        <v>81</v>
      </c>
      <c r="S42" s="13" t="s">
        <v>229</v>
      </c>
    </row>
    <row r="43" spans="1:19" ht="48" x14ac:dyDescent="0.2">
      <c r="A43" s="12" t="s">
        <v>196</v>
      </c>
      <c r="B43" s="13" t="s">
        <v>192</v>
      </c>
      <c r="C43" s="13" t="s">
        <v>203</v>
      </c>
      <c r="D43" s="13" t="s">
        <v>59</v>
      </c>
      <c r="E43" s="13" t="s">
        <v>60</v>
      </c>
      <c r="F43" s="13" t="s">
        <v>39</v>
      </c>
      <c r="G43" s="13" t="s">
        <v>50</v>
      </c>
      <c r="H43" s="27">
        <v>64.739999999999995</v>
      </c>
      <c r="I43" s="11">
        <v>0</v>
      </c>
      <c r="J43" s="13" t="s">
        <v>204</v>
      </c>
      <c r="K43" s="15">
        <v>1.89</v>
      </c>
      <c r="L43" s="13" t="s">
        <v>62</v>
      </c>
      <c r="M43" s="13" t="s">
        <v>62</v>
      </c>
      <c r="N43" s="13" t="s">
        <v>203</v>
      </c>
      <c r="O43" s="13" t="s">
        <v>205</v>
      </c>
      <c r="P43" s="13" t="s">
        <v>62</v>
      </c>
      <c r="Q43" s="13" t="s">
        <v>206</v>
      </c>
      <c r="R43" s="13" t="s">
        <v>207</v>
      </c>
      <c r="S43" s="13" t="s">
        <v>208</v>
      </c>
    </row>
    <row r="44" spans="1:19" ht="32" x14ac:dyDescent="0.2">
      <c r="A44" s="12" t="s">
        <v>196</v>
      </c>
      <c r="B44" s="13" t="s">
        <v>192</v>
      </c>
      <c r="C44" s="13" t="s">
        <v>209</v>
      </c>
      <c r="D44" s="13" t="s">
        <v>75</v>
      </c>
      <c r="E44" s="13" t="s">
        <v>76</v>
      </c>
      <c r="F44" s="13" t="s">
        <v>39</v>
      </c>
      <c r="G44" s="13" t="s">
        <v>50</v>
      </c>
      <c r="H44" s="27">
        <v>35.58</v>
      </c>
      <c r="I44" s="11">
        <v>0</v>
      </c>
      <c r="J44" s="13" t="s">
        <v>97</v>
      </c>
      <c r="K44" s="15">
        <v>1.04</v>
      </c>
      <c r="L44" s="13" t="s">
        <v>62</v>
      </c>
      <c r="M44" s="13" t="s">
        <v>62</v>
      </c>
      <c r="N44" s="13" t="s">
        <v>209</v>
      </c>
      <c r="O44" s="13" t="s">
        <v>210</v>
      </c>
      <c r="P44" s="13" t="s">
        <v>99</v>
      </c>
      <c r="Q44" s="13" t="s">
        <v>211</v>
      </c>
      <c r="R44" s="13" t="s">
        <v>81</v>
      </c>
      <c r="S44" s="13" t="s">
        <v>212</v>
      </c>
    </row>
    <row r="45" spans="1:19" ht="48" x14ac:dyDescent="0.2">
      <c r="A45" s="12" t="s">
        <v>154</v>
      </c>
      <c r="B45" s="13" t="s">
        <v>141</v>
      </c>
      <c r="C45" s="13" t="s">
        <v>442</v>
      </c>
      <c r="D45" s="13" t="s">
        <v>59</v>
      </c>
      <c r="E45" s="13" t="s">
        <v>426</v>
      </c>
      <c r="F45" s="13" t="s">
        <v>39</v>
      </c>
      <c r="G45" s="13" t="s">
        <v>50</v>
      </c>
      <c r="H45" s="27">
        <v>82.95</v>
      </c>
      <c r="I45" s="11">
        <v>0</v>
      </c>
      <c r="J45" s="13" t="s">
        <v>61</v>
      </c>
      <c r="K45" s="15" t="s">
        <v>62</v>
      </c>
      <c r="L45" s="13" t="s">
        <v>62</v>
      </c>
      <c r="M45" s="13" t="s">
        <v>62</v>
      </c>
      <c r="N45" s="13" t="s">
        <v>442</v>
      </c>
      <c r="O45" s="13" t="s">
        <v>443</v>
      </c>
      <c r="P45" s="13" t="s">
        <v>62</v>
      </c>
      <c r="Q45" s="13" t="s">
        <v>444</v>
      </c>
      <c r="R45" s="13" t="s">
        <v>445</v>
      </c>
      <c r="S45" s="13" t="s">
        <v>446</v>
      </c>
    </row>
    <row r="46" spans="1:19" ht="32" x14ac:dyDescent="0.2">
      <c r="A46" s="12" t="s">
        <v>141</v>
      </c>
      <c r="B46" s="13" t="s">
        <v>114</v>
      </c>
      <c r="C46" s="13" t="s">
        <v>436</v>
      </c>
      <c r="D46" s="13" t="s">
        <v>59</v>
      </c>
      <c r="E46" s="13" t="s">
        <v>426</v>
      </c>
      <c r="F46" s="13" t="s">
        <v>39</v>
      </c>
      <c r="G46" s="13" t="s">
        <v>611</v>
      </c>
      <c r="H46" s="27">
        <v>41.36</v>
      </c>
      <c r="I46" s="11">
        <v>0</v>
      </c>
      <c r="J46" s="13" t="s">
        <v>437</v>
      </c>
      <c r="K46" s="15">
        <v>1.2</v>
      </c>
      <c r="L46" s="13" t="s">
        <v>62</v>
      </c>
      <c r="M46" s="13" t="s">
        <v>62</v>
      </c>
      <c r="N46" s="13" t="s">
        <v>436</v>
      </c>
      <c r="O46" s="13" t="s">
        <v>438</v>
      </c>
      <c r="P46" s="13" t="s">
        <v>439</v>
      </c>
      <c r="Q46" s="13" t="s">
        <v>440</v>
      </c>
      <c r="R46" s="13" t="s">
        <v>81</v>
      </c>
      <c r="S46" s="13" t="s">
        <v>441</v>
      </c>
    </row>
    <row r="47" spans="1:19" x14ac:dyDescent="0.2">
      <c r="A47" s="7">
        <v>45716</v>
      </c>
      <c r="B47" s="8"/>
      <c r="C47" s="9" t="s">
        <v>55</v>
      </c>
      <c r="D47" s="9">
        <v>465083897</v>
      </c>
      <c r="E47" s="9" t="s">
        <v>30</v>
      </c>
      <c r="F47" s="9" t="s">
        <v>39</v>
      </c>
      <c r="G47" s="9" t="s">
        <v>56</v>
      </c>
      <c r="H47" s="11">
        <v>10</v>
      </c>
      <c r="I47" s="11">
        <v>0</v>
      </c>
      <c r="J47" s="9" t="s">
        <v>45</v>
      </c>
      <c r="K47" s="9">
        <v>14254.17</v>
      </c>
      <c r="L47" s="9" t="s">
        <v>33</v>
      </c>
      <c r="M47" s="9">
        <v>112879</v>
      </c>
      <c r="N47" s="9">
        <v>945</v>
      </c>
      <c r="O47" s="9"/>
      <c r="P47" s="9"/>
      <c r="Q47" s="9"/>
      <c r="R47" s="9"/>
      <c r="S47" s="9"/>
    </row>
    <row r="48" spans="1:19" ht="32" x14ac:dyDescent="0.2">
      <c r="A48" s="12" t="s">
        <v>57</v>
      </c>
      <c r="B48" s="13" t="s">
        <v>68</v>
      </c>
      <c r="C48" s="13" t="s">
        <v>74</v>
      </c>
      <c r="D48" s="13" t="s">
        <v>75</v>
      </c>
      <c r="E48" s="13" t="s">
        <v>76</v>
      </c>
      <c r="F48" s="13" t="s">
        <v>39</v>
      </c>
      <c r="G48" s="13" t="s">
        <v>50</v>
      </c>
      <c r="H48" s="27">
        <v>90.67</v>
      </c>
      <c r="I48" s="11">
        <v>0</v>
      </c>
      <c r="J48" s="13" t="s">
        <v>77</v>
      </c>
      <c r="K48" s="15">
        <v>2.64</v>
      </c>
      <c r="L48" s="13" t="s">
        <v>62</v>
      </c>
      <c r="M48" s="13" t="s">
        <v>62</v>
      </c>
      <c r="N48" s="13" t="s">
        <v>74</v>
      </c>
      <c r="O48" s="13" t="s">
        <v>78</v>
      </c>
      <c r="P48" s="13" t="s">
        <v>79</v>
      </c>
      <c r="Q48" s="13" t="s">
        <v>80</v>
      </c>
      <c r="R48" s="13" t="s">
        <v>81</v>
      </c>
      <c r="S48" s="13" t="s">
        <v>82</v>
      </c>
    </row>
    <row r="49" spans="1:19" ht="32" x14ac:dyDescent="0.2">
      <c r="A49" s="12" t="s">
        <v>57</v>
      </c>
      <c r="B49" s="13" t="s">
        <v>57</v>
      </c>
      <c r="C49" s="13" t="s">
        <v>83</v>
      </c>
      <c r="D49" s="13" t="s">
        <v>84</v>
      </c>
      <c r="E49" s="13" t="s">
        <v>85</v>
      </c>
      <c r="F49" s="13" t="s">
        <v>39</v>
      </c>
      <c r="G49" s="13" t="s">
        <v>618</v>
      </c>
      <c r="H49" s="27">
        <v>188.63</v>
      </c>
      <c r="I49" s="11">
        <v>0</v>
      </c>
      <c r="J49" s="13" t="s">
        <v>61</v>
      </c>
      <c r="K49" s="15" t="s">
        <v>62</v>
      </c>
      <c r="L49" s="13" t="s">
        <v>62</v>
      </c>
      <c r="M49" s="13" t="s">
        <v>62</v>
      </c>
      <c r="N49" s="13" t="s">
        <v>83</v>
      </c>
      <c r="O49" s="13" t="s">
        <v>86</v>
      </c>
      <c r="P49" s="13" t="s">
        <v>87</v>
      </c>
      <c r="Q49" s="13" t="s">
        <v>88</v>
      </c>
      <c r="R49" s="13" t="s">
        <v>66</v>
      </c>
      <c r="S49" s="13" t="s">
        <v>89</v>
      </c>
    </row>
    <row r="50" spans="1:19" ht="32" x14ac:dyDescent="0.2">
      <c r="A50" s="12" t="s">
        <v>57</v>
      </c>
      <c r="B50" s="13" t="s">
        <v>57</v>
      </c>
      <c r="C50" s="13" t="s">
        <v>83</v>
      </c>
      <c r="D50" s="13" t="s">
        <v>84</v>
      </c>
      <c r="E50" s="13" t="s">
        <v>85</v>
      </c>
      <c r="F50" s="13" t="s">
        <v>39</v>
      </c>
      <c r="G50" s="13" t="s">
        <v>618</v>
      </c>
      <c r="H50" s="27">
        <v>620.05999999999995</v>
      </c>
      <c r="I50" s="11">
        <v>0</v>
      </c>
      <c r="J50" s="13" t="s">
        <v>61</v>
      </c>
      <c r="K50" s="15" t="s">
        <v>62</v>
      </c>
      <c r="L50" s="13" t="s">
        <v>62</v>
      </c>
      <c r="M50" s="13" t="s">
        <v>62</v>
      </c>
      <c r="N50" s="13" t="s">
        <v>83</v>
      </c>
      <c r="O50" s="13" t="s">
        <v>86</v>
      </c>
      <c r="P50" s="13" t="s">
        <v>87</v>
      </c>
      <c r="Q50" s="13" t="s">
        <v>88</v>
      </c>
      <c r="R50" s="13" t="s">
        <v>66</v>
      </c>
      <c r="S50" s="13" t="s">
        <v>90</v>
      </c>
    </row>
    <row r="51" spans="1:19" x14ac:dyDescent="0.2">
      <c r="A51" s="12"/>
      <c r="B51" s="13"/>
      <c r="C51" s="13"/>
      <c r="D51" s="13"/>
      <c r="E51" s="13"/>
      <c r="F51" s="13"/>
      <c r="G51" s="13"/>
      <c r="H51" s="27"/>
      <c r="I51" s="27"/>
      <c r="J51" s="13"/>
      <c r="K51" s="15"/>
      <c r="L51" s="13"/>
      <c r="M51" s="13"/>
      <c r="N51" s="13"/>
      <c r="O51" s="13"/>
      <c r="P51" s="13"/>
      <c r="Q51" s="13"/>
      <c r="R51" s="13"/>
      <c r="S51" s="13"/>
    </row>
    <row r="52" spans="1:19" x14ac:dyDescent="0.2">
      <c r="A52" s="12"/>
      <c r="B52" s="13"/>
      <c r="C52" s="13"/>
      <c r="D52" s="13"/>
      <c r="E52" s="13"/>
      <c r="F52" s="13"/>
      <c r="G52" s="13"/>
      <c r="H52" s="27">
        <f>SUM(H2:H51)</f>
        <v>18958.500000000004</v>
      </c>
      <c r="I52" s="27">
        <f>SUM(I2:I51)</f>
        <v>1197.6927272727273</v>
      </c>
      <c r="J52" s="13"/>
      <c r="K52" s="15"/>
      <c r="L52" s="13"/>
      <c r="M52" s="13"/>
      <c r="N52" s="13"/>
      <c r="O52" s="13"/>
      <c r="P52" s="13"/>
      <c r="Q52" s="13"/>
      <c r="R52" s="13"/>
      <c r="S52" s="13"/>
    </row>
    <row r="53" spans="1:19" x14ac:dyDescent="0.2">
      <c r="A53" s="12"/>
      <c r="B53" s="13"/>
      <c r="C53" s="13"/>
      <c r="D53" s="13"/>
      <c r="E53" s="13"/>
      <c r="F53" s="13"/>
      <c r="G53" s="13"/>
      <c r="H53" s="27"/>
      <c r="I53" s="27"/>
      <c r="J53" s="13"/>
      <c r="K53" s="15"/>
      <c r="L53" s="13"/>
      <c r="M53" s="13"/>
      <c r="N53" s="13"/>
      <c r="O53" s="13"/>
      <c r="P53" s="13"/>
      <c r="Q53" s="13"/>
      <c r="R53" s="13"/>
      <c r="S53" s="13"/>
    </row>
    <row r="54" spans="1:19" x14ac:dyDescent="0.2">
      <c r="A54" s="12"/>
      <c r="B54" s="13"/>
      <c r="C54" s="13"/>
      <c r="D54" s="13"/>
      <c r="E54" s="13"/>
      <c r="F54" s="13"/>
      <c r="G54" s="13"/>
      <c r="H54" s="27"/>
      <c r="I54" s="27"/>
      <c r="J54" s="13"/>
      <c r="K54" s="15"/>
      <c r="L54" s="13"/>
      <c r="M54" s="13"/>
      <c r="N54" s="13"/>
      <c r="O54" s="13"/>
      <c r="P54" s="13"/>
      <c r="Q54" s="13"/>
      <c r="R54" s="13"/>
      <c r="S54" s="13"/>
    </row>
    <row r="55" spans="1:19" x14ac:dyDescent="0.2">
      <c r="A55" s="12"/>
      <c r="B55" s="13"/>
      <c r="C55" s="13"/>
      <c r="D55" s="13"/>
      <c r="E55" s="13"/>
      <c r="F55" s="13"/>
      <c r="G55" s="13"/>
      <c r="H55" s="27"/>
      <c r="I55" s="27"/>
      <c r="J55" s="13"/>
      <c r="K55" s="15"/>
      <c r="L55" s="13"/>
      <c r="M55" s="13"/>
      <c r="N55" s="13"/>
      <c r="O55" s="13"/>
      <c r="P55" s="13"/>
      <c r="Q55" s="13"/>
      <c r="R55" s="13"/>
      <c r="S55" s="13"/>
    </row>
    <row r="56" spans="1:19" x14ac:dyDescent="0.2">
      <c r="A56" s="12"/>
      <c r="B56" s="13"/>
      <c r="C56" s="13"/>
      <c r="D56" s="13"/>
      <c r="E56" s="13"/>
      <c r="F56" s="13"/>
      <c r="G56" s="13"/>
      <c r="H56" s="27"/>
      <c r="I56" s="27"/>
      <c r="J56" s="13"/>
      <c r="K56" s="15"/>
      <c r="L56" s="13"/>
      <c r="M56" s="13"/>
      <c r="N56" s="13"/>
      <c r="O56" s="13"/>
      <c r="P56" s="13"/>
      <c r="Q56" s="13"/>
      <c r="R56" s="13"/>
      <c r="S56" s="13"/>
    </row>
    <row r="57" spans="1:19" ht="32" x14ac:dyDescent="0.2">
      <c r="A57" s="12" t="s">
        <v>415</v>
      </c>
      <c r="B57" s="13" t="s">
        <v>415</v>
      </c>
      <c r="C57" s="13" t="s">
        <v>178</v>
      </c>
      <c r="D57" s="13" t="s">
        <v>59</v>
      </c>
      <c r="E57" s="13" t="s">
        <v>426</v>
      </c>
      <c r="F57" s="13" t="s">
        <v>608</v>
      </c>
      <c r="G57" s="13" t="s">
        <v>617</v>
      </c>
      <c r="H57" s="27">
        <v>54.97</v>
      </c>
      <c r="I57" s="27"/>
      <c r="J57" s="13" t="s">
        <v>61</v>
      </c>
      <c r="K57" s="15" t="s">
        <v>62</v>
      </c>
      <c r="L57" s="13" t="s">
        <v>62</v>
      </c>
      <c r="M57" s="13" t="s">
        <v>62</v>
      </c>
      <c r="N57" s="13" t="s">
        <v>178</v>
      </c>
      <c r="O57" s="13" t="s">
        <v>179</v>
      </c>
      <c r="P57" s="13" t="s">
        <v>180</v>
      </c>
      <c r="Q57" s="13" t="s">
        <v>181</v>
      </c>
      <c r="R57" s="13" t="s">
        <v>66</v>
      </c>
      <c r="S57" s="13" t="s">
        <v>531</v>
      </c>
    </row>
    <row r="58" spans="1:19" x14ac:dyDescent="0.2">
      <c r="A58" s="7">
        <v>45693</v>
      </c>
      <c r="B58" s="17"/>
      <c r="C58" s="9" t="s">
        <v>592</v>
      </c>
      <c r="D58" s="9" t="s">
        <v>556</v>
      </c>
      <c r="E58" s="9" t="s">
        <v>557</v>
      </c>
      <c r="F58" s="9" t="s">
        <v>608</v>
      </c>
      <c r="G58" s="9" t="s">
        <v>622</v>
      </c>
      <c r="H58" s="11">
        <v>1115.76</v>
      </c>
      <c r="I58" s="11"/>
      <c r="J58" s="9" t="s">
        <v>558</v>
      </c>
      <c r="K58" s="9"/>
      <c r="L58" s="9">
        <v>-3557.49</v>
      </c>
      <c r="M58" s="9" t="s">
        <v>588</v>
      </c>
      <c r="N58" s="9" t="s">
        <v>593</v>
      </c>
      <c r="O58" s="9"/>
      <c r="P58" s="9"/>
      <c r="Q58" s="9"/>
      <c r="R58" s="9"/>
      <c r="S58" s="9"/>
    </row>
    <row r="59" spans="1:19" x14ac:dyDescent="0.2">
      <c r="A59" s="7">
        <v>45693</v>
      </c>
      <c r="B59" s="17"/>
      <c r="C59" s="9" t="s">
        <v>570</v>
      </c>
      <c r="D59" s="9" t="s">
        <v>556</v>
      </c>
      <c r="E59" s="9" t="s">
        <v>557</v>
      </c>
      <c r="F59" s="9" t="s">
        <v>608</v>
      </c>
      <c r="G59" s="9" t="s">
        <v>609</v>
      </c>
      <c r="H59" s="11">
        <v>200</v>
      </c>
      <c r="I59" s="11"/>
      <c r="J59" s="9" t="s">
        <v>558</v>
      </c>
      <c r="K59" s="9"/>
      <c r="L59" s="9">
        <v>-2441.73</v>
      </c>
      <c r="M59" s="9" t="s">
        <v>568</v>
      </c>
      <c r="N59" s="9" t="s">
        <v>571</v>
      </c>
      <c r="O59" s="9"/>
      <c r="P59" s="9"/>
      <c r="Q59" s="9"/>
      <c r="R59" s="9"/>
      <c r="S59" s="9"/>
    </row>
    <row r="60" spans="1:19" ht="32" x14ac:dyDescent="0.2">
      <c r="A60" s="12" t="s">
        <v>362</v>
      </c>
      <c r="B60" s="13" t="s">
        <v>362</v>
      </c>
      <c r="C60" s="13" t="s">
        <v>178</v>
      </c>
      <c r="D60" s="13" t="s">
        <v>75</v>
      </c>
      <c r="E60" s="13" t="s">
        <v>76</v>
      </c>
      <c r="F60" s="13" t="s">
        <v>608</v>
      </c>
      <c r="G60" s="13" t="s">
        <v>617</v>
      </c>
      <c r="H60" s="27">
        <v>93.72</v>
      </c>
      <c r="I60" s="27"/>
      <c r="J60" s="13" t="s">
        <v>61</v>
      </c>
      <c r="K60" s="15" t="s">
        <v>62</v>
      </c>
      <c r="L60" s="13" t="s">
        <v>62</v>
      </c>
      <c r="M60" s="13" t="s">
        <v>62</v>
      </c>
      <c r="N60" s="13" t="s">
        <v>178</v>
      </c>
      <c r="O60" s="13" t="s">
        <v>179</v>
      </c>
      <c r="P60" s="13" t="s">
        <v>180</v>
      </c>
      <c r="Q60" s="13" t="s">
        <v>181</v>
      </c>
      <c r="R60" s="13" t="s">
        <v>66</v>
      </c>
      <c r="S60" s="13" t="s">
        <v>363</v>
      </c>
    </row>
    <row r="61" spans="1:19" ht="32" x14ac:dyDescent="0.2">
      <c r="A61" s="12" t="s">
        <v>267</v>
      </c>
      <c r="B61" s="13" t="s">
        <v>252</v>
      </c>
      <c r="C61" s="13" t="s">
        <v>178</v>
      </c>
      <c r="D61" s="13" t="s">
        <v>75</v>
      </c>
      <c r="E61" s="13" t="s">
        <v>76</v>
      </c>
      <c r="F61" s="13" t="s">
        <v>608</v>
      </c>
      <c r="G61" s="13" t="s">
        <v>617</v>
      </c>
      <c r="H61" s="27">
        <v>88.43</v>
      </c>
      <c r="I61" s="27"/>
      <c r="J61" s="13" t="s">
        <v>61</v>
      </c>
      <c r="K61" s="15" t="s">
        <v>62</v>
      </c>
      <c r="L61" s="13" t="s">
        <v>62</v>
      </c>
      <c r="M61" s="13" t="s">
        <v>62</v>
      </c>
      <c r="N61" s="13" t="s">
        <v>178</v>
      </c>
      <c r="O61" s="13" t="s">
        <v>179</v>
      </c>
      <c r="P61" s="13" t="s">
        <v>180</v>
      </c>
      <c r="Q61" s="13" t="s">
        <v>181</v>
      </c>
      <c r="R61" s="13" t="s">
        <v>66</v>
      </c>
      <c r="S61" s="13" t="s">
        <v>278</v>
      </c>
    </row>
    <row r="62" spans="1:19" ht="32" x14ac:dyDescent="0.2">
      <c r="A62" s="12" t="s">
        <v>173</v>
      </c>
      <c r="B62" s="13" t="s">
        <v>173</v>
      </c>
      <c r="C62" s="13" t="s">
        <v>178</v>
      </c>
      <c r="D62" s="13" t="s">
        <v>59</v>
      </c>
      <c r="E62" s="13" t="s">
        <v>60</v>
      </c>
      <c r="F62" s="13" t="s">
        <v>608</v>
      </c>
      <c r="G62" s="13" t="s">
        <v>617</v>
      </c>
      <c r="H62" s="27">
        <v>265.66000000000003</v>
      </c>
      <c r="I62" s="27"/>
      <c r="J62" s="13" t="s">
        <v>61</v>
      </c>
      <c r="K62" s="15" t="s">
        <v>62</v>
      </c>
      <c r="L62" s="13" t="s">
        <v>62</v>
      </c>
      <c r="M62" s="13" t="s">
        <v>62</v>
      </c>
      <c r="N62" s="13" t="s">
        <v>178</v>
      </c>
      <c r="O62" s="13" t="s">
        <v>179</v>
      </c>
      <c r="P62" s="13" t="s">
        <v>180</v>
      </c>
      <c r="Q62" s="13" t="s">
        <v>181</v>
      </c>
      <c r="R62" s="13" t="s">
        <v>66</v>
      </c>
      <c r="S62" s="13" t="s">
        <v>182</v>
      </c>
    </row>
    <row r="63" spans="1:19" x14ac:dyDescent="0.2">
      <c r="A63" s="7">
        <v>45714</v>
      </c>
      <c r="B63" s="17"/>
      <c r="C63" s="9" t="s">
        <v>570</v>
      </c>
      <c r="D63" s="9" t="s">
        <v>556</v>
      </c>
      <c r="E63" s="9" t="s">
        <v>557</v>
      </c>
      <c r="F63" s="9" t="s">
        <v>608</v>
      </c>
      <c r="G63" s="9" t="s">
        <v>609</v>
      </c>
      <c r="H63" s="11">
        <v>130</v>
      </c>
      <c r="I63" s="11"/>
      <c r="J63" s="9" t="s">
        <v>558</v>
      </c>
      <c r="K63" s="9"/>
      <c r="L63" s="9">
        <v>-6087.85</v>
      </c>
      <c r="M63" s="9" t="s">
        <v>568</v>
      </c>
      <c r="N63" s="9" t="s">
        <v>571</v>
      </c>
      <c r="O63" s="9"/>
      <c r="P63" s="9"/>
      <c r="Q63" s="9"/>
      <c r="R63" s="9"/>
      <c r="S63" s="9"/>
    </row>
    <row r="64" spans="1:19" x14ac:dyDescent="0.2">
      <c r="A64" s="7">
        <v>45714</v>
      </c>
      <c r="B64" s="17"/>
      <c r="C64" s="9" t="s">
        <v>567</v>
      </c>
      <c r="D64" s="9" t="s">
        <v>556</v>
      </c>
      <c r="E64" s="9" t="s">
        <v>557</v>
      </c>
      <c r="F64" s="9" t="s">
        <v>608</v>
      </c>
      <c r="G64" s="9" t="s">
        <v>620</v>
      </c>
      <c r="H64" s="11">
        <v>503.76</v>
      </c>
      <c r="I64" s="11"/>
      <c r="J64" s="9" t="s">
        <v>558</v>
      </c>
      <c r="K64" s="9"/>
      <c r="L64" s="9">
        <v>-6591.61</v>
      </c>
      <c r="M64" s="9" t="s">
        <v>568</v>
      </c>
      <c r="N64" s="9" t="s">
        <v>569</v>
      </c>
      <c r="O64" s="9"/>
      <c r="P64" s="9"/>
      <c r="Q64" s="9"/>
      <c r="R64" s="9"/>
      <c r="S64" s="9"/>
    </row>
    <row r="65" spans="1:19" ht="32" x14ac:dyDescent="0.2">
      <c r="A65" s="12" t="s">
        <v>415</v>
      </c>
      <c r="B65" s="13" t="s">
        <v>413</v>
      </c>
      <c r="C65" s="13" t="s">
        <v>481</v>
      </c>
      <c r="D65" s="13" t="s">
        <v>59</v>
      </c>
      <c r="E65" s="13" t="s">
        <v>426</v>
      </c>
      <c r="F65" s="13" t="s">
        <v>605</v>
      </c>
      <c r="G65" s="13"/>
      <c r="H65" s="27">
        <v>34</v>
      </c>
      <c r="I65" s="27"/>
      <c r="J65" s="13" t="s">
        <v>61</v>
      </c>
      <c r="K65" s="15" t="s">
        <v>62</v>
      </c>
      <c r="L65" s="13" t="s">
        <v>62</v>
      </c>
      <c r="M65" s="13" t="s">
        <v>62</v>
      </c>
      <c r="N65" s="13" t="s">
        <v>481</v>
      </c>
      <c r="O65" s="13" t="s">
        <v>482</v>
      </c>
      <c r="P65" s="13" t="s">
        <v>62</v>
      </c>
      <c r="Q65" s="13" t="s">
        <v>483</v>
      </c>
      <c r="R65" s="13" t="s">
        <v>478</v>
      </c>
      <c r="S65" s="13" t="s">
        <v>528</v>
      </c>
    </row>
    <row r="66" spans="1:19" ht="32" x14ac:dyDescent="0.2">
      <c r="A66" s="12" t="s">
        <v>415</v>
      </c>
      <c r="B66" s="13" t="s">
        <v>413</v>
      </c>
      <c r="C66" s="13" t="s">
        <v>481</v>
      </c>
      <c r="D66" s="13" t="s">
        <v>59</v>
      </c>
      <c r="E66" s="13" t="s">
        <v>426</v>
      </c>
      <c r="F66" s="13" t="s">
        <v>605</v>
      </c>
      <c r="G66" s="13"/>
      <c r="H66" s="27">
        <v>33.18</v>
      </c>
      <c r="I66" s="27"/>
      <c r="J66" s="13" t="s">
        <v>529</v>
      </c>
      <c r="K66" s="15">
        <v>0.97</v>
      </c>
      <c r="L66" s="13" t="s">
        <v>62</v>
      </c>
      <c r="M66" s="13" t="s">
        <v>62</v>
      </c>
      <c r="N66" s="13" t="s">
        <v>481</v>
      </c>
      <c r="O66" s="13" t="s">
        <v>482</v>
      </c>
      <c r="P66" s="13" t="s">
        <v>62</v>
      </c>
      <c r="Q66" s="13" t="s">
        <v>483</v>
      </c>
      <c r="R66" s="13" t="s">
        <v>478</v>
      </c>
      <c r="S66" s="13" t="s">
        <v>530</v>
      </c>
    </row>
    <row r="67" spans="1:19" ht="32" x14ac:dyDescent="0.2">
      <c r="A67" s="12" t="s">
        <v>408</v>
      </c>
      <c r="B67" s="13" t="s">
        <v>403</v>
      </c>
      <c r="C67" s="13" t="s">
        <v>409</v>
      </c>
      <c r="D67" s="13" t="s">
        <v>75</v>
      </c>
      <c r="E67" s="13" t="s">
        <v>76</v>
      </c>
      <c r="F67" s="13" t="s">
        <v>605</v>
      </c>
      <c r="G67" s="13"/>
      <c r="H67" s="27">
        <v>2.99</v>
      </c>
      <c r="I67" s="27"/>
      <c r="J67" s="13" t="s">
        <v>61</v>
      </c>
      <c r="K67" s="15" t="s">
        <v>62</v>
      </c>
      <c r="L67" s="13" t="s">
        <v>62</v>
      </c>
      <c r="M67" s="13" t="s">
        <v>62</v>
      </c>
      <c r="N67" s="13" t="s">
        <v>409</v>
      </c>
      <c r="O67" s="13" t="s">
        <v>410</v>
      </c>
      <c r="P67" s="13" t="s">
        <v>64</v>
      </c>
      <c r="Q67" s="13" t="s">
        <v>65</v>
      </c>
      <c r="R67" s="13" t="s">
        <v>66</v>
      </c>
      <c r="S67" s="13" t="s">
        <v>411</v>
      </c>
    </row>
    <row r="68" spans="1:19" ht="32" x14ac:dyDescent="0.2">
      <c r="A68" s="12" t="s">
        <v>403</v>
      </c>
      <c r="B68" s="13" t="s">
        <v>398</v>
      </c>
      <c r="C68" s="13" t="s">
        <v>259</v>
      </c>
      <c r="D68" s="13" t="s">
        <v>75</v>
      </c>
      <c r="E68" s="13" t="s">
        <v>76</v>
      </c>
      <c r="F68" s="13" t="s">
        <v>605</v>
      </c>
      <c r="G68" s="13"/>
      <c r="H68" s="27">
        <v>85</v>
      </c>
      <c r="I68" s="27"/>
      <c r="J68" s="13" t="s">
        <v>61</v>
      </c>
      <c r="K68" s="15" t="s">
        <v>62</v>
      </c>
      <c r="L68" s="13" t="s">
        <v>62</v>
      </c>
      <c r="M68" s="13" t="s">
        <v>62</v>
      </c>
      <c r="N68" s="13" t="s">
        <v>259</v>
      </c>
      <c r="O68" s="13" t="s">
        <v>260</v>
      </c>
      <c r="P68" s="13" t="s">
        <v>261</v>
      </c>
      <c r="Q68" s="13" t="s">
        <v>262</v>
      </c>
      <c r="R68" s="13" t="s">
        <v>66</v>
      </c>
      <c r="S68" s="13" t="s">
        <v>404</v>
      </c>
    </row>
    <row r="69" spans="1:19" ht="48" x14ac:dyDescent="0.2">
      <c r="A69" s="12" t="s">
        <v>373</v>
      </c>
      <c r="B69" s="13" t="s">
        <v>367</v>
      </c>
      <c r="C69" s="13" t="s">
        <v>374</v>
      </c>
      <c r="D69" s="13" t="s">
        <v>59</v>
      </c>
      <c r="E69" s="13" t="s">
        <v>60</v>
      </c>
      <c r="F69" s="13" t="s">
        <v>605</v>
      </c>
      <c r="G69" s="13"/>
      <c r="H69" s="27">
        <v>21.2</v>
      </c>
      <c r="I69" s="27"/>
      <c r="J69" s="13" t="s">
        <v>61</v>
      </c>
      <c r="K69" s="15" t="s">
        <v>62</v>
      </c>
      <c r="L69" s="13" t="s">
        <v>62</v>
      </c>
      <c r="M69" s="13" t="s">
        <v>62</v>
      </c>
      <c r="N69" s="13" t="s">
        <v>374</v>
      </c>
      <c r="O69" s="13" t="s">
        <v>375</v>
      </c>
      <c r="P69" s="13" t="s">
        <v>376</v>
      </c>
      <c r="Q69" s="13" t="s">
        <v>377</v>
      </c>
      <c r="R69" s="13" t="s">
        <v>66</v>
      </c>
      <c r="S69" s="13" t="s">
        <v>378</v>
      </c>
    </row>
    <row r="70" spans="1:19" ht="32" x14ac:dyDescent="0.2">
      <c r="A70" s="12" t="s">
        <v>373</v>
      </c>
      <c r="B70" s="13" t="s">
        <v>367</v>
      </c>
      <c r="C70" s="13" t="s">
        <v>69</v>
      </c>
      <c r="D70" s="13" t="s">
        <v>59</v>
      </c>
      <c r="E70" s="13" t="s">
        <v>60</v>
      </c>
      <c r="F70" s="13" t="s">
        <v>605</v>
      </c>
      <c r="G70" s="13"/>
      <c r="H70" s="27">
        <v>25.95</v>
      </c>
      <c r="I70" s="27"/>
      <c r="J70" s="13" t="s">
        <v>61</v>
      </c>
      <c r="K70" s="15" t="s">
        <v>62</v>
      </c>
      <c r="L70" s="13" t="s">
        <v>62</v>
      </c>
      <c r="M70" s="13" t="s">
        <v>62</v>
      </c>
      <c r="N70" s="13" t="s">
        <v>69</v>
      </c>
      <c r="O70" s="13" t="s">
        <v>70</v>
      </c>
      <c r="P70" s="13" t="s">
        <v>71</v>
      </c>
      <c r="Q70" s="13" t="s">
        <v>72</v>
      </c>
      <c r="R70" s="13" t="s">
        <v>66</v>
      </c>
      <c r="S70" s="13" t="s">
        <v>379</v>
      </c>
    </row>
    <row r="71" spans="1:19" x14ac:dyDescent="0.2">
      <c r="A71" s="7">
        <v>45698</v>
      </c>
      <c r="B71" s="8"/>
      <c r="C71" s="9" t="s">
        <v>549</v>
      </c>
      <c r="D71" s="9" t="s">
        <v>537</v>
      </c>
      <c r="E71" s="9" t="s">
        <v>538</v>
      </c>
      <c r="F71" s="9" t="s">
        <v>605</v>
      </c>
      <c r="G71" s="9"/>
      <c r="H71" s="11">
        <v>12.37</v>
      </c>
      <c r="I71" s="11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7">
        <v>45698</v>
      </c>
      <c r="B72" s="8"/>
      <c r="C72" s="9" t="s">
        <v>547</v>
      </c>
      <c r="D72" s="9" t="s">
        <v>537</v>
      </c>
      <c r="E72" s="9" t="s">
        <v>538</v>
      </c>
      <c r="F72" s="9" t="s">
        <v>605</v>
      </c>
      <c r="G72" s="9"/>
      <c r="H72" s="11">
        <v>57.65</v>
      </c>
      <c r="I72" s="11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32" x14ac:dyDescent="0.2">
      <c r="A73" s="12" t="s">
        <v>354</v>
      </c>
      <c r="B73" s="13" t="s">
        <v>354</v>
      </c>
      <c r="C73" s="13" t="s">
        <v>259</v>
      </c>
      <c r="D73" s="13" t="s">
        <v>75</v>
      </c>
      <c r="E73" s="13" t="s">
        <v>76</v>
      </c>
      <c r="F73" s="13" t="s">
        <v>605</v>
      </c>
      <c r="G73" s="13"/>
      <c r="H73" s="27">
        <v>85</v>
      </c>
      <c r="I73" s="27"/>
      <c r="J73" s="13" t="s">
        <v>61</v>
      </c>
      <c r="K73" s="15" t="s">
        <v>62</v>
      </c>
      <c r="L73" s="13" t="s">
        <v>62</v>
      </c>
      <c r="M73" s="13" t="s">
        <v>62</v>
      </c>
      <c r="N73" s="13" t="s">
        <v>259</v>
      </c>
      <c r="O73" s="13" t="s">
        <v>260</v>
      </c>
      <c r="P73" s="13" t="s">
        <v>261</v>
      </c>
      <c r="Q73" s="13" t="s">
        <v>262</v>
      </c>
      <c r="R73" s="13" t="s">
        <v>66</v>
      </c>
      <c r="S73" s="13" t="s">
        <v>355</v>
      </c>
    </row>
    <row r="74" spans="1:19" x14ac:dyDescent="0.2">
      <c r="A74" s="7">
        <v>45698</v>
      </c>
      <c r="B74" s="8"/>
      <c r="C74" s="9" t="s">
        <v>548</v>
      </c>
      <c r="D74" s="9" t="s">
        <v>537</v>
      </c>
      <c r="E74" s="9" t="s">
        <v>538</v>
      </c>
      <c r="F74" s="9" t="s">
        <v>605</v>
      </c>
      <c r="G74" s="9"/>
      <c r="H74" s="11">
        <v>35</v>
      </c>
      <c r="I74" s="11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32" x14ac:dyDescent="0.2">
      <c r="A75" s="12" t="s">
        <v>340</v>
      </c>
      <c r="B75" s="13" t="s">
        <v>325</v>
      </c>
      <c r="C75" s="13" t="s">
        <v>425</v>
      </c>
      <c r="D75" s="13" t="s">
        <v>59</v>
      </c>
      <c r="E75" s="13" t="s">
        <v>426</v>
      </c>
      <c r="F75" s="13" t="s">
        <v>605</v>
      </c>
      <c r="G75" s="13"/>
      <c r="H75" s="27">
        <v>16.45</v>
      </c>
      <c r="I75" s="27"/>
      <c r="J75" s="13" t="s">
        <v>61</v>
      </c>
      <c r="K75" s="15" t="s">
        <v>62</v>
      </c>
      <c r="L75" s="13" t="s">
        <v>62</v>
      </c>
      <c r="M75" s="13" t="s">
        <v>62</v>
      </c>
      <c r="N75" s="13" t="s">
        <v>425</v>
      </c>
      <c r="O75" s="13" t="s">
        <v>410</v>
      </c>
      <c r="P75" s="13" t="s">
        <v>427</v>
      </c>
      <c r="Q75" s="13" t="s">
        <v>65</v>
      </c>
      <c r="R75" s="13" t="s">
        <v>66</v>
      </c>
      <c r="S75" s="13" t="s">
        <v>480</v>
      </c>
    </row>
    <row r="76" spans="1:19" x14ac:dyDescent="0.2">
      <c r="A76" s="7">
        <v>45699</v>
      </c>
      <c r="B76" s="17"/>
      <c r="C76" s="9" t="s">
        <v>583</v>
      </c>
      <c r="D76" s="9" t="s">
        <v>556</v>
      </c>
      <c r="E76" s="9" t="s">
        <v>557</v>
      </c>
      <c r="F76" s="9" t="s">
        <v>605</v>
      </c>
      <c r="G76" s="9"/>
      <c r="H76" s="11">
        <v>18.18</v>
      </c>
      <c r="I76" s="11"/>
      <c r="J76" s="9" t="s">
        <v>558</v>
      </c>
      <c r="K76" s="9"/>
      <c r="L76" s="9">
        <v>-4420.7299999999996</v>
      </c>
      <c r="M76" s="9" t="s">
        <v>581</v>
      </c>
      <c r="N76" s="9" t="s">
        <v>584</v>
      </c>
      <c r="O76" s="9"/>
      <c r="P76" s="9"/>
      <c r="Q76" s="9"/>
      <c r="R76" s="9"/>
      <c r="S76" s="9"/>
    </row>
    <row r="77" spans="1:19" ht="32" x14ac:dyDescent="0.2">
      <c r="A77" s="12" t="s">
        <v>340</v>
      </c>
      <c r="B77" s="13" t="s">
        <v>325</v>
      </c>
      <c r="C77" s="13" t="s">
        <v>481</v>
      </c>
      <c r="D77" s="13" t="s">
        <v>59</v>
      </c>
      <c r="E77" s="13" t="s">
        <v>426</v>
      </c>
      <c r="F77" s="13" t="s">
        <v>605</v>
      </c>
      <c r="G77" s="13"/>
      <c r="H77" s="27">
        <v>17.600000000000001</v>
      </c>
      <c r="I77" s="27"/>
      <c r="J77" s="13" t="s">
        <v>61</v>
      </c>
      <c r="K77" s="15" t="s">
        <v>62</v>
      </c>
      <c r="L77" s="13" t="s">
        <v>62</v>
      </c>
      <c r="M77" s="13" t="s">
        <v>62</v>
      </c>
      <c r="N77" s="13" t="s">
        <v>481</v>
      </c>
      <c r="O77" s="13" t="s">
        <v>482</v>
      </c>
      <c r="P77" s="13" t="s">
        <v>62</v>
      </c>
      <c r="Q77" s="13" t="s">
        <v>483</v>
      </c>
      <c r="R77" s="13" t="s">
        <v>478</v>
      </c>
      <c r="S77" s="13" t="s">
        <v>484</v>
      </c>
    </row>
    <row r="78" spans="1:19" ht="32" x14ac:dyDescent="0.2">
      <c r="A78" s="12" t="s">
        <v>340</v>
      </c>
      <c r="B78" s="13" t="s">
        <v>340</v>
      </c>
      <c r="C78" s="13" t="s">
        <v>341</v>
      </c>
      <c r="D78" s="13" t="s">
        <v>59</v>
      </c>
      <c r="E78" s="13" t="s">
        <v>60</v>
      </c>
      <c r="F78" s="13" t="s">
        <v>605</v>
      </c>
      <c r="G78" s="13"/>
      <c r="H78" s="27">
        <v>266.44</v>
      </c>
      <c r="I78" s="27"/>
      <c r="J78" s="13" t="s">
        <v>61</v>
      </c>
      <c r="K78" s="15" t="s">
        <v>62</v>
      </c>
      <c r="L78" s="13" t="s">
        <v>62</v>
      </c>
      <c r="M78" s="13" t="s">
        <v>62</v>
      </c>
      <c r="N78" s="13" t="s">
        <v>341</v>
      </c>
      <c r="O78" s="13" t="s">
        <v>342</v>
      </c>
      <c r="P78" s="13" t="s">
        <v>343</v>
      </c>
      <c r="Q78" s="13" t="s">
        <v>344</v>
      </c>
      <c r="R78" s="13" t="s">
        <v>66</v>
      </c>
      <c r="S78" s="13" t="s">
        <v>345</v>
      </c>
    </row>
    <row r="79" spans="1:19" ht="32" x14ac:dyDescent="0.2">
      <c r="A79" s="12" t="s">
        <v>308</v>
      </c>
      <c r="B79" s="13" t="s">
        <v>308</v>
      </c>
      <c r="C79" s="13" t="s">
        <v>69</v>
      </c>
      <c r="D79" s="13" t="s">
        <v>59</v>
      </c>
      <c r="E79" s="13" t="s">
        <v>60</v>
      </c>
      <c r="F79" s="13" t="s">
        <v>605</v>
      </c>
      <c r="G79" s="13"/>
      <c r="H79" s="27">
        <v>25.95</v>
      </c>
      <c r="I79" s="27"/>
      <c r="J79" s="13" t="s">
        <v>61</v>
      </c>
      <c r="K79" s="15" t="s">
        <v>62</v>
      </c>
      <c r="L79" s="13" t="s">
        <v>62</v>
      </c>
      <c r="M79" s="13" t="s">
        <v>62</v>
      </c>
      <c r="N79" s="13" t="s">
        <v>69</v>
      </c>
      <c r="O79" s="13" t="s">
        <v>70</v>
      </c>
      <c r="P79" s="13" t="s">
        <v>71</v>
      </c>
      <c r="Q79" s="13" t="s">
        <v>72</v>
      </c>
      <c r="R79" s="13" t="s">
        <v>66</v>
      </c>
      <c r="S79" s="13" t="s">
        <v>309</v>
      </c>
    </row>
    <row r="80" spans="1:19" ht="32" x14ac:dyDescent="0.2">
      <c r="A80" s="12" t="s">
        <v>287</v>
      </c>
      <c r="B80" s="13" t="s">
        <v>267</v>
      </c>
      <c r="C80" s="13" t="s">
        <v>288</v>
      </c>
      <c r="D80" s="13" t="s">
        <v>59</v>
      </c>
      <c r="E80" s="13" t="s">
        <v>60</v>
      </c>
      <c r="F80" s="13" t="s">
        <v>605</v>
      </c>
      <c r="G80" s="13"/>
      <c r="H80" s="27">
        <v>75</v>
      </c>
      <c r="I80" s="27"/>
      <c r="J80" s="13" t="s">
        <v>61</v>
      </c>
      <c r="K80" s="15" t="s">
        <v>62</v>
      </c>
      <c r="L80" s="13" t="s">
        <v>62</v>
      </c>
      <c r="M80" s="13" t="s">
        <v>62</v>
      </c>
      <c r="N80" s="13" t="s">
        <v>288</v>
      </c>
      <c r="O80" s="13" t="s">
        <v>289</v>
      </c>
      <c r="P80" s="13" t="s">
        <v>64</v>
      </c>
      <c r="Q80" s="13" t="s">
        <v>65</v>
      </c>
      <c r="R80" s="13" t="s">
        <v>66</v>
      </c>
      <c r="S80" s="13" t="s">
        <v>290</v>
      </c>
    </row>
    <row r="81" spans="1:19" ht="32" x14ac:dyDescent="0.2">
      <c r="A81" s="12" t="s">
        <v>267</v>
      </c>
      <c r="B81" s="13" t="s">
        <v>267</v>
      </c>
      <c r="C81" s="13" t="s">
        <v>268</v>
      </c>
      <c r="D81" s="13" t="s">
        <v>59</v>
      </c>
      <c r="E81" s="13" t="s">
        <v>60</v>
      </c>
      <c r="F81" s="13" t="s">
        <v>605</v>
      </c>
      <c r="G81" s="13"/>
      <c r="H81" s="27">
        <v>27</v>
      </c>
      <c r="I81" s="27"/>
      <c r="J81" s="13" t="s">
        <v>61</v>
      </c>
      <c r="K81" s="15" t="s">
        <v>62</v>
      </c>
      <c r="L81" s="13" t="s">
        <v>62</v>
      </c>
      <c r="M81" s="13" t="s">
        <v>62</v>
      </c>
      <c r="N81" s="13" t="s">
        <v>268</v>
      </c>
      <c r="O81" s="13" t="s">
        <v>269</v>
      </c>
      <c r="P81" s="13" t="s">
        <v>180</v>
      </c>
      <c r="Q81" s="13" t="s">
        <v>181</v>
      </c>
      <c r="R81" s="13" t="s">
        <v>66</v>
      </c>
      <c r="S81" s="13" t="s">
        <v>270</v>
      </c>
    </row>
    <row r="82" spans="1:19" ht="32" x14ac:dyDescent="0.2">
      <c r="A82" s="12" t="s">
        <v>267</v>
      </c>
      <c r="B82" s="13" t="s">
        <v>252</v>
      </c>
      <c r="C82" s="13" t="s">
        <v>273</v>
      </c>
      <c r="D82" s="13" t="s">
        <v>59</v>
      </c>
      <c r="E82" s="13" t="s">
        <v>60</v>
      </c>
      <c r="F82" s="13" t="s">
        <v>605</v>
      </c>
      <c r="G82" s="13"/>
      <c r="H82" s="27">
        <v>375</v>
      </c>
      <c r="I82" s="27"/>
      <c r="J82" s="13" t="s">
        <v>61</v>
      </c>
      <c r="K82" s="15" t="s">
        <v>62</v>
      </c>
      <c r="L82" s="13" t="s">
        <v>62</v>
      </c>
      <c r="M82" s="13" t="s">
        <v>62</v>
      </c>
      <c r="N82" s="13" t="s">
        <v>273</v>
      </c>
      <c r="O82" s="13" t="s">
        <v>274</v>
      </c>
      <c r="P82" s="13" t="s">
        <v>275</v>
      </c>
      <c r="Q82" s="13" t="s">
        <v>276</v>
      </c>
      <c r="R82" s="13" t="s">
        <v>66</v>
      </c>
      <c r="S82" s="13" t="s">
        <v>277</v>
      </c>
    </row>
    <row r="83" spans="1:19" x14ac:dyDescent="0.2">
      <c r="A83" s="7">
        <v>45705</v>
      </c>
      <c r="B83" s="17"/>
      <c r="C83" s="9" t="s">
        <v>572</v>
      </c>
      <c r="D83" s="9" t="s">
        <v>556</v>
      </c>
      <c r="E83" s="9" t="s">
        <v>557</v>
      </c>
      <c r="F83" s="9" t="s">
        <v>605</v>
      </c>
      <c r="G83" s="9"/>
      <c r="H83" s="11">
        <v>62.99</v>
      </c>
      <c r="I83" s="11"/>
      <c r="J83" s="9" t="s">
        <v>558</v>
      </c>
      <c r="K83" s="9"/>
      <c r="L83" s="9">
        <v>-5860.9</v>
      </c>
      <c r="M83" s="9" t="s">
        <v>573</v>
      </c>
      <c r="N83" s="9" t="s">
        <v>574</v>
      </c>
      <c r="O83" s="9"/>
      <c r="P83" s="9"/>
      <c r="Q83" s="9"/>
      <c r="R83" s="9"/>
      <c r="S83" s="9"/>
    </row>
    <row r="84" spans="1:19" x14ac:dyDescent="0.2">
      <c r="A84" s="7">
        <v>45705</v>
      </c>
      <c r="B84" s="17"/>
      <c r="C84" s="9" t="s">
        <v>572</v>
      </c>
      <c r="D84" s="9" t="s">
        <v>556</v>
      </c>
      <c r="E84" s="9" t="s">
        <v>557</v>
      </c>
      <c r="F84" s="9" t="s">
        <v>605</v>
      </c>
      <c r="G84" s="9"/>
      <c r="H84" s="11">
        <v>12.49</v>
      </c>
      <c r="I84" s="11"/>
      <c r="J84" s="9" t="s">
        <v>558</v>
      </c>
      <c r="K84" s="9"/>
      <c r="L84" s="9">
        <v>-5797.91</v>
      </c>
      <c r="M84" s="9" t="s">
        <v>573</v>
      </c>
      <c r="N84" s="9" t="s">
        <v>574</v>
      </c>
      <c r="O84" s="9"/>
      <c r="P84" s="9"/>
      <c r="Q84" s="9"/>
      <c r="R84" s="9"/>
      <c r="S84" s="9"/>
    </row>
    <row r="85" spans="1:19" ht="32" x14ac:dyDescent="0.2">
      <c r="A85" s="12" t="s">
        <v>252</v>
      </c>
      <c r="B85" s="13" t="s">
        <v>233</v>
      </c>
      <c r="C85" s="13" t="s">
        <v>249</v>
      </c>
      <c r="D85" s="13" t="s">
        <v>59</v>
      </c>
      <c r="E85" s="13" t="s">
        <v>60</v>
      </c>
      <c r="F85" s="13" t="s">
        <v>605</v>
      </c>
      <c r="G85" s="13"/>
      <c r="H85" s="27">
        <v>9.6</v>
      </c>
      <c r="I85" s="27"/>
      <c r="J85" s="13" t="s">
        <v>61</v>
      </c>
      <c r="K85" s="15" t="s">
        <v>62</v>
      </c>
      <c r="L85" s="13" t="s">
        <v>62</v>
      </c>
      <c r="M85" s="13" t="s">
        <v>62</v>
      </c>
      <c r="N85" s="13" t="s">
        <v>249</v>
      </c>
      <c r="O85" s="13" t="s">
        <v>250</v>
      </c>
      <c r="P85" s="13" t="s">
        <v>64</v>
      </c>
      <c r="Q85" s="13" t="s">
        <v>65</v>
      </c>
      <c r="R85" s="13" t="s">
        <v>66</v>
      </c>
      <c r="S85" s="13" t="s">
        <v>253</v>
      </c>
    </row>
    <row r="86" spans="1:19" ht="32" x14ac:dyDescent="0.2">
      <c r="A86" s="12" t="s">
        <v>252</v>
      </c>
      <c r="B86" s="13" t="s">
        <v>252</v>
      </c>
      <c r="C86" s="13" t="s">
        <v>259</v>
      </c>
      <c r="D86" s="13" t="s">
        <v>75</v>
      </c>
      <c r="E86" s="13" t="s">
        <v>76</v>
      </c>
      <c r="F86" s="13" t="s">
        <v>605</v>
      </c>
      <c r="G86" s="13"/>
      <c r="H86" s="27">
        <v>85</v>
      </c>
      <c r="I86" s="27"/>
      <c r="J86" s="13" t="s">
        <v>61</v>
      </c>
      <c r="K86" s="15" t="s">
        <v>62</v>
      </c>
      <c r="L86" s="13" t="s">
        <v>62</v>
      </c>
      <c r="M86" s="13" t="s">
        <v>62</v>
      </c>
      <c r="N86" s="13" t="s">
        <v>259</v>
      </c>
      <c r="O86" s="13" t="s">
        <v>260</v>
      </c>
      <c r="P86" s="13" t="s">
        <v>261</v>
      </c>
      <c r="Q86" s="13" t="s">
        <v>262</v>
      </c>
      <c r="R86" s="13" t="s">
        <v>66</v>
      </c>
      <c r="S86" s="13" t="s">
        <v>263</v>
      </c>
    </row>
    <row r="87" spans="1:19" ht="32" x14ac:dyDescent="0.2">
      <c r="A87" s="12" t="s">
        <v>241</v>
      </c>
      <c r="B87" s="13" t="s">
        <v>233</v>
      </c>
      <c r="C87" s="13" t="s">
        <v>249</v>
      </c>
      <c r="D87" s="13" t="s">
        <v>59</v>
      </c>
      <c r="E87" s="13" t="s">
        <v>60</v>
      </c>
      <c r="F87" s="13" t="s">
        <v>605</v>
      </c>
      <c r="G87" s="13"/>
      <c r="H87" s="27">
        <v>19.2</v>
      </c>
      <c r="I87" s="27"/>
      <c r="J87" s="13" t="s">
        <v>61</v>
      </c>
      <c r="K87" s="15" t="s">
        <v>62</v>
      </c>
      <c r="L87" s="13" t="s">
        <v>62</v>
      </c>
      <c r="M87" s="13" t="s">
        <v>62</v>
      </c>
      <c r="N87" s="13" t="s">
        <v>249</v>
      </c>
      <c r="O87" s="13" t="s">
        <v>250</v>
      </c>
      <c r="P87" s="13" t="s">
        <v>64</v>
      </c>
      <c r="Q87" s="13" t="s">
        <v>65</v>
      </c>
      <c r="R87" s="13" t="s">
        <v>66</v>
      </c>
      <c r="S87" s="13" t="s">
        <v>251</v>
      </c>
    </row>
    <row r="88" spans="1:19" ht="32" x14ac:dyDescent="0.2">
      <c r="A88" s="12" t="s">
        <v>227</v>
      </c>
      <c r="B88" s="13" t="s">
        <v>227</v>
      </c>
      <c r="C88" s="13" t="s">
        <v>123</v>
      </c>
      <c r="D88" s="13" t="s">
        <v>75</v>
      </c>
      <c r="E88" s="13" t="s">
        <v>76</v>
      </c>
      <c r="F88" s="13" t="s">
        <v>605</v>
      </c>
      <c r="G88" s="13"/>
      <c r="H88" s="27">
        <v>32.24</v>
      </c>
      <c r="I88" s="27"/>
      <c r="J88" s="13" t="s">
        <v>61</v>
      </c>
      <c r="K88" s="15" t="s">
        <v>62</v>
      </c>
      <c r="L88" s="13" t="s">
        <v>62</v>
      </c>
      <c r="M88" s="13" t="s">
        <v>62</v>
      </c>
      <c r="N88" s="13" t="s">
        <v>123</v>
      </c>
      <c r="O88" s="13" t="s">
        <v>124</v>
      </c>
      <c r="P88" s="13" t="s">
        <v>125</v>
      </c>
      <c r="Q88" s="13" t="s">
        <v>126</v>
      </c>
      <c r="R88" s="13" t="s">
        <v>66</v>
      </c>
      <c r="S88" s="13" t="s">
        <v>230</v>
      </c>
    </row>
    <row r="89" spans="1:19" ht="32" x14ac:dyDescent="0.2">
      <c r="A89" s="12" t="s">
        <v>227</v>
      </c>
      <c r="B89" s="13" t="s">
        <v>227</v>
      </c>
      <c r="C89" s="13" t="s">
        <v>123</v>
      </c>
      <c r="D89" s="13" t="s">
        <v>75</v>
      </c>
      <c r="E89" s="13" t="s">
        <v>76</v>
      </c>
      <c r="F89" s="13" t="s">
        <v>605</v>
      </c>
      <c r="G89" s="13"/>
      <c r="H89" s="27">
        <v>66.63</v>
      </c>
      <c r="I89" s="27"/>
      <c r="J89" s="13" t="s">
        <v>61</v>
      </c>
      <c r="K89" s="15" t="s">
        <v>62</v>
      </c>
      <c r="L89" s="13" t="s">
        <v>62</v>
      </c>
      <c r="M89" s="13" t="s">
        <v>62</v>
      </c>
      <c r="N89" s="13" t="s">
        <v>123</v>
      </c>
      <c r="O89" s="13" t="s">
        <v>124</v>
      </c>
      <c r="P89" s="13" t="s">
        <v>125</v>
      </c>
      <c r="Q89" s="13" t="s">
        <v>126</v>
      </c>
      <c r="R89" s="13" t="s">
        <v>66</v>
      </c>
      <c r="S89" s="13" t="s">
        <v>231</v>
      </c>
    </row>
    <row r="90" spans="1:19" ht="32" x14ac:dyDescent="0.2">
      <c r="A90" s="12" t="s">
        <v>196</v>
      </c>
      <c r="B90" s="13" t="s">
        <v>192</v>
      </c>
      <c r="C90" s="13" t="s">
        <v>197</v>
      </c>
      <c r="D90" s="13" t="s">
        <v>59</v>
      </c>
      <c r="E90" s="13" t="s">
        <v>60</v>
      </c>
      <c r="F90" s="13" t="s">
        <v>605</v>
      </c>
      <c r="G90" s="13"/>
      <c r="H90" s="27">
        <v>13.07</v>
      </c>
      <c r="I90" s="27"/>
      <c r="J90" s="13" t="s">
        <v>198</v>
      </c>
      <c r="K90" s="15">
        <v>0.38</v>
      </c>
      <c r="L90" s="13" t="s">
        <v>62</v>
      </c>
      <c r="M90" s="13" t="s">
        <v>62</v>
      </c>
      <c r="N90" s="13" t="s">
        <v>197</v>
      </c>
      <c r="O90" s="13" t="s">
        <v>199</v>
      </c>
      <c r="P90" s="13" t="s">
        <v>200</v>
      </c>
      <c r="Q90" s="13" t="s">
        <v>201</v>
      </c>
      <c r="R90" s="13" t="s">
        <v>139</v>
      </c>
      <c r="S90" s="13" t="s">
        <v>202</v>
      </c>
    </row>
    <row r="91" spans="1:19" ht="32" x14ac:dyDescent="0.2">
      <c r="A91" s="12" t="s">
        <v>196</v>
      </c>
      <c r="B91" s="13" t="s">
        <v>196</v>
      </c>
      <c r="C91" s="13" t="s">
        <v>69</v>
      </c>
      <c r="D91" s="13" t="s">
        <v>59</v>
      </c>
      <c r="E91" s="13" t="s">
        <v>60</v>
      </c>
      <c r="F91" s="13" t="s">
        <v>605</v>
      </c>
      <c r="G91" s="13"/>
      <c r="H91" s="27">
        <v>25.95</v>
      </c>
      <c r="I91" s="27"/>
      <c r="J91" s="13" t="s">
        <v>61</v>
      </c>
      <c r="K91" s="15" t="s">
        <v>62</v>
      </c>
      <c r="L91" s="13" t="s">
        <v>62</v>
      </c>
      <c r="M91" s="13" t="s">
        <v>62</v>
      </c>
      <c r="N91" s="13" t="s">
        <v>69</v>
      </c>
      <c r="O91" s="13" t="s">
        <v>70</v>
      </c>
      <c r="P91" s="13" t="s">
        <v>71</v>
      </c>
      <c r="Q91" s="13" t="s">
        <v>72</v>
      </c>
      <c r="R91" s="13" t="s">
        <v>66</v>
      </c>
      <c r="S91" s="13" t="s">
        <v>213</v>
      </c>
    </row>
    <row r="92" spans="1:19" ht="32" x14ac:dyDescent="0.2">
      <c r="A92" s="12" t="s">
        <v>196</v>
      </c>
      <c r="B92" s="13" t="s">
        <v>166</v>
      </c>
      <c r="C92" s="13" t="s">
        <v>214</v>
      </c>
      <c r="D92" s="13" t="s">
        <v>59</v>
      </c>
      <c r="E92" s="13" t="s">
        <v>60</v>
      </c>
      <c r="F92" s="13" t="s">
        <v>605</v>
      </c>
      <c r="G92" s="13"/>
      <c r="H92" s="27">
        <v>11.2</v>
      </c>
      <c r="I92" s="27"/>
      <c r="J92" s="13" t="s">
        <v>61</v>
      </c>
      <c r="K92" s="15" t="s">
        <v>62</v>
      </c>
      <c r="L92" s="13" t="s">
        <v>62</v>
      </c>
      <c r="M92" s="13" t="s">
        <v>62</v>
      </c>
      <c r="N92" s="13" t="s">
        <v>214</v>
      </c>
      <c r="O92" s="13" t="s">
        <v>215</v>
      </c>
      <c r="P92" s="13" t="s">
        <v>216</v>
      </c>
      <c r="Q92" s="13" t="s">
        <v>159</v>
      </c>
      <c r="R92" s="13" t="s">
        <v>66</v>
      </c>
      <c r="S92" s="13" t="s">
        <v>217</v>
      </c>
    </row>
    <row r="93" spans="1:19" ht="32" x14ac:dyDescent="0.2">
      <c r="A93" s="12" t="s">
        <v>196</v>
      </c>
      <c r="B93" s="13" t="s">
        <v>192</v>
      </c>
      <c r="C93" s="13" t="s">
        <v>218</v>
      </c>
      <c r="D93" s="13" t="s">
        <v>75</v>
      </c>
      <c r="E93" s="13" t="s">
        <v>76</v>
      </c>
      <c r="F93" s="13" t="s">
        <v>605</v>
      </c>
      <c r="G93" s="13"/>
      <c r="H93" s="27">
        <v>9.06</v>
      </c>
      <c r="I93" s="27"/>
      <c r="J93" s="13" t="s">
        <v>61</v>
      </c>
      <c r="K93" s="15" t="s">
        <v>62</v>
      </c>
      <c r="L93" s="13" t="s">
        <v>62</v>
      </c>
      <c r="M93" s="13" t="s">
        <v>62</v>
      </c>
      <c r="N93" s="13" t="s">
        <v>218</v>
      </c>
      <c r="O93" s="13" t="s">
        <v>219</v>
      </c>
      <c r="P93" s="13" t="s">
        <v>220</v>
      </c>
      <c r="Q93" s="13" t="s">
        <v>159</v>
      </c>
      <c r="R93" s="13" t="s">
        <v>66</v>
      </c>
      <c r="S93" s="13" t="s">
        <v>221</v>
      </c>
    </row>
    <row r="94" spans="1:19" ht="48" x14ac:dyDescent="0.2">
      <c r="A94" s="12" t="s">
        <v>173</v>
      </c>
      <c r="B94" s="13" t="s">
        <v>173</v>
      </c>
      <c r="C94" s="13" t="s">
        <v>175</v>
      </c>
      <c r="D94" s="13" t="s">
        <v>75</v>
      </c>
      <c r="E94" s="13" t="s">
        <v>76</v>
      </c>
      <c r="F94" s="13" t="s">
        <v>605</v>
      </c>
      <c r="G94" s="13"/>
      <c r="H94" s="27">
        <v>31.8</v>
      </c>
      <c r="I94" s="27"/>
      <c r="J94" s="13" t="s">
        <v>61</v>
      </c>
      <c r="K94" s="15" t="s">
        <v>62</v>
      </c>
      <c r="L94" s="13" t="s">
        <v>62</v>
      </c>
      <c r="M94" s="13" t="s">
        <v>62</v>
      </c>
      <c r="N94" s="13" t="s">
        <v>175</v>
      </c>
      <c r="O94" s="13" t="s">
        <v>176</v>
      </c>
      <c r="P94" s="13" t="s">
        <v>64</v>
      </c>
      <c r="Q94" s="13" t="s">
        <v>65</v>
      </c>
      <c r="R94" s="13" t="s">
        <v>66</v>
      </c>
      <c r="S94" s="13" t="s">
        <v>177</v>
      </c>
    </row>
    <row r="95" spans="1:19" ht="32" x14ac:dyDescent="0.2">
      <c r="A95" s="12" t="s">
        <v>141</v>
      </c>
      <c r="B95" s="13" t="s">
        <v>141</v>
      </c>
      <c r="C95" s="13" t="s">
        <v>145</v>
      </c>
      <c r="D95" s="13" t="s">
        <v>59</v>
      </c>
      <c r="E95" s="13" t="s">
        <v>60</v>
      </c>
      <c r="F95" s="13" t="s">
        <v>605</v>
      </c>
      <c r="G95" s="13"/>
      <c r="H95" s="27">
        <v>20.95</v>
      </c>
      <c r="I95" s="27"/>
      <c r="J95" s="13" t="s">
        <v>61</v>
      </c>
      <c r="K95" s="15" t="s">
        <v>62</v>
      </c>
      <c r="L95" s="13" t="s">
        <v>62</v>
      </c>
      <c r="M95" s="13" t="s">
        <v>62</v>
      </c>
      <c r="N95" s="13" t="s">
        <v>145</v>
      </c>
      <c r="O95" s="13" t="s">
        <v>146</v>
      </c>
      <c r="P95" s="13" t="s">
        <v>147</v>
      </c>
      <c r="Q95" s="13" t="s">
        <v>148</v>
      </c>
      <c r="R95" s="13" t="s">
        <v>66</v>
      </c>
      <c r="S95" s="13" t="s">
        <v>149</v>
      </c>
    </row>
    <row r="96" spans="1:19" ht="32" x14ac:dyDescent="0.2">
      <c r="A96" s="12" t="s">
        <v>114</v>
      </c>
      <c r="B96" s="13" t="s">
        <v>57</v>
      </c>
      <c r="C96" s="13" t="s">
        <v>120</v>
      </c>
      <c r="D96" s="13" t="s">
        <v>59</v>
      </c>
      <c r="E96" s="13" t="s">
        <v>60</v>
      </c>
      <c r="F96" s="13" t="s">
        <v>605</v>
      </c>
      <c r="G96" s="13"/>
      <c r="H96" s="27">
        <v>25</v>
      </c>
      <c r="I96" s="27"/>
      <c r="J96" s="13" t="s">
        <v>61</v>
      </c>
      <c r="K96" s="15" t="s">
        <v>62</v>
      </c>
      <c r="L96" s="13" t="s">
        <v>62</v>
      </c>
      <c r="M96" s="13" t="s">
        <v>62</v>
      </c>
      <c r="N96" s="13" t="s">
        <v>120</v>
      </c>
      <c r="O96" s="13" t="s">
        <v>121</v>
      </c>
      <c r="P96" s="13" t="s">
        <v>64</v>
      </c>
      <c r="Q96" s="13" t="s">
        <v>65</v>
      </c>
      <c r="R96" s="13" t="s">
        <v>66</v>
      </c>
      <c r="S96" s="13" t="s">
        <v>122</v>
      </c>
    </row>
    <row r="97" spans="1:19" ht="32" x14ac:dyDescent="0.2">
      <c r="A97" s="12" t="s">
        <v>114</v>
      </c>
      <c r="B97" s="13" t="s">
        <v>114</v>
      </c>
      <c r="C97" s="13" t="s">
        <v>123</v>
      </c>
      <c r="D97" s="13" t="s">
        <v>75</v>
      </c>
      <c r="E97" s="13" t="s">
        <v>76</v>
      </c>
      <c r="F97" s="13" t="s">
        <v>605</v>
      </c>
      <c r="G97" s="13"/>
      <c r="H97" s="27">
        <v>32.24</v>
      </c>
      <c r="I97" s="27"/>
      <c r="J97" s="13" t="s">
        <v>61</v>
      </c>
      <c r="K97" s="15" t="s">
        <v>62</v>
      </c>
      <c r="L97" s="13" t="s">
        <v>62</v>
      </c>
      <c r="M97" s="13" t="s">
        <v>62</v>
      </c>
      <c r="N97" s="13" t="s">
        <v>123</v>
      </c>
      <c r="O97" s="13" t="s">
        <v>124</v>
      </c>
      <c r="P97" s="13" t="s">
        <v>125</v>
      </c>
      <c r="Q97" s="13" t="s">
        <v>126</v>
      </c>
      <c r="R97" s="13" t="s">
        <v>66</v>
      </c>
      <c r="S97" s="13" t="s">
        <v>127</v>
      </c>
    </row>
    <row r="98" spans="1:19" ht="32" x14ac:dyDescent="0.2">
      <c r="A98" s="12" t="s">
        <v>57</v>
      </c>
      <c r="B98" s="13" t="s">
        <v>57</v>
      </c>
      <c r="C98" s="13" t="s">
        <v>425</v>
      </c>
      <c r="D98" s="13" t="s">
        <v>59</v>
      </c>
      <c r="E98" s="13" t="s">
        <v>426</v>
      </c>
      <c r="F98" s="13" t="s">
        <v>605</v>
      </c>
      <c r="G98" s="13"/>
      <c r="H98" s="27">
        <v>5.99</v>
      </c>
      <c r="I98" s="27"/>
      <c r="J98" s="13" t="s">
        <v>61</v>
      </c>
      <c r="K98" s="15" t="s">
        <v>62</v>
      </c>
      <c r="L98" s="13" t="s">
        <v>62</v>
      </c>
      <c r="M98" s="13" t="s">
        <v>62</v>
      </c>
      <c r="N98" s="13" t="s">
        <v>425</v>
      </c>
      <c r="O98" s="13" t="s">
        <v>410</v>
      </c>
      <c r="P98" s="13" t="s">
        <v>427</v>
      </c>
      <c r="Q98" s="13" t="s">
        <v>65</v>
      </c>
      <c r="R98" s="13" t="s">
        <v>66</v>
      </c>
      <c r="S98" s="13" t="s">
        <v>428</v>
      </c>
    </row>
    <row r="99" spans="1:19" ht="32" x14ac:dyDescent="0.2">
      <c r="A99" s="12" t="s">
        <v>57</v>
      </c>
      <c r="B99" s="13" t="s">
        <v>68</v>
      </c>
      <c r="C99" s="13" t="s">
        <v>69</v>
      </c>
      <c r="D99" s="13" t="s">
        <v>59</v>
      </c>
      <c r="E99" s="13" t="s">
        <v>60</v>
      </c>
      <c r="F99" s="13" t="s">
        <v>605</v>
      </c>
      <c r="G99" s="13"/>
      <c r="H99" s="27">
        <v>22.24</v>
      </c>
      <c r="I99" s="27"/>
      <c r="J99" s="13" t="s">
        <v>61</v>
      </c>
      <c r="K99" s="15" t="s">
        <v>62</v>
      </c>
      <c r="L99" s="13" t="s">
        <v>62</v>
      </c>
      <c r="M99" s="13" t="s">
        <v>62</v>
      </c>
      <c r="N99" s="13" t="s">
        <v>69</v>
      </c>
      <c r="O99" s="13" t="s">
        <v>70</v>
      </c>
      <c r="P99" s="13" t="s">
        <v>71</v>
      </c>
      <c r="Q99" s="13" t="s">
        <v>72</v>
      </c>
      <c r="R99" s="13" t="s">
        <v>66</v>
      </c>
      <c r="S99" s="13" t="s">
        <v>73</v>
      </c>
    </row>
    <row r="100" spans="1:19" ht="32" x14ac:dyDescent="0.2">
      <c r="A100" s="12" t="s">
        <v>415</v>
      </c>
      <c r="B100" s="13" t="s">
        <v>415</v>
      </c>
      <c r="C100" s="13" t="s">
        <v>532</v>
      </c>
      <c r="D100" s="13" t="s">
        <v>59</v>
      </c>
      <c r="E100" s="13" t="s">
        <v>426</v>
      </c>
      <c r="F100" s="13"/>
      <c r="G100" s="13"/>
      <c r="H100" s="27">
        <v>473.1</v>
      </c>
      <c r="I100" s="27"/>
      <c r="J100" s="13" t="s">
        <v>61</v>
      </c>
      <c r="K100" s="15" t="s">
        <v>62</v>
      </c>
      <c r="L100" s="13" t="s">
        <v>62</v>
      </c>
      <c r="M100" s="13" t="s">
        <v>62</v>
      </c>
      <c r="N100" s="13" t="s">
        <v>532</v>
      </c>
      <c r="O100" s="13" t="s">
        <v>533</v>
      </c>
      <c r="P100" s="13" t="s">
        <v>534</v>
      </c>
      <c r="Q100" s="13" t="s">
        <v>181</v>
      </c>
      <c r="R100" s="13" t="s">
        <v>66</v>
      </c>
      <c r="S100" s="13" t="s">
        <v>535</v>
      </c>
    </row>
    <row r="101" spans="1:19" ht="64" x14ac:dyDescent="0.2">
      <c r="A101" s="12" t="s">
        <v>415</v>
      </c>
      <c r="B101" s="13" t="s">
        <v>415</v>
      </c>
      <c r="C101" s="13" t="s">
        <v>421</v>
      </c>
      <c r="D101" s="13" t="s">
        <v>75</v>
      </c>
      <c r="E101" s="13" t="s">
        <v>76</v>
      </c>
      <c r="F101" s="13"/>
      <c r="G101" s="13"/>
      <c r="H101" s="27">
        <v>123.33</v>
      </c>
      <c r="I101" s="27"/>
      <c r="J101" s="13" t="s">
        <v>61</v>
      </c>
      <c r="K101" s="15" t="s">
        <v>62</v>
      </c>
      <c r="L101" s="13" t="s">
        <v>62</v>
      </c>
      <c r="M101" s="13" t="s">
        <v>422</v>
      </c>
      <c r="N101" s="13" t="s">
        <v>421</v>
      </c>
      <c r="O101" s="13" t="s">
        <v>423</v>
      </c>
      <c r="P101" s="13" t="s">
        <v>64</v>
      </c>
      <c r="Q101" s="13" t="s">
        <v>65</v>
      </c>
      <c r="R101" s="13" t="s">
        <v>66</v>
      </c>
      <c r="S101" s="13" t="s">
        <v>424</v>
      </c>
    </row>
    <row r="102" spans="1:19" ht="32" x14ac:dyDescent="0.2">
      <c r="A102" s="12" t="s">
        <v>413</v>
      </c>
      <c r="B102" s="13" t="s">
        <v>412</v>
      </c>
      <c r="C102" s="13" t="s">
        <v>368</v>
      </c>
      <c r="D102" s="13" t="s">
        <v>59</v>
      </c>
      <c r="E102" s="13" t="s">
        <v>426</v>
      </c>
      <c r="F102" s="13"/>
      <c r="G102" s="13"/>
      <c r="H102" s="27">
        <v>44</v>
      </c>
      <c r="I102" s="27"/>
      <c r="J102" s="13" t="s">
        <v>61</v>
      </c>
      <c r="K102" s="15" t="s">
        <v>62</v>
      </c>
      <c r="L102" s="13" t="s">
        <v>62</v>
      </c>
      <c r="M102" s="13" t="s">
        <v>62</v>
      </c>
      <c r="N102" s="13" t="s">
        <v>368</v>
      </c>
      <c r="O102" s="13" t="s">
        <v>369</v>
      </c>
      <c r="P102" s="13" t="s">
        <v>370</v>
      </c>
      <c r="Q102" s="13" t="s">
        <v>371</v>
      </c>
      <c r="R102" s="13" t="s">
        <v>66</v>
      </c>
      <c r="S102" s="13" t="s">
        <v>526</v>
      </c>
    </row>
    <row r="103" spans="1:19" ht="32" x14ac:dyDescent="0.2">
      <c r="A103" s="12" t="s">
        <v>413</v>
      </c>
      <c r="B103" s="13" t="s">
        <v>412</v>
      </c>
      <c r="C103" s="13" t="s">
        <v>335</v>
      </c>
      <c r="D103" s="13" t="s">
        <v>59</v>
      </c>
      <c r="E103" s="13" t="s">
        <v>60</v>
      </c>
      <c r="F103" s="13"/>
      <c r="G103" s="13"/>
      <c r="H103" s="27">
        <v>23.99</v>
      </c>
      <c r="I103" s="27"/>
      <c r="J103" s="13" t="s">
        <v>61</v>
      </c>
      <c r="K103" s="15" t="s">
        <v>62</v>
      </c>
      <c r="L103" s="13" t="s">
        <v>62</v>
      </c>
      <c r="M103" s="13" t="s">
        <v>62</v>
      </c>
      <c r="N103" s="13" t="s">
        <v>335</v>
      </c>
      <c r="O103" s="13" t="s">
        <v>336</v>
      </c>
      <c r="P103" s="13" t="s">
        <v>337</v>
      </c>
      <c r="Q103" s="13" t="s">
        <v>338</v>
      </c>
      <c r="R103" s="13" t="s">
        <v>247</v>
      </c>
      <c r="S103" s="13" t="s">
        <v>414</v>
      </c>
    </row>
    <row r="104" spans="1:19" x14ac:dyDescent="0.2">
      <c r="A104" s="7">
        <v>45691</v>
      </c>
      <c r="B104" s="8"/>
      <c r="C104" s="9" t="s">
        <v>554</v>
      </c>
      <c r="D104" s="9" t="s">
        <v>537</v>
      </c>
      <c r="E104" s="9" t="s">
        <v>538</v>
      </c>
      <c r="F104" s="9"/>
      <c r="G104" s="9"/>
      <c r="H104" s="11">
        <v>34.68</v>
      </c>
      <c r="I104" s="11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x14ac:dyDescent="0.2">
      <c r="A105" s="7">
        <v>45691</v>
      </c>
      <c r="B105" s="8"/>
      <c r="C105" s="9" t="s">
        <v>553</v>
      </c>
      <c r="D105" s="9" t="s">
        <v>537</v>
      </c>
      <c r="E105" s="9" t="s">
        <v>538</v>
      </c>
      <c r="F105" s="9"/>
      <c r="G105" s="9"/>
      <c r="H105" s="11">
        <v>21.9</v>
      </c>
      <c r="I105" s="11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ht="32" x14ac:dyDescent="0.2">
      <c r="A106" s="12" t="s">
        <v>412</v>
      </c>
      <c r="B106" s="13" t="s">
        <v>408</v>
      </c>
      <c r="C106" s="13" t="s">
        <v>168</v>
      </c>
      <c r="D106" s="13" t="s">
        <v>59</v>
      </c>
      <c r="E106" s="13" t="s">
        <v>426</v>
      </c>
      <c r="F106" s="13"/>
      <c r="G106" s="13"/>
      <c r="H106" s="27">
        <v>18.75</v>
      </c>
      <c r="I106" s="27"/>
      <c r="J106" s="13" t="s">
        <v>61</v>
      </c>
      <c r="K106" s="15" t="s">
        <v>62</v>
      </c>
      <c r="L106" s="13" t="s">
        <v>62</v>
      </c>
      <c r="M106" s="13" t="s">
        <v>62</v>
      </c>
      <c r="N106" s="13" t="s">
        <v>168</v>
      </c>
      <c r="O106" s="13" t="s">
        <v>169</v>
      </c>
      <c r="P106" s="13" t="s">
        <v>170</v>
      </c>
      <c r="Q106" s="13" t="s">
        <v>171</v>
      </c>
      <c r="R106" s="13" t="s">
        <v>66</v>
      </c>
      <c r="S106" s="13" t="s">
        <v>520</v>
      </c>
    </row>
    <row r="107" spans="1:19" x14ac:dyDescent="0.2">
      <c r="A107" s="7">
        <v>45691</v>
      </c>
      <c r="B107" s="17"/>
      <c r="C107" s="9" t="s">
        <v>575</v>
      </c>
      <c r="D107" s="9" t="s">
        <v>556</v>
      </c>
      <c r="E107" s="9" t="s">
        <v>557</v>
      </c>
      <c r="F107" s="9"/>
      <c r="G107" s="9"/>
      <c r="H107" s="11">
        <v>11.47</v>
      </c>
      <c r="I107" s="11"/>
      <c r="J107" s="9" t="s">
        <v>558</v>
      </c>
      <c r="K107" s="9"/>
      <c r="L107" s="9">
        <v>-700.07</v>
      </c>
      <c r="M107" s="9" t="s">
        <v>559</v>
      </c>
      <c r="N107" s="9" t="s">
        <v>576</v>
      </c>
      <c r="O107" s="9"/>
      <c r="P107" s="9"/>
      <c r="Q107" s="9"/>
      <c r="R107" s="9"/>
      <c r="S107" s="9"/>
    </row>
    <row r="108" spans="1:19" x14ac:dyDescent="0.2">
      <c r="A108" s="7">
        <v>45691</v>
      </c>
      <c r="B108" s="17"/>
      <c r="C108" s="9" t="s">
        <v>602</v>
      </c>
      <c r="D108" s="9" t="s">
        <v>556</v>
      </c>
      <c r="E108" s="9" t="s">
        <v>557</v>
      </c>
      <c r="F108" s="9"/>
      <c r="G108" s="9"/>
      <c r="H108" s="11">
        <v>66.5</v>
      </c>
      <c r="I108" s="11"/>
      <c r="J108" s="9" t="s">
        <v>558</v>
      </c>
      <c r="K108" s="9"/>
      <c r="L108" s="9">
        <v>-801.44</v>
      </c>
      <c r="M108" s="9" t="s">
        <v>603</v>
      </c>
      <c r="N108" s="9" t="s">
        <v>604</v>
      </c>
      <c r="O108" s="9"/>
      <c r="P108" s="9"/>
      <c r="Q108" s="9"/>
      <c r="R108" s="9"/>
      <c r="S108" s="9"/>
    </row>
    <row r="109" spans="1:19" x14ac:dyDescent="0.2">
      <c r="A109" s="7">
        <v>45691</v>
      </c>
      <c r="B109" s="17"/>
      <c r="C109" s="9" t="s">
        <v>602</v>
      </c>
      <c r="D109" s="9" t="s">
        <v>556</v>
      </c>
      <c r="E109" s="9" t="s">
        <v>557</v>
      </c>
      <c r="F109" s="9"/>
      <c r="G109" s="9"/>
      <c r="H109" s="11">
        <v>34.869999999999997</v>
      </c>
      <c r="I109" s="11"/>
      <c r="J109" s="9" t="s">
        <v>558</v>
      </c>
      <c r="K109" s="9"/>
      <c r="L109" s="9">
        <v>-734.94</v>
      </c>
      <c r="M109" s="9" t="s">
        <v>603</v>
      </c>
      <c r="N109" s="9" t="s">
        <v>604</v>
      </c>
      <c r="O109" s="9"/>
      <c r="P109" s="9"/>
      <c r="Q109" s="9"/>
      <c r="R109" s="9"/>
      <c r="S109" s="9"/>
    </row>
    <row r="110" spans="1:19" x14ac:dyDescent="0.2">
      <c r="A110" s="7">
        <v>45691</v>
      </c>
      <c r="B110" s="17"/>
      <c r="C110" s="9" t="s">
        <v>602</v>
      </c>
      <c r="D110" s="9" t="s">
        <v>556</v>
      </c>
      <c r="E110" s="9" t="s">
        <v>557</v>
      </c>
      <c r="F110" s="9"/>
      <c r="G110" s="9"/>
      <c r="H110" s="11">
        <v>4.8099999999999996</v>
      </c>
      <c r="I110" s="11"/>
      <c r="J110" s="9" t="s">
        <v>558</v>
      </c>
      <c r="K110" s="9"/>
      <c r="L110" s="9">
        <v>-688.6</v>
      </c>
      <c r="M110" s="9" t="s">
        <v>603</v>
      </c>
      <c r="N110" s="9" t="s">
        <v>604</v>
      </c>
      <c r="O110" s="9"/>
      <c r="P110" s="9"/>
      <c r="Q110" s="9"/>
      <c r="R110" s="9"/>
      <c r="S110" s="9"/>
    </row>
    <row r="111" spans="1:19" x14ac:dyDescent="0.2">
      <c r="A111" s="7">
        <v>45691</v>
      </c>
      <c r="B111" s="17"/>
      <c r="C111" s="9" t="s">
        <v>602</v>
      </c>
      <c r="D111" s="9" t="s">
        <v>556</v>
      </c>
      <c r="E111" s="9" t="s">
        <v>557</v>
      </c>
      <c r="F111" s="9"/>
      <c r="G111" s="9"/>
      <c r="H111" s="11">
        <v>2.41</v>
      </c>
      <c r="I111" s="11"/>
      <c r="J111" s="9" t="s">
        <v>558</v>
      </c>
      <c r="K111" s="9"/>
      <c r="L111" s="9">
        <v>-683.79</v>
      </c>
      <c r="M111" s="9" t="s">
        <v>603</v>
      </c>
      <c r="N111" s="9" t="s">
        <v>604</v>
      </c>
      <c r="O111" s="9"/>
      <c r="P111" s="9"/>
      <c r="Q111" s="9"/>
      <c r="R111" s="9"/>
      <c r="S111" s="9"/>
    </row>
    <row r="112" spans="1:19" x14ac:dyDescent="0.2">
      <c r="A112" s="7">
        <v>45691</v>
      </c>
      <c r="B112" s="17"/>
      <c r="C112" s="9" t="s">
        <v>602</v>
      </c>
      <c r="D112" s="9" t="s">
        <v>556</v>
      </c>
      <c r="E112" s="9" t="s">
        <v>557</v>
      </c>
      <c r="F112" s="9"/>
      <c r="G112" s="9"/>
      <c r="H112" s="11">
        <v>1.65</v>
      </c>
      <c r="I112" s="11"/>
      <c r="J112" s="9" t="s">
        <v>558</v>
      </c>
      <c r="K112" s="9"/>
      <c r="L112" s="9">
        <v>-681.38</v>
      </c>
      <c r="M112" s="9" t="s">
        <v>603</v>
      </c>
      <c r="N112" s="9" t="s">
        <v>604</v>
      </c>
      <c r="O112" s="9"/>
      <c r="P112" s="9"/>
      <c r="Q112" s="9"/>
      <c r="R112" s="9"/>
      <c r="S112" s="9"/>
    </row>
    <row r="113" spans="1:19" ht="32" x14ac:dyDescent="0.2">
      <c r="A113" s="12" t="s">
        <v>412</v>
      </c>
      <c r="B113" s="13" t="s">
        <v>412</v>
      </c>
      <c r="C113" s="13" t="s">
        <v>521</v>
      </c>
      <c r="D113" s="13" t="s">
        <v>493</v>
      </c>
      <c r="E113" s="13" t="s">
        <v>494</v>
      </c>
      <c r="F113" s="13"/>
      <c r="G113" s="13"/>
      <c r="H113" s="27">
        <v>29.5</v>
      </c>
      <c r="I113" s="27"/>
      <c r="J113" s="13" t="s">
        <v>61</v>
      </c>
      <c r="K113" s="15" t="s">
        <v>62</v>
      </c>
      <c r="L113" s="13" t="s">
        <v>62</v>
      </c>
      <c r="M113" s="13" t="s">
        <v>62</v>
      </c>
      <c r="N113" s="13" t="s">
        <v>521</v>
      </c>
      <c r="O113" s="13" t="s">
        <v>522</v>
      </c>
      <c r="P113" s="13" t="s">
        <v>523</v>
      </c>
      <c r="Q113" s="13" t="s">
        <v>524</v>
      </c>
      <c r="R113" s="13" t="s">
        <v>66</v>
      </c>
      <c r="S113" s="13" t="s">
        <v>525</v>
      </c>
    </row>
    <row r="114" spans="1:19" x14ac:dyDescent="0.2">
      <c r="A114" s="7">
        <v>45691</v>
      </c>
      <c r="B114" s="17"/>
      <c r="C114" s="9" t="s">
        <v>600</v>
      </c>
      <c r="D114" s="9" t="s">
        <v>556</v>
      </c>
      <c r="E114" s="9" t="s">
        <v>557</v>
      </c>
      <c r="F114" s="9"/>
      <c r="G114" s="9"/>
      <c r="H114" s="11">
        <v>904.99</v>
      </c>
      <c r="I114" s="11"/>
      <c r="J114" s="9" t="s">
        <v>558</v>
      </c>
      <c r="K114" s="9"/>
      <c r="L114" s="9">
        <v>-1706.43</v>
      </c>
      <c r="M114" s="9" t="s">
        <v>588</v>
      </c>
      <c r="N114" s="9" t="s">
        <v>601</v>
      </c>
      <c r="O114" s="9"/>
      <c r="P114" s="9"/>
      <c r="Q114" s="9"/>
      <c r="R114" s="9"/>
      <c r="S114" s="9"/>
    </row>
    <row r="115" spans="1:19" ht="32" x14ac:dyDescent="0.2">
      <c r="A115" s="12" t="s">
        <v>408</v>
      </c>
      <c r="B115" s="13" t="s">
        <v>403</v>
      </c>
      <c r="C115" s="13" t="s">
        <v>515</v>
      </c>
      <c r="D115" s="13" t="s">
        <v>59</v>
      </c>
      <c r="E115" s="13" t="s">
        <v>426</v>
      </c>
      <c r="F115" s="13"/>
      <c r="G115" s="13"/>
      <c r="H115" s="27">
        <v>12.84</v>
      </c>
      <c r="I115" s="27"/>
      <c r="J115" s="13" t="s">
        <v>61</v>
      </c>
      <c r="K115" s="15" t="s">
        <v>62</v>
      </c>
      <c r="L115" s="13" t="s">
        <v>62</v>
      </c>
      <c r="M115" s="13" t="s">
        <v>62</v>
      </c>
      <c r="N115" s="13" t="s">
        <v>515</v>
      </c>
      <c r="O115" s="13" t="s">
        <v>516</v>
      </c>
      <c r="P115" s="13" t="s">
        <v>517</v>
      </c>
      <c r="Q115" s="13" t="s">
        <v>518</v>
      </c>
      <c r="R115" s="13" t="s">
        <v>66</v>
      </c>
      <c r="S115" s="13" t="s">
        <v>519</v>
      </c>
    </row>
    <row r="116" spans="1:19" x14ac:dyDescent="0.2">
      <c r="A116" s="7">
        <v>45692</v>
      </c>
      <c r="B116" s="17"/>
      <c r="C116" s="9" t="s">
        <v>561</v>
      </c>
      <c r="D116" s="9" t="s">
        <v>556</v>
      </c>
      <c r="E116" s="9" t="s">
        <v>557</v>
      </c>
      <c r="F116" s="9"/>
      <c r="G116" s="9"/>
      <c r="H116" s="11">
        <v>5.65</v>
      </c>
      <c r="I116" s="11"/>
      <c r="J116" s="9" t="s">
        <v>562</v>
      </c>
      <c r="K116" s="9"/>
      <c r="L116" s="9">
        <v>-1712.08</v>
      </c>
      <c r="M116" s="9" t="s">
        <v>563</v>
      </c>
      <c r="N116" s="9"/>
      <c r="O116" s="9"/>
      <c r="P116" s="9"/>
      <c r="Q116" s="9"/>
      <c r="R116" s="9"/>
      <c r="S116" s="9"/>
    </row>
    <row r="117" spans="1:19" x14ac:dyDescent="0.2">
      <c r="A117" s="7">
        <v>45692</v>
      </c>
      <c r="B117" s="17"/>
      <c r="C117" s="9" t="s">
        <v>597</v>
      </c>
      <c r="D117" s="9" t="s">
        <v>556</v>
      </c>
      <c r="E117" s="9" t="s">
        <v>557</v>
      </c>
      <c r="F117" s="9"/>
      <c r="G117" s="9"/>
      <c r="H117" s="11">
        <v>178.31</v>
      </c>
      <c r="I117" s="11"/>
      <c r="J117" s="9" t="s">
        <v>558</v>
      </c>
      <c r="K117" s="9"/>
      <c r="L117" s="9">
        <v>-2051.73</v>
      </c>
      <c r="M117" s="9" t="s">
        <v>588</v>
      </c>
      <c r="N117" s="9" t="s">
        <v>598</v>
      </c>
      <c r="O117" s="9"/>
      <c r="P117" s="9"/>
      <c r="Q117" s="9"/>
      <c r="R117" s="9"/>
      <c r="S117" s="9"/>
    </row>
    <row r="118" spans="1:19" ht="48" x14ac:dyDescent="0.2">
      <c r="A118" s="12" t="s">
        <v>403</v>
      </c>
      <c r="B118" s="13" t="s">
        <v>403</v>
      </c>
      <c r="C118" s="13" t="s">
        <v>91</v>
      </c>
      <c r="D118" s="13" t="s">
        <v>75</v>
      </c>
      <c r="E118" s="13" t="s">
        <v>76</v>
      </c>
      <c r="F118" s="13"/>
      <c r="G118" s="13"/>
      <c r="H118" s="27">
        <v>4.74</v>
      </c>
      <c r="I118" s="27"/>
      <c r="J118" s="13" t="s">
        <v>61</v>
      </c>
      <c r="K118" s="15" t="s">
        <v>62</v>
      </c>
      <c r="L118" s="13" t="s">
        <v>62</v>
      </c>
      <c r="M118" s="13" t="s">
        <v>62</v>
      </c>
      <c r="N118" s="13" t="s">
        <v>91</v>
      </c>
      <c r="O118" s="13" t="s">
        <v>92</v>
      </c>
      <c r="P118" s="13" t="s">
        <v>93</v>
      </c>
      <c r="Q118" s="13" t="s">
        <v>94</v>
      </c>
      <c r="R118" s="13" t="s">
        <v>66</v>
      </c>
      <c r="S118" s="13" t="s">
        <v>405</v>
      </c>
    </row>
    <row r="119" spans="1:19" x14ac:dyDescent="0.2">
      <c r="A119" s="7">
        <v>45693</v>
      </c>
      <c r="B119" s="17"/>
      <c r="C119" s="9" t="s">
        <v>594</v>
      </c>
      <c r="D119" s="9" t="s">
        <v>556</v>
      </c>
      <c r="E119" s="9" t="s">
        <v>557</v>
      </c>
      <c r="F119" s="9"/>
      <c r="G119" s="9"/>
      <c r="H119" s="11">
        <v>190</v>
      </c>
      <c r="I119" s="11"/>
      <c r="J119" s="9" t="s">
        <v>558</v>
      </c>
      <c r="K119" s="9"/>
      <c r="L119" s="9">
        <v>-2241.73</v>
      </c>
      <c r="M119" s="9" t="s">
        <v>595</v>
      </c>
      <c r="N119" s="9" t="s">
        <v>596</v>
      </c>
      <c r="O119" s="9"/>
      <c r="P119" s="9"/>
      <c r="Q119" s="9"/>
      <c r="R119" s="9"/>
      <c r="S119" s="9"/>
    </row>
    <row r="120" spans="1:19" x14ac:dyDescent="0.2">
      <c r="A120" s="7">
        <v>45693</v>
      </c>
      <c r="B120" s="8"/>
      <c r="C120" s="9" t="s">
        <v>551</v>
      </c>
      <c r="D120" s="9" t="s">
        <v>537</v>
      </c>
      <c r="E120" s="9" t="s">
        <v>538</v>
      </c>
      <c r="F120" s="9"/>
      <c r="G120" s="9"/>
      <c r="H120" s="11">
        <v>18.28</v>
      </c>
      <c r="I120" s="11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ht="48" x14ac:dyDescent="0.2">
      <c r="A121" s="12" t="s">
        <v>403</v>
      </c>
      <c r="B121" s="13" t="s">
        <v>373</v>
      </c>
      <c r="C121" s="13" t="s">
        <v>109</v>
      </c>
      <c r="D121" s="13" t="s">
        <v>59</v>
      </c>
      <c r="E121" s="13" t="s">
        <v>60</v>
      </c>
      <c r="F121" s="13"/>
      <c r="G121" s="13"/>
      <c r="H121" s="27">
        <v>28</v>
      </c>
      <c r="I121" s="27"/>
      <c r="J121" s="13" t="s">
        <v>61</v>
      </c>
      <c r="K121" s="15" t="s">
        <v>62</v>
      </c>
      <c r="L121" s="13" t="s">
        <v>62</v>
      </c>
      <c r="M121" s="13" t="s">
        <v>110</v>
      </c>
      <c r="N121" s="13" t="s">
        <v>109</v>
      </c>
      <c r="O121" s="13" t="s">
        <v>111</v>
      </c>
      <c r="P121" s="13" t="s">
        <v>64</v>
      </c>
      <c r="Q121" s="13" t="s">
        <v>65</v>
      </c>
      <c r="R121" s="13" t="s">
        <v>66</v>
      </c>
      <c r="S121" s="13" t="s">
        <v>406</v>
      </c>
    </row>
    <row r="122" spans="1:19" ht="48" x14ac:dyDescent="0.2">
      <c r="A122" s="12" t="s">
        <v>403</v>
      </c>
      <c r="B122" s="13" t="s">
        <v>398</v>
      </c>
      <c r="C122" s="13" t="s">
        <v>109</v>
      </c>
      <c r="D122" s="13" t="s">
        <v>59</v>
      </c>
      <c r="E122" s="13" t="s">
        <v>60</v>
      </c>
      <c r="F122" s="13"/>
      <c r="G122" s="13"/>
      <c r="H122" s="27">
        <v>28.97</v>
      </c>
      <c r="I122" s="27"/>
      <c r="J122" s="13" t="s">
        <v>61</v>
      </c>
      <c r="K122" s="15" t="s">
        <v>62</v>
      </c>
      <c r="L122" s="13" t="s">
        <v>62</v>
      </c>
      <c r="M122" s="13" t="s">
        <v>110</v>
      </c>
      <c r="N122" s="13" t="s">
        <v>109</v>
      </c>
      <c r="O122" s="13" t="s">
        <v>111</v>
      </c>
      <c r="P122" s="13" t="s">
        <v>64</v>
      </c>
      <c r="Q122" s="13" t="s">
        <v>65</v>
      </c>
      <c r="R122" s="13" t="s">
        <v>66</v>
      </c>
      <c r="S122" s="13" t="s">
        <v>407</v>
      </c>
    </row>
    <row r="123" spans="1:19" ht="32" x14ac:dyDescent="0.2">
      <c r="A123" s="12" t="s">
        <v>403</v>
      </c>
      <c r="B123" s="13" t="s">
        <v>403</v>
      </c>
      <c r="C123" s="13" t="s">
        <v>505</v>
      </c>
      <c r="D123" s="13" t="s">
        <v>59</v>
      </c>
      <c r="E123" s="13" t="s">
        <v>426</v>
      </c>
      <c r="F123" s="13"/>
      <c r="G123" s="13"/>
      <c r="H123" s="27">
        <v>173.06</v>
      </c>
      <c r="I123" s="27"/>
      <c r="J123" s="13" t="s">
        <v>61</v>
      </c>
      <c r="K123" s="15" t="s">
        <v>62</v>
      </c>
      <c r="L123" s="13" t="s">
        <v>62</v>
      </c>
      <c r="M123" s="13" t="s">
        <v>62</v>
      </c>
      <c r="N123" s="13" t="s">
        <v>505</v>
      </c>
      <c r="O123" s="13" t="s">
        <v>506</v>
      </c>
      <c r="P123" s="13" t="s">
        <v>507</v>
      </c>
      <c r="Q123" s="13" t="s">
        <v>508</v>
      </c>
      <c r="R123" s="13" t="s">
        <v>66</v>
      </c>
      <c r="S123" s="13" t="s">
        <v>509</v>
      </c>
    </row>
    <row r="124" spans="1:19" ht="32" x14ac:dyDescent="0.2">
      <c r="A124" s="12" t="s">
        <v>398</v>
      </c>
      <c r="B124" s="13" t="s">
        <v>373</v>
      </c>
      <c r="C124" s="13" t="s">
        <v>500</v>
      </c>
      <c r="D124" s="13" t="s">
        <v>59</v>
      </c>
      <c r="E124" s="13" t="s">
        <v>426</v>
      </c>
      <c r="F124" s="13"/>
      <c r="G124" s="13"/>
      <c r="H124" s="27">
        <v>50</v>
      </c>
      <c r="I124" s="27"/>
      <c r="J124" s="13" t="s">
        <v>61</v>
      </c>
      <c r="K124" s="15" t="s">
        <v>62</v>
      </c>
      <c r="L124" s="13" t="s">
        <v>62</v>
      </c>
      <c r="M124" s="13" t="s">
        <v>62</v>
      </c>
      <c r="N124" s="13" t="s">
        <v>500</v>
      </c>
      <c r="O124" s="13" t="s">
        <v>501</v>
      </c>
      <c r="P124" s="13" t="s">
        <v>502</v>
      </c>
      <c r="Q124" s="13" t="s">
        <v>503</v>
      </c>
      <c r="R124" s="13" t="s">
        <v>66</v>
      </c>
      <c r="S124" s="13" t="s">
        <v>504</v>
      </c>
    </row>
    <row r="125" spans="1:19" ht="32" x14ac:dyDescent="0.2">
      <c r="A125" s="12" t="s">
        <v>398</v>
      </c>
      <c r="B125" s="13" t="s">
        <v>398</v>
      </c>
      <c r="C125" s="13" t="s">
        <v>319</v>
      </c>
      <c r="D125" s="13" t="s">
        <v>75</v>
      </c>
      <c r="E125" s="13" t="s">
        <v>76</v>
      </c>
      <c r="F125" s="13"/>
      <c r="G125" s="13"/>
      <c r="H125" s="27">
        <v>40</v>
      </c>
      <c r="I125" s="27"/>
      <c r="J125" s="13" t="s">
        <v>61</v>
      </c>
      <c r="K125" s="15" t="s">
        <v>62</v>
      </c>
      <c r="L125" s="13" t="s">
        <v>62</v>
      </c>
      <c r="M125" s="13" t="s">
        <v>62</v>
      </c>
      <c r="N125" s="13" t="s">
        <v>319</v>
      </c>
      <c r="O125" s="13" t="s">
        <v>179</v>
      </c>
      <c r="P125" s="13" t="s">
        <v>180</v>
      </c>
      <c r="Q125" s="13" t="s">
        <v>181</v>
      </c>
      <c r="R125" s="13" t="s">
        <v>66</v>
      </c>
      <c r="S125" s="13" t="s">
        <v>400</v>
      </c>
    </row>
    <row r="126" spans="1:19" ht="48" x14ac:dyDescent="0.2">
      <c r="A126" s="12" t="s">
        <v>398</v>
      </c>
      <c r="B126" s="13" t="s">
        <v>373</v>
      </c>
      <c r="C126" s="13" t="s">
        <v>109</v>
      </c>
      <c r="D126" s="13" t="s">
        <v>59</v>
      </c>
      <c r="E126" s="13" t="s">
        <v>60</v>
      </c>
      <c r="F126" s="13"/>
      <c r="G126" s="13"/>
      <c r="H126" s="27">
        <v>11.52</v>
      </c>
      <c r="I126" s="27"/>
      <c r="J126" s="13" t="s">
        <v>61</v>
      </c>
      <c r="K126" s="15" t="s">
        <v>62</v>
      </c>
      <c r="L126" s="13" t="s">
        <v>62</v>
      </c>
      <c r="M126" s="13" t="s">
        <v>110</v>
      </c>
      <c r="N126" s="13" t="s">
        <v>109</v>
      </c>
      <c r="O126" s="13" t="s">
        <v>111</v>
      </c>
      <c r="P126" s="13" t="s">
        <v>64</v>
      </c>
      <c r="Q126" s="13" t="s">
        <v>65</v>
      </c>
      <c r="R126" s="13" t="s">
        <v>66</v>
      </c>
      <c r="S126" s="13" t="s">
        <v>401</v>
      </c>
    </row>
    <row r="127" spans="1:19" ht="48" x14ac:dyDescent="0.2">
      <c r="A127" s="12" t="s">
        <v>398</v>
      </c>
      <c r="B127" s="13" t="s">
        <v>373</v>
      </c>
      <c r="C127" s="13" t="s">
        <v>109</v>
      </c>
      <c r="D127" s="13" t="s">
        <v>59</v>
      </c>
      <c r="E127" s="13" t="s">
        <v>60</v>
      </c>
      <c r="F127" s="13"/>
      <c r="G127" s="13"/>
      <c r="H127" s="27">
        <v>33.950000000000003</v>
      </c>
      <c r="I127" s="27"/>
      <c r="J127" s="13" t="s">
        <v>61</v>
      </c>
      <c r="K127" s="15" t="s">
        <v>62</v>
      </c>
      <c r="L127" s="13" t="s">
        <v>62</v>
      </c>
      <c r="M127" s="13" t="s">
        <v>110</v>
      </c>
      <c r="N127" s="13" t="s">
        <v>109</v>
      </c>
      <c r="O127" s="13" t="s">
        <v>111</v>
      </c>
      <c r="P127" s="13" t="s">
        <v>64</v>
      </c>
      <c r="Q127" s="13" t="s">
        <v>65</v>
      </c>
      <c r="R127" s="13" t="s">
        <v>66</v>
      </c>
      <c r="S127" s="13" t="s">
        <v>402</v>
      </c>
    </row>
    <row r="128" spans="1:19" ht="48" x14ac:dyDescent="0.2">
      <c r="A128" s="12" t="s">
        <v>373</v>
      </c>
      <c r="B128" s="13" t="s">
        <v>367</v>
      </c>
      <c r="C128" s="13" t="s">
        <v>394</v>
      </c>
      <c r="D128" s="13" t="s">
        <v>59</v>
      </c>
      <c r="E128" s="13" t="s">
        <v>60</v>
      </c>
      <c r="F128" s="13"/>
      <c r="G128" s="13"/>
      <c r="H128" s="27">
        <v>12</v>
      </c>
      <c r="I128" s="27"/>
      <c r="J128" s="13" t="s">
        <v>61</v>
      </c>
      <c r="K128" s="15" t="s">
        <v>62</v>
      </c>
      <c r="L128" s="13" t="s">
        <v>62</v>
      </c>
      <c r="M128" s="13" t="s">
        <v>62</v>
      </c>
      <c r="N128" s="13" t="s">
        <v>394</v>
      </c>
      <c r="O128" s="13" t="s">
        <v>395</v>
      </c>
      <c r="P128" s="13" t="s">
        <v>125</v>
      </c>
      <c r="Q128" s="13" t="s">
        <v>126</v>
      </c>
      <c r="R128" s="13" t="s">
        <v>66</v>
      </c>
      <c r="S128" s="13" t="s">
        <v>396</v>
      </c>
    </row>
    <row r="129" spans="1:19" ht="32" x14ac:dyDescent="0.2">
      <c r="A129" s="12" t="s">
        <v>373</v>
      </c>
      <c r="B129" s="13" t="s">
        <v>367</v>
      </c>
      <c r="C129" s="13" t="s">
        <v>492</v>
      </c>
      <c r="D129" s="13" t="s">
        <v>493</v>
      </c>
      <c r="E129" s="13" t="s">
        <v>494</v>
      </c>
      <c r="F129" s="13"/>
      <c r="G129" s="13"/>
      <c r="H129" s="27">
        <v>39.99</v>
      </c>
      <c r="I129" s="27"/>
      <c r="J129" s="13" t="s">
        <v>61</v>
      </c>
      <c r="K129" s="15" t="s">
        <v>62</v>
      </c>
      <c r="L129" s="13" t="s">
        <v>62</v>
      </c>
      <c r="M129" s="13" t="s">
        <v>62</v>
      </c>
      <c r="N129" s="13" t="s">
        <v>492</v>
      </c>
      <c r="O129" s="13" t="s">
        <v>495</v>
      </c>
      <c r="P129" s="13" t="s">
        <v>496</v>
      </c>
      <c r="Q129" s="13" t="s">
        <v>497</v>
      </c>
      <c r="R129" s="13" t="s">
        <v>66</v>
      </c>
      <c r="S129" s="13" t="s">
        <v>498</v>
      </c>
    </row>
    <row r="130" spans="1:19" ht="32" x14ac:dyDescent="0.2">
      <c r="A130" s="12" t="s">
        <v>373</v>
      </c>
      <c r="B130" s="13" t="s">
        <v>367</v>
      </c>
      <c r="C130" s="13" t="s">
        <v>433</v>
      </c>
      <c r="D130" s="13" t="s">
        <v>59</v>
      </c>
      <c r="E130" s="13" t="s">
        <v>426</v>
      </c>
      <c r="F130" s="13"/>
      <c r="G130" s="13"/>
      <c r="H130" s="27">
        <v>6.5</v>
      </c>
      <c r="I130" s="27"/>
      <c r="J130" s="13" t="s">
        <v>61</v>
      </c>
      <c r="K130" s="15" t="s">
        <v>62</v>
      </c>
      <c r="L130" s="13" t="s">
        <v>62</v>
      </c>
      <c r="M130" s="13" t="s">
        <v>62</v>
      </c>
      <c r="N130" s="13" t="s">
        <v>433</v>
      </c>
      <c r="O130" s="13" t="s">
        <v>434</v>
      </c>
      <c r="P130" s="13" t="s">
        <v>293</v>
      </c>
      <c r="Q130" s="13" t="s">
        <v>294</v>
      </c>
      <c r="R130" s="13" t="s">
        <v>66</v>
      </c>
      <c r="S130" s="13" t="s">
        <v>499</v>
      </c>
    </row>
    <row r="131" spans="1:19" ht="32" x14ac:dyDescent="0.2">
      <c r="A131" s="12" t="s">
        <v>373</v>
      </c>
      <c r="B131" s="13" t="s">
        <v>367</v>
      </c>
      <c r="C131" s="13" t="s">
        <v>315</v>
      </c>
      <c r="D131" s="13" t="s">
        <v>59</v>
      </c>
      <c r="E131" s="13" t="s">
        <v>60</v>
      </c>
      <c r="F131" s="13"/>
      <c r="G131" s="13"/>
      <c r="H131" s="27">
        <v>13.5</v>
      </c>
      <c r="I131" s="27"/>
      <c r="J131" s="13" t="s">
        <v>61</v>
      </c>
      <c r="K131" s="15" t="s">
        <v>62</v>
      </c>
      <c r="L131" s="13" t="s">
        <v>62</v>
      </c>
      <c r="M131" s="13" t="s">
        <v>62</v>
      </c>
      <c r="N131" s="13" t="s">
        <v>315</v>
      </c>
      <c r="O131" s="13" t="s">
        <v>316</v>
      </c>
      <c r="P131" s="13" t="s">
        <v>293</v>
      </c>
      <c r="Q131" s="13" t="s">
        <v>294</v>
      </c>
      <c r="R131" s="13" t="s">
        <v>66</v>
      </c>
      <c r="S131" s="13" t="s">
        <v>397</v>
      </c>
    </row>
    <row r="132" spans="1:19" ht="32" x14ac:dyDescent="0.2">
      <c r="A132" s="12" t="s">
        <v>367</v>
      </c>
      <c r="B132" s="13" t="s">
        <v>367</v>
      </c>
      <c r="C132" s="13" t="s">
        <v>368</v>
      </c>
      <c r="D132" s="13" t="s">
        <v>59</v>
      </c>
      <c r="E132" s="13" t="s">
        <v>60</v>
      </c>
      <c r="F132" s="13"/>
      <c r="G132" s="13"/>
      <c r="H132" s="27">
        <v>35</v>
      </c>
      <c r="I132" s="27"/>
      <c r="J132" s="13" t="s">
        <v>61</v>
      </c>
      <c r="K132" s="15" t="s">
        <v>62</v>
      </c>
      <c r="L132" s="13" t="s">
        <v>62</v>
      </c>
      <c r="M132" s="13" t="s">
        <v>62</v>
      </c>
      <c r="N132" s="13" t="s">
        <v>368</v>
      </c>
      <c r="O132" s="13" t="s">
        <v>369</v>
      </c>
      <c r="P132" s="13" t="s">
        <v>370</v>
      </c>
      <c r="Q132" s="13" t="s">
        <v>371</v>
      </c>
      <c r="R132" s="13" t="s">
        <v>66</v>
      </c>
      <c r="S132" s="13" t="s">
        <v>372</v>
      </c>
    </row>
    <row r="133" spans="1:19" ht="48" x14ac:dyDescent="0.2">
      <c r="A133" s="12" t="s">
        <v>362</v>
      </c>
      <c r="B133" s="13" t="s">
        <v>354</v>
      </c>
      <c r="C133" s="13" t="s">
        <v>109</v>
      </c>
      <c r="D133" s="13" t="s">
        <v>59</v>
      </c>
      <c r="E133" s="13" t="s">
        <v>60</v>
      </c>
      <c r="F133" s="13"/>
      <c r="G133" s="13"/>
      <c r="H133" s="27">
        <v>17.61</v>
      </c>
      <c r="I133" s="27"/>
      <c r="J133" s="13" t="s">
        <v>61</v>
      </c>
      <c r="K133" s="15" t="s">
        <v>62</v>
      </c>
      <c r="L133" s="13" t="s">
        <v>62</v>
      </c>
      <c r="M133" s="13" t="s">
        <v>110</v>
      </c>
      <c r="N133" s="13" t="s">
        <v>109</v>
      </c>
      <c r="O133" s="13" t="s">
        <v>111</v>
      </c>
      <c r="P133" s="13" t="s">
        <v>64</v>
      </c>
      <c r="Q133" s="13" t="s">
        <v>65</v>
      </c>
      <c r="R133" s="13" t="s">
        <v>66</v>
      </c>
      <c r="S133" s="13" t="s">
        <v>364</v>
      </c>
    </row>
    <row r="134" spans="1:19" ht="48" x14ac:dyDescent="0.2">
      <c r="A134" s="12" t="s">
        <v>362</v>
      </c>
      <c r="B134" s="13" t="s">
        <v>354</v>
      </c>
      <c r="C134" s="13" t="s">
        <v>109</v>
      </c>
      <c r="D134" s="13" t="s">
        <v>59</v>
      </c>
      <c r="E134" s="13" t="s">
        <v>60</v>
      </c>
      <c r="F134" s="13"/>
      <c r="G134" s="13"/>
      <c r="H134" s="27">
        <v>18.96</v>
      </c>
      <c r="I134" s="27"/>
      <c r="J134" s="13" t="s">
        <v>61</v>
      </c>
      <c r="K134" s="15" t="s">
        <v>62</v>
      </c>
      <c r="L134" s="13" t="s">
        <v>62</v>
      </c>
      <c r="M134" s="13" t="s">
        <v>110</v>
      </c>
      <c r="N134" s="13" t="s">
        <v>109</v>
      </c>
      <c r="O134" s="13" t="s">
        <v>111</v>
      </c>
      <c r="P134" s="13" t="s">
        <v>64</v>
      </c>
      <c r="Q134" s="13" t="s">
        <v>65</v>
      </c>
      <c r="R134" s="13" t="s">
        <v>66</v>
      </c>
      <c r="S134" s="13" t="s">
        <v>365</v>
      </c>
    </row>
    <row r="135" spans="1:19" ht="48" x14ac:dyDescent="0.2">
      <c r="A135" s="12" t="s">
        <v>362</v>
      </c>
      <c r="B135" s="13" t="s">
        <v>354</v>
      </c>
      <c r="C135" s="13" t="s">
        <v>109</v>
      </c>
      <c r="D135" s="13" t="s">
        <v>59</v>
      </c>
      <c r="E135" s="13" t="s">
        <v>60</v>
      </c>
      <c r="F135" s="13"/>
      <c r="G135" s="13"/>
      <c r="H135" s="27">
        <v>78.239999999999995</v>
      </c>
      <c r="I135" s="27"/>
      <c r="J135" s="13" t="s">
        <v>61</v>
      </c>
      <c r="K135" s="15" t="s">
        <v>62</v>
      </c>
      <c r="L135" s="13" t="s">
        <v>62</v>
      </c>
      <c r="M135" s="13" t="s">
        <v>110</v>
      </c>
      <c r="N135" s="13" t="s">
        <v>109</v>
      </c>
      <c r="O135" s="13" t="s">
        <v>111</v>
      </c>
      <c r="P135" s="13" t="s">
        <v>64</v>
      </c>
      <c r="Q135" s="13" t="s">
        <v>65</v>
      </c>
      <c r="R135" s="13" t="s">
        <v>66</v>
      </c>
      <c r="S135" s="13" t="s">
        <v>366</v>
      </c>
    </row>
    <row r="136" spans="1:19" x14ac:dyDescent="0.2">
      <c r="A136" s="7">
        <v>45698</v>
      </c>
      <c r="B136" s="17"/>
      <c r="C136" s="9" t="s">
        <v>590</v>
      </c>
      <c r="D136" s="9" t="s">
        <v>556</v>
      </c>
      <c r="E136" s="9" t="s">
        <v>557</v>
      </c>
      <c r="F136" s="9"/>
      <c r="G136" s="9"/>
      <c r="H136" s="11">
        <v>120</v>
      </c>
      <c r="I136" s="11"/>
      <c r="J136" s="9" t="s">
        <v>558</v>
      </c>
      <c r="K136" s="9"/>
      <c r="L136" s="9">
        <v>-3697.48</v>
      </c>
      <c r="M136" s="9" t="s">
        <v>591</v>
      </c>
      <c r="N136" s="9"/>
      <c r="O136" s="9"/>
      <c r="P136" s="9"/>
      <c r="Q136" s="9"/>
      <c r="R136" s="9"/>
      <c r="S136" s="9"/>
    </row>
    <row r="137" spans="1:19" x14ac:dyDescent="0.2">
      <c r="A137" s="7">
        <v>45698</v>
      </c>
      <c r="B137" s="17"/>
      <c r="C137" s="9" t="s">
        <v>587</v>
      </c>
      <c r="D137" s="9" t="s">
        <v>556</v>
      </c>
      <c r="E137" s="9" t="s">
        <v>557</v>
      </c>
      <c r="F137" s="9"/>
      <c r="G137" s="9"/>
      <c r="H137" s="11">
        <v>688.77</v>
      </c>
      <c r="I137" s="11"/>
      <c r="J137" s="9" t="s">
        <v>558</v>
      </c>
      <c r="K137" s="9"/>
      <c r="L137" s="9">
        <v>-4386.25</v>
      </c>
      <c r="M137" s="9" t="s">
        <v>588</v>
      </c>
      <c r="N137" s="9" t="s">
        <v>589</v>
      </c>
      <c r="O137" s="9"/>
      <c r="P137" s="9"/>
      <c r="Q137" s="9"/>
      <c r="R137" s="9"/>
      <c r="S137" s="9"/>
    </row>
    <row r="138" spans="1:19" ht="32" x14ac:dyDescent="0.2">
      <c r="A138" s="12" t="s">
        <v>354</v>
      </c>
      <c r="B138" s="13" t="s">
        <v>340</v>
      </c>
      <c r="C138" s="13" t="s">
        <v>332</v>
      </c>
      <c r="D138" s="13" t="s">
        <v>59</v>
      </c>
      <c r="E138" s="13" t="s">
        <v>60</v>
      </c>
      <c r="F138" s="13"/>
      <c r="G138" s="13"/>
      <c r="H138" s="27">
        <v>29.18</v>
      </c>
      <c r="I138" s="27"/>
      <c r="J138" s="13" t="s">
        <v>61</v>
      </c>
      <c r="K138" s="15" t="s">
        <v>62</v>
      </c>
      <c r="L138" s="13" t="s">
        <v>62</v>
      </c>
      <c r="M138" s="13" t="s">
        <v>62</v>
      </c>
      <c r="N138" s="13" t="s">
        <v>332</v>
      </c>
      <c r="O138" s="13" t="s">
        <v>333</v>
      </c>
      <c r="P138" s="13" t="s">
        <v>180</v>
      </c>
      <c r="Q138" s="13" t="s">
        <v>181</v>
      </c>
      <c r="R138" s="13" t="s">
        <v>66</v>
      </c>
      <c r="S138" s="13" t="s">
        <v>356</v>
      </c>
    </row>
    <row r="139" spans="1:19" ht="32" x14ac:dyDescent="0.2">
      <c r="A139" s="12" t="s">
        <v>354</v>
      </c>
      <c r="B139" s="13" t="s">
        <v>354</v>
      </c>
      <c r="C139" s="13" t="s">
        <v>193</v>
      </c>
      <c r="D139" s="13" t="s">
        <v>75</v>
      </c>
      <c r="E139" s="13" t="s">
        <v>76</v>
      </c>
      <c r="F139" s="13"/>
      <c r="G139" s="13"/>
      <c r="H139" s="27">
        <v>69.05</v>
      </c>
      <c r="I139" s="27"/>
      <c r="J139" s="13" t="s">
        <v>61</v>
      </c>
      <c r="K139" s="15" t="s">
        <v>62</v>
      </c>
      <c r="L139" s="13" t="s">
        <v>62</v>
      </c>
      <c r="M139" s="13" t="s">
        <v>62</v>
      </c>
      <c r="N139" s="13" t="s">
        <v>193</v>
      </c>
      <c r="O139" s="13" t="s">
        <v>194</v>
      </c>
      <c r="P139" s="13" t="s">
        <v>189</v>
      </c>
      <c r="Q139" s="13" t="s">
        <v>190</v>
      </c>
      <c r="R139" s="13" t="s">
        <v>66</v>
      </c>
      <c r="S139" s="13" t="s">
        <v>357</v>
      </c>
    </row>
    <row r="140" spans="1:19" ht="32" x14ac:dyDescent="0.2">
      <c r="A140" s="12" t="s">
        <v>354</v>
      </c>
      <c r="B140" s="13" t="s">
        <v>354</v>
      </c>
      <c r="C140" s="13" t="s">
        <v>193</v>
      </c>
      <c r="D140" s="13" t="s">
        <v>75</v>
      </c>
      <c r="E140" s="13" t="s">
        <v>76</v>
      </c>
      <c r="F140" s="13"/>
      <c r="G140" s="13"/>
      <c r="H140" s="27">
        <v>79.569999999999993</v>
      </c>
      <c r="I140" s="27"/>
      <c r="J140" s="13" t="s">
        <v>61</v>
      </c>
      <c r="K140" s="15" t="s">
        <v>62</v>
      </c>
      <c r="L140" s="13" t="s">
        <v>62</v>
      </c>
      <c r="M140" s="13" t="s">
        <v>62</v>
      </c>
      <c r="N140" s="13" t="s">
        <v>193</v>
      </c>
      <c r="O140" s="13" t="s">
        <v>194</v>
      </c>
      <c r="P140" s="13" t="s">
        <v>189</v>
      </c>
      <c r="Q140" s="13" t="s">
        <v>190</v>
      </c>
      <c r="R140" s="13" t="s">
        <v>66</v>
      </c>
      <c r="S140" s="13" t="s">
        <v>358</v>
      </c>
    </row>
    <row r="141" spans="1:19" ht="48" x14ac:dyDescent="0.2">
      <c r="A141" s="12" t="s">
        <v>354</v>
      </c>
      <c r="B141" s="13" t="s">
        <v>354</v>
      </c>
      <c r="C141" s="13" t="s">
        <v>359</v>
      </c>
      <c r="D141" s="13" t="s">
        <v>75</v>
      </c>
      <c r="E141" s="13" t="s">
        <v>76</v>
      </c>
      <c r="F141" s="13"/>
      <c r="G141" s="13"/>
      <c r="H141" s="27">
        <v>20</v>
      </c>
      <c r="I141" s="27"/>
      <c r="J141" s="13" t="s">
        <v>61</v>
      </c>
      <c r="K141" s="15" t="s">
        <v>62</v>
      </c>
      <c r="L141" s="13" t="s">
        <v>62</v>
      </c>
      <c r="M141" s="13" t="s">
        <v>62</v>
      </c>
      <c r="N141" s="13" t="s">
        <v>359</v>
      </c>
      <c r="O141" s="13" t="s">
        <v>360</v>
      </c>
      <c r="P141" s="13" t="s">
        <v>189</v>
      </c>
      <c r="Q141" s="13" t="s">
        <v>190</v>
      </c>
      <c r="R141" s="13" t="s">
        <v>66</v>
      </c>
      <c r="S141" s="13" t="s">
        <v>361</v>
      </c>
    </row>
    <row r="142" spans="1:19" x14ac:dyDescent="0.2">
      <c r="A142" s="7">
        <v>45699</v>
      </c>
      <c r="B142" s="17"/>
      <c r="C142" s="9" t="s">
        <v>585</v>
      </c>
      <c r="D142" s="9" t="s">
        <v>556</v>
      </c>
      <c r="E142" s="9" t="s">
        <v>557</v>
      </c>
      <c r="F142" s="9"/>
      <c r="G142" s="9"/>
      <c r="H142" s="11">
        <v>16.3</v>
      </c>
      <c r="I142" s="11"/>
      <c r="J142" s="9" t="s">
        <v>558</v>
      </c>
      <c r="K142" s="9"/>
      <c r="L142" s="9">
        <v>-4402.55</v>
      </c>
      <c r="M142" s="9" t="s">
        <v>568</v>
      </c>
      <c r="N142" s="9" t="s">
        <v>586</v>
      </c>
      <c r="O142" s="9"/>
      <c r="P142" s="9"/>
      <c r="Q142" s="9"/>
      <c r="R142" s="9"/>
      <c r="S142" s="9"/>
    </row>
    <row r="143" spans="1:19" x14ac:dyDescent="0.2">
      <c r="A143" s="7">
        <v>45699</v>
      </c>
      <c r="B143" s="8"/>
      <c r="C143" s="9" t="s">
        <v>546</v>
      </c>
      <c r="D143" s="9" t="s">
        <v>537</v>
      </c>
      <c r="E143" s="9" t="s">
        <v>538</v>
      </c>
      <c r="F143" s="9"/>
      <c r="G143" s="9"/>
      <c r="H143" s="11">
        <v>27.17</v>
      </c>
      <c r="I143" s="11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ht="32" x14ac:dyDescent="0.2">
      <c r="A144" s="12" t="s">
        <v>340</v>
      </c>
      <c r="B144" s="13" t="s">
        <v>318</v>
      </c>
      <c r="C144" s="13" t="s">
        <v>348</v>
      </c>
      <c r="D144" s="13" t="s">
        <v>75</v>
      </c>
      <c r="E144" s="13" t="s">
        <v>76</v>
      </c>
      <c r="F144" s="13"/>
      <c r="G144" s="13"/>
      <c r="H144" s="27">
        <v>49.49</v>
      </c>
      <c r="I144" s="27"/>
      <c r="J144" s="13" t="s">
        <v>349</v>
      </c>
      <c r="K144" s="15">
        <v>1.44</v>
      </c>
      <c r="L144" s="13" t="s">
        <v>62</v>
      </c>
      <c r="M144" s="13" t="s">
        <v>62</v>
      </c>
      <c r="N144" s="13" t="s">
        <v>348</v>
      </c>
      <c r="O144" s="13" t="s">
        <v>350</v>
      </c>
      <c r="P144" s="13" t="s">
        <v>351</v>
      </c>
      <c r="Q144" s="13" t="s">
        <v>352</v>
      </c>
      <c r="R144" s="13" t="s">
        <v>81</v>
      </c>
      <c r="S144" s="13" t="s">
        <v>353</v>
      </c>
    </row>
    <row r="145" spans="1:19" x14ac:dyDescent="0.2">
      <c r="A145" s="7">
        <v>45700</v>
      </c>
      <c r="B145" s="8"/>
      <c r="C145" s="9" t="s">
        <v>544</v>
      </c>
      <c r="D145" s="9" t="s">
        <v>537</v>
      </c>
      <c r="E145" s="9" t="s">
        <v>538</v>
      </c>
      <c r="F145" s="9"/>
      <c r="G145" s="9"/>
      <c r="H145" s="11">
        <v>11.52</v>
      </c>
      <c r="I145" s="11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ht="48" x14ac:dyDescent="0.2">
      <c r="A146" s="12" t="s">
        <v>325</v>
      </c>
      <c r="B146" s="13" t="s">
        <v>318</v>
      </c>
      <c r="C146" s="13" t="s">
        <v>109</v>
      </c>
      <c r="D146" s="13" t="s">
        <v>75</v>
      </c>
      <c r="E146" s="13" t="s">
        <v>76</v>
      </c>
      <c r="F146" s="13"/>
      <c r="G146" s="13"/>
      <c r="H146" s="27">
        <v>11.47</v>
      </c>
      <c r="I146" s="27"/>
      <c r="J146" s="13" t="s">
        <v>61</v>
      </c>
      <c r="K146" s="15" t="s">
        <v>62</v>
      </c>
      <c r="L146" s="13" t="s">
        <v>62</v>
      </c>
      <c r="M146" s="13" t="s">
        <v>110</v>
      </c>
      <c r="N146" s="13" t="s">
        <v>109</v>
      </c>
      <c r="O146" s="13" t="s">
        <v>111</v>
      </c>
      <c r="P146" s="13" t="s">
        <v>64</v>
      </c>
      <c r="Q146" s="13" t="s">
        <v>65</v>
      </c>
      <c r="R146" s="13" t="s">
        <v>66</v>
      </c>
      <c r="S146" s="13" t="s">
        <v>331</v>
      </c>
    </row>
    <row r="147" spans="1:19" ht="32" x14ac:dyDescent="0.2">
      <c r="A147" s="12" t="s">
        <v>325</v>
      </c>
      <c r="B147" s="13" t="s">
        <v>318</v>
      </c>
      <c r="C147" s="13" t="s">
        <v>332</v>
      </c>
      <c r="D147" s="13" t="s">
        <v>59</v>
      </c>
      <c r="E147" s="13" t="s">
        <v>60</v>
      </c>
      <c r="F147" s="13"/>
      <c r="G147" s="13"/>
      <c r="H147" s="27">
        <v>17.97</v>
      </c>
      <c r="I147" s="27"/>
      <c r="J147" s="13" t="s">
        <v>61</v>
      </c>
      <c r="K147" s="15" t="s">
        <v>62</v>
      </c>
      <c r="L147" s="13" t="s">
        <v>62</v>
      </c>
      <c r="M147" s="13" t="s">
        <v>62</v>
      </c>
      <c r="N147" s="13" t="s">
        <v>332</v>
      </c>
      <c r="O147" s="13" t="s">
        <v>333</v>
      </c>
      <c r="P147" s="13" t="s">
        <v>180</v>
      </c>
      <c r="Q147" s="13" t="s">
        <v>181</v>
      </c>
      <c r="R147" s="13" t="s">
        <v>66</v>
      </c>
      <c r="S147" s="13" t="s">
        <v>334</v>
      </c>
    </row>
    <row r="148" spans="1:19" ht="32" x14ac:dyDescent="0.2">
      <c r="A148" s="12" t="s">
        <v>325</v>
      </c>
      <c r="B148" s="13" t="s">
        <v>318</v>
      </c>
      <c r="C148" s="13" t="s">
        <v>335</v>
      </c>
      <c r="D148" s="13" t="s">
        <v>59</v>
      </c>
      <c r="E148" s="13" t="s">
        <v>60</v>
      </c>
      <c r="F148" s="13"/>
      <c r="G148" s="13"/>
      <c r="H148" s="27">
        <v>13.99</v>
      </c>
      <c r="I148" s="27"/>
      <c r="J148" s="13" t="s">
        <v>61</v>
      </c>
      <c r="K148" s="15" t="s">
        <v>62</v>
      </c>
      <c r="L148" s="13" t="s">
        <v>62</v>
      </c>
      <c r="M148" s="13" t="s">
        <v>62</v>
      </c>
      <c r="N148" s="13" t="s">
        <v>335</v>
      </c>
      <c r="O148" s="13" t="s">
        <v>336</v>
      </c>
      <c r="P148" s="13" t="s">
        <v>337</v>
      </c>
      <c r="Q148" s="13" t="s">
        <v>338</v>
      </c>
      <c r="R148" s="13" t="s">
        <v>247</v>
      </c>
      <c r="S148" s="13" t="s">
        <v>339</v>
      </c>
    </row>
    <row r="149" spans="1:19" x14ac:dyDescent="0.2">
      <c r="A149" s="7">
        <v>45700</v>
      </c>
      <c r="B149" s="8"/>
      <c r="C149" s="9" t="s">
        <v>545</v>
      </c>
      <c r="D149" s="9" t="s">
        <v>537</v>
      </c>
      <c r="E149" s="9" t="s">
        <v>538</v>
      </c>
      <c r="F149" s="9"/>
      <c r="G149" s="9"/>
      <c r="H149" s="11">
        <v>23.14</v>
      </c>
      <c r="I149" s="11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19" ht="32" x14ac:dyDescent="0.2">
      <c r="A150" s="12" t="s">
        <v>318</v>
      </c>
      <c r="B150" s="13" t="s">
        <v>318</v>
      </c>
      <c r="C150" s="13" t="s">
        <v>319</v>
      </c>
      <c r="D150" s="13" t="s">
        <v>75</v>
      </c>
      <c r="E150" s="13" t="s">
        <v>76</v>
      </c>
      <c r="F150" s="13"/>
      <c r="G150" s="13"/>
      <c r="H150" s="27">
        <v>40</v>
      </c>
      <c r="I150" s="27"/>
      <c r="J150" s="13" t="s">
        <v>61</v>
      </c>
      <c r="K150" s="15" t="s">
        <v>62</v>
      </c>
      <c r="L150" s="13" t="s">
        <v>62</v>
      </c>
      <c r="M150" s="13" t="s">
        <v>62</v>
      </c>
      <c r="N150" s="13" t="s">
        <v>319</v>
      </c>
      <c r="O150" s="13" t="s">
        <v>179</v>
      </c>
      <c r="P150" s="13" t="s">
        <v>180</v>
      </c>
      <c r="Q150" s="13" t="s">
        <v>181</v>
      </c>
      <c r="R150" s="13" t="s">
        <v>66</v>
      </c>
      <c r="S150" s="13" t="s">
        <v>320</v>
      </c>
    </row>
    <row r="151" spans="1:19" ht="48" x14ac:dyDescent="0.2">
      <c r="A151" s="12" t="s">
        <v>318</v>
      </c>
      <c r="B151" s="13" t="s">
        <v>267</v>
      </c>
      <c r="C151" s="13" t="s">
        <v>186</v>
      </c>
      <c r="D151" s="13" t="s">
        <v>59</v>
      </c>
      <c r="E151" s="13" t="s">
        <v>60</v>
      </c>
      <c r="F151" s="13"/>
      <c r="G151" s="13"/>
      <c r="H151" s="27">
        <v>80.989999999999995</v>
      </c>
      <c r="I151" s="27"/>
      <c r="J151" s="13" t="s">
        <v>61</v>
      </c>
      <c r="K151" s="15" t="s">
        <v>62</v>
      </c>
      <c r="L151" s="13" t="s">
        <v>62</v>
      </c>
      <c r="M151" s="13" t="s">
        <v>187</v>
      </c>
      <c r="N151" s="13" t="s">
        <v>186</v>
      </c>
      <c r="O151" s="13" t="s">
        <v>188</v>
      </c>
      <c r="P151" s="13" t="s">
        <v>189</v>
      </c>
      <c r="Q151" s="13" t="s">
        <v>190</v>
      </c>
      <c r="R151" s="13" t="s">
        <v>66</v>
      </c>
      <c r="S151" s="13" t="s">
        <v>321</v>
      </c>
    </row>
    <row r="152" spans="1:19" ht="32" x14ac:dyDescent="0.2">
      <c r="A152" s="12" t="s">
        <v>318</v>
      </c>
      <c r="B152" s="13" t="s">
        <v>318</v>
      </c>
      <c r="C152" s="13" t="s">
        <v>322</v>
      </c>
      <c r="D152" s="13" t="s">
        <v>75</v>
      </c>
      <c r="E152" s="13" t="s">
        <v>76</v>
      </c>
      <c r="F152" s="13"/>
      <c r="G152" s="13"/>
      <c r="H152" s="27">
        <v>61.8</v>
      </c>
      <c r="I152" s="27"/>
      <c r="J152" s="13" t="s">
        <v>61</v>
      </c>
      <c r="K152" s="15" t="s">
        <v>62</v>
      </c>
      <c r="L152" s="13" t="s">
        <v>62</v>
      </c>
      <c r="M152" s="13" t="s">
        <v>62</v>
      </c>
      <c r="N152" s="13" t="s">
        <v>322</v>
      </c>
      <c r="O152" s="13" t="s">
        <v>323</v>
      </c>
      <c r="P152" s="13" t="s">
        <v>64</v>
      </c>
      <c r="Q152" s="13" t="s">
        <v>65</v>
      </c>
      <c r="R152" s="13" t="s">
        <v>66</v>
      </c>
      <c r="S152" s="13" t="s">
        <v>324</v>
      </c>
    </row>
    <row r="153" spans="1:19" x14ac:dyDescent="0.2">
      <c r="A153" s="7">
        <v>45702</v>
      </c>
      <c r="B153" s="17"/>
      <c r="C153" s="9" t="s">
        <v>580</v>
      </c>
      <c r="D153" s="9" t="s">
        <v>556</v>
      </c>
      <c r="E153" s="9" t="s">
        <v>557</v>
      </c>
      <c r="F153" s="9"/>
      <c r="G153" s="9"/>
      <c r="H153" s="11">
        <v>34.9</v>
      </c>
      <c r="I153" s="11"/>
      <c r="J153" s="9" t="s">
        <v>558</v>
      </c>
      <c r="K153" s="9"/>
      <c r="L153" s="9">
        <v>-4474.26</v>
      </c>
      <c r="M153" s="9" t="s">
        <v>581</v>
      </c>
      <c r="N153" s="9" t="s">
        <v>582</v>
      </c>
      <c r="O153" s="9"/>
      <c r="P153" s="9"/>
      <c r="Q153" s="9"/>
      <c r="R153" s="9"/>
      <c r="S153" s="9"/>
    </row>
    <row r="154" spans="1:19" x14ac:dyDescent="0.2">
      <c r="A154" s="7">
        <v>45702</v>
      </c>
      <c r="B154" s="17"/>
      <c r="C154" s="9" t="s">
        <v>580</v>
      </c>
      <c r="D154" s="9" t="s">
        <v>556</v>
      </c>
      <c r="E154" s="9" t="s">
        <v>557</v>
      </c>
      <c r="F154" s="9"/>
      <c r="G154" s="9"/>
      <c r="H154" s="11">
        <v>18.63</v>
      </c>
      <c r="I154" s="11"/>
      <c r="J154" s="9" t="s">
        <v>558</v>
      </c>
      <c r="K154" s="9"/>
      <c r="L154" s="9">
        <v>-4439.3599999999997</v>
      </c>
      <c r="M154" s="9" t="s">
        <v>581</v>
      </c>
      <c r="N154" s="9" t="s">
        <v>582</v>
      </c>
      <c r="O154" s="9"/>
      <c r="P154" s="9"/>
      <c r="Q154" s="9"/>
      <c r="R154" s="9"/>
      <c r="S154" s="9"/>
    </row>
    <row r="155" spans="1:19" ht="32" x14ac:dyDescent="0.2">
      <c r="A155" s="12" t="s">
        <v>308</v>
      </c>
      <c r="B155" s="13" t="s">
        <v>287</v>
      </c>
      <c r="C155" s="13" t="s">
        <v>433</v>
      </c>
      <c r="D155" s="13" t="s">
        <v>59</v>
      </c>
      <c r="E155" s="13" t="s">
        <v>426</v>
      </c>
      <c r="F155" s="13"/>
      <c r="G155" s="13"/>
      <c r="H155" s="27">
        <v>6.5</v>
      </c>
      <c r="I155" s="27"/>
      <c r="J155" s="13" t="s">
        <v>61</v>
      </c>
      <c r="K155" s="15" t="s">
        <v>62</v>
      </c>
      <c r="L155" s="13" t="s">
        <v>62</v>
      </c>
      <c r="M155" s="13" t="s">
        <v>62</v>
      </c>
      <c r="N155" s="13" t="s">
        <v>433</v>
      </c>
      <c r="O155" s="13" t="s">
        <v>434</v>
      </c>
      <c r="P155" s="13" t="s">
        <v>293</v>
      </c>
      <c r="Q155" s="13" t="s">
        <v>294</v>
      </c>
      <c r="R155" s="13" t="s">
        <v>66</v>
      </c>
      <c r="S155" s="13" t="s">
        <v>474</v>
      </c>
    </row>
    <row r="156" spans="1:19" ht="32" x14ac:dyDescent="0.2">
      <c r="A156" s="12" t="s">
        <v>308</v>
      </c>
      <c r="B156" s="13" t="s">
        <v>287</v>
      </c>
      <c r="C156" s="13" t="s">
        <v>315</v>
      </c>
      <c r="D156" s="13" t="s">
        <v>59</v>
      </c>
      <c r="E156" s="13" t="s">
        <v>60</v>
      </c>
      <c r="F156" s="13"/>
      <c r="G156" s="13"/>
      <c r="H156" s="27">
        <v>141.59</v>
      </c>
      <c r="I156" s="27"/>
      <c r="J156" s="13" t="s">
        <v>61</v>
      </c>
      <c r="K156" s="15" t="s">
        <v>62</v>
      </c>
      <c r="L156" s="13" t="s">
        <v>62</v>
      </c>
      <c r="M156" s="13" t="s">
        <v>62</v>
      </c>
      <c r="N156" s="13" t="s">
        <v>315</v>
      </c>
      <c r="O156" s="13" t="s">
        <v>316</v>
      </c>
      <c r="P156" s="13" t="s">
        <v>293</v>
      </c>
      <c r="Q156" s="13" t="s">
        <v>294</v>
      </c>
      <c r="R156" s="13" t="s">
        <v>66</v>
      </c>
      <c r="S156" s="13" t="s">
        <v>317</v>
      </c>
    </row>
    <row r="157" spans="1:19" ht="32" x14ac:dyDescent="0.2">
      <c r="A157" s="12" t="s">
        <v>287</v>
      </c>
      <c r="B157" s="13" t="s">
        <v>267</v>
      </c>
      <c r="C157" s="13" t="s">
        <v>468</v>
      </c>
      <c r="D157" s="13" t="s">
        <v>59</v>
      </c>
      <c r="E157" s="13" t="s">
        <v>426</v>
      </c>
      <c r="F157" s="13"/>
      <c r="G157" s="13"/>
      <c r="H157" s="27">
        <v>35.74</v>
      </c>
      <c r="I157" s="27"/>
      <c r="J157" s="13" t="s">
        <v>469</v>
      </c>
      <c r="K157" s="15">
        <v>1.04</v>
      </c>
      <c r="L157" s="13" t="s">
        <v>62</v>
      </c>
      <c r="M157" s="13" t="s">
        <v>62</v>
      </c>
      <c r="N157" s="13" t="s">
        <v>468</v>
      </c>
      <c r="O157" s="13" t="s">
        <v>470</v>
      </c>
      <c r="P157" s="13" t="s">
        <v>62</v>
      </c>
      <c r="Q157" s="13" t="s">
        <v>471</v>
      </c>
      <c r="R157" s="13" t="s">
        <v>472</v>
      </c>
      <c r="S157" s="13" t="s">
        <v>473</v>
      </c>
    </row>
    <row r="158" spans="1:19" ht="32" x14ac:dyDescent="0.2">
      <c r="A158" s="38" t="s">
        <v>287</v>
      </c>
      <c r="B158" s="39" t="s">
        <v>267</v>
      </c>
      <c r="C158" s="39" t="s">
        <v>302</v>
      </c>
      <c r="D158" s="39" t="s">
        <v>59</v>
      </c>
      <c r="E158" s="39" t="s">
        <v>60</v>
      </c>
      <c r="F158" s="39"/>
      <c r="G158" s="39"/>
      <c r="H158" s="40">
        <v>110.03</v>
      </c>
      <c r="I158" s="40"/>
      <c r="J158" s="39" t="s">
        <v>61</v>
      </c>
      <c r="K158" s="41" t="s">
        <v>62</v>
      </c>
      <c r="L158" s="39" t="s">
        <v>62</v>
      </c>
      <c r="M158" s="39" t="s">
        <v>62</v>
      </c>
      <c r="N158" s="39" t="s">
        <v>302</v>
      </c>
      <c r="O158" s="39" t="s">
        <v>303</v>
      </c>
      <c r="P158" s="39" t="s">
        <v>304</v>
      </c>
      <c r="Q158" s="39" t="s">
        <v>305</v>
      </c>
      <c r="R158" s="39" t="s">
        <v>81</v>
      </c>
      <c r="S158" s="39" t="s">
        <v>306</v>
      </c>
    </row>
    <row r="159" spans="1:19" ht="48" x14ac:dyDescent="0.2">
      <c r="A159" s="38" t="s">
        <v>287</v>
      </c>
      <c r="B159" s="39" t="s">
        <v>267</v>
      </c>
      <c r="C159" s="39" t="s">
        <v>109</v>
      </c>
      <c r="D159" s="39" t="s">
        <v>59</v>
      </c>
      <c r="E159" s="39" t="s">
        <v>60</v>
      </c>
      <c r="F159" s="39"/>
      <c r="G159" s="39"/>
      <c r="H159" s="40">
        <v>13.46</v>
      </c>
      <c r="I159" s="40"/>
      <c r="J159" s="39" t="s">
        <v>61</v>
      </c>
      <c r="K159" s="41" t="s">
        <v>62</v>
      </c>
      <c r="L159" s="39" t="s">
        <v>62</v>
      </c>
      <c r="M159" s="39" t="s">
        <v>110</v>
      </c>
      <c r="N159" s="39" t="s">
        <v>109</v>
      </c>
      <c r="O159" s="39" t="s">
        <v>111</v>
      </c>
      <c r="P159" s="39" t="s">
        <v>64</v>
      </c>
      <c r="Q159" s="39" t="s">
        <v>65</v>
      </c>
      <c r="R159" s="39" t="s">
        <v>66</v>
      </c>
      <c r="S159" s="39" t="s">
        <v>307</v>
      </c>
    </row>
    <row r="160" spans="1:19" ht="32" x14ac:dyDescent="0.2">
      <c r="A160" s="38" t="s">
        <v>267</v>
      </c>
      <c r="B160" s="39" t="s">
        <v>267</v>
      </c>
      <c r="C160" s="39" t="s">
        <v>279</v>
      </c>
      <c r="D160" s="39" t="s">
        <v>59</v>
      </c>
      <c r="E160" s="39" t="s">
        <v>60</v>
      </c>
      <c r="F160" s="39"/>
      <c r="G160" s="39"/>
      <c r="H160" s="40">
        <v>183.2</v>
      </c>
      <c r="I160" s="40"/>
      <c r="J160" s="39" t="s">
        <v>61</v>
      </c>
      <c r="K160" s="41" t="s">
        <v>62</v>
      </c>
      <c r="L160" s="39" t="s">
        <v>62</v>
      </c>
      <c r="M160" s="39" t="s">
        <v>62</v>
      </c>
      <c r="N160" s="39" t="s">
        <v>279</v>
      </c>
      <c r="O160" s="39" t="s">
        <v>280</v>
      </c>
      <c r="P160" s="39" t="s">
        <v>64</v>
      </c>
      <c r="Q160" s="39" t="s">
        <v>65</v>
      </c>
      <c r="R160" s="39" t="s">
        <v>66</v>
      </c>
      <c r="S160" s="39" t="s">
        <v>281</v>
      </c>
    </row>
    <row r="161" spans="1:19" ht="48" x14ac:dyDescent="0.2">
      <c r="A161" s="38" t="s">
        <v>267</v>
      </c>
      <c r="B161" s="39" t="s">
        <v>241</v>
      </c>
      <c r="C161" s="39" t="s">
        <v>109</v>
      </c>
      <c r="D161" s="39" t="s">
        <v>75</v>
      </c>
      <c r="E161" s="39" t="s">
        <v>76</v>
      </c>
      <c r="F161" s="39"/>
      <c r="G161" s="39"/>
      <c r="H161" s="40">
        <v>273.63</v>
      </c>
      <c r="I161" s="40"/>
      <c r="J161" s="39" t="s">
        <v>61</v>
      </c>
      <c r="K161" s="41" t="s">
        <v>62</v>
      </c>
      <c r="L161" s="39" t="s">
        <v>62</v>
      </c>
      <c r="M161" s="39" t="s">
        <v>110</v>
      </c>
      <c r="N161" s="39" t="s">
        <v>109</v>
      </c>
      <c r="O161" s="39" t="s">
        <v>111</v>
      </c>
      <c r="P161" s="39" t="s">
        <v>64</v>
      </c>
      <c r="Q161" s="39" t="s">
        <v>65</v>
      </c>
      <c r="R161" s="39" t="s">
        <v>66</v>
      </c>
      <c r="S161" s="39" t="s">
        <v>282</v>
      </c>
    </row>
    <row r="162" spans="1:19" ht="32" x14ac:dyDescent="0.2">
      <c r="A162" s="38" t="s">
        <v>267</v>
      </c>
      <c r="B162" s="39" t="s">
        <v>252</v>
      </c>
      <c r="C162" s="39" t="s">
        <v>283</v>
      </c>
      <c r="D162" s="39" t="s">
        <v>59</v>
      </c>
      <c r="E162" s="39" t="s">
        <v>60</v>
      </c>
      <c r="F162" s="39"/>
      <c r="G162" s="39"/>
      <c r="H162" s="40">
        <v>36.78</v>
      </c>
      <c r="I162" s="40"/>
      <c r="J162" s="39" t="s">
        <v>61</v>
      </c>
      <c r="K162" s="41" t="s">
        <v>62</v>
      </c>
      <c r="L162" s="39" t="s">
        <v>62</v>
      </c>
      <c r="M162" s="39" t="s">
        <v>62</v>
      </c>
      <c r="N162" s="39" t="s">
        <v>283</v>
      </c>
      <c r="O162" s="39" t="s">
        <v>284</v>
      </c>
      <c r="P162" s="39" t="s">
        <v>285</v>
      </c>
      <c r="Q162" s="39" t="s">
        <v>65</v>
      </c>
      <c r="R162" s="39" t="s">
        <v>66</v>
      </c>
      <c r="S162" s="39" t="s">
        <v>286</v>
      </c>
    </row>
    <row r="163" spans="1:19" x14ac:dyDescent="0.2">
      <c r="A163" s="35">
        <v>45705</v>
      </c>
      <c r="B163" s="36"/>
      <c r="C163" t="s">
        <v>575</v>
      </c>
      <c r="D163" t="s">
        <v>556</v>
      </c>
      <c r="E163" t="s">
        <v>557</v>
      </c>
      <c r="H163" s="4">
        <v>11.46</v>
      </c>
      <c r="J163" t="s">
        <v>558</v>
      </c>
      <c r="L163">
        <v>-5785.42</v>
      </c>
      <c r="M163" t="s">
        <v>559</v>
      </c>
      <c r="N163" t="s">
        <v>576</v>
      </c>
    </row>
    <row r="164" spans="1:19" x14ac:dyDescent="0.2">
      <c r="A164" s="35">
        <v>45705</v>
      </c>
      <c r="B164" s="3"/>
      <c r="C164" t="s">
        <v>543</v>
      </c>
      <c r="D164" t="s">
        <v>537</v>
      </c>
      <c r="E164" t="s">
        <v>538</v>
      </c>
      <c r="H164" s="4">
        <v>355.48</v>
      </c>
    </row>
    <row r="165" spans="1:19" ht="48" x14ac:dyDescent="0.2">
      <c r="A165" s="38" t="s">
        <v>233</v>
      </c>
      <c r="B165" s="39" t="s">
        <v>196</v>
      </c>
      <c r="C165" s="39" t="s">
        <v>109</v>
      </c>
      <c r="D165" s="39" t="s">
        <v>59</v>
      </c>
      <c r="E165" s="39" t="s">
        <v>60</v>
      </c>
      <c r="F165" s="39"/>
      <c r="G165" s="39"/>
      <c r="H165" s="40">
        <v>19.91</v>
      </c>
      <c r="I165" s="40"/>
      <c r="J165" s="39" t="s">
        <v>61</v>
      </c>
      <c r="K165" s="41" t="s">
        <v>62</v>
      </c>
      <c r="L165" s="39" t="s">
        <v>62</v>
      </c>
      <c r="M165" s="39" t="s">
        <v>110</v>
      </c>
      <c r="N165" s="39" t="s">
        <v>109</v>
      </c>
      <c r="O165" s="39" t="s">
        <v>111</v>
      </c>
      <c r="P165" s="39" t="s">
        <v>64</v>
      </c>
      <c r="Q165" s="39" t="s">
        <v>65</v>
      </c>
      <c r="R165" s="39" t="s">
        <v>66</v>
      </c>
      <c r="S165" s="39" t="s">
        <v>234</v>
      </c>
    </row>
    <row r="166" spans="1:19" ht="48" x14ac:dyDescent="0.2">
      <c r="A166" s="38" t="s">
        <v>233</v>
      </c>
      <c r="B166" s="39" t="s">
        <v>196</v>
      </c>
      <c r="C166" s="39" t="s">
        <v>109</v>
      </c>
      <c r="D166" s="39" t="s">
        <v>75</v>
      </c>
      <c r="E166" s="39" t="s">
        <v>76</v>
      </c>
      <c r="F166" s="39"/>
      <c r="G166" s="39"/>
      <c r="H166" s="40">
        <v>22.24</v>
      </c>
      <c r="I166" s="40"/>
      <c r="J166" s="39" t="s">
        <v>61</v>
      </c>
      <c r="K166" s="41" t="s">
        <v>62</v>
      </c>
      <c r="L166" s="39" t="s">
        <v>62</v>
      </c>
      <c r="M166" s="39" t="s">
        <v>110</v>
      </c>
      <c r="N166" s="39" t="s">
        <v>109</v>
      </c>
      <c r="O166" s="39" t="s">
        <v>111</v>
      </c>
      <c r="P166" s="39" t="s">
        <v>64</v>
      </c>
      <c r="Q166" s="39" t="s">
        <v>65</v>
      </c>
      <c r="R166" s="39" t="s">
        <v>66</v>
      </c>
      <c r="S166" s="39" t="s">
        <v>235</v>
      </c>
    </row>
    <row r="167" spans="1:19" ht="48" x14ac:dyDescent="0.2">
      <c r="A167" s="38" t="s">
        <v>233</v>
      </c>
      <c r="B167" s="39" t="s">
        <v>227</v>
      </c>
      <c r="C167" s="39" t="s">
        <v>109</v>
      </c>
      <c r="D167" s="39" t="s">
        <v>59</v>
      </c>
      <c r="E167" s="39" t="s">
        <v>60</v>
      </c>
      <c r="F167" s="39"/>
      <c r="G167" s="39"/>
      <c r="H167" s="40">
        <v>28</v>
      </c>
      <c r="I167" s="40"/>
      <c r="J167" s="39" t="s">
        <v>61</v>
      </c>
      <c r="K167" s="41" t="s">
        <v>62</v>
      </c>
      <c r="L167" s="39" t="s">
        <v>62</v>
      </c>
      <c r="M167" s="39" t="s">
        <v>110</v>
      </c>
      <c r="N167" s="39" t="s">
        <v>109</v>
      </c>
      <c r="O167" s="39" t="s">
        <v>111</v>
      </c>
      <c r="P167" s="39" t="s">
        <v>64</v>
      </c>
      <c r="Q167" s="39" t="s">
        <v>65</v>
      </c>
      <c r="R167" s="39" t="s">
        <v>66</v>
      </c>
      <c r="S167" s="39" t="s">
        <v>236</v>
      </c>
    </row>
    <row r="168" spans="1:19" ht="48" x14ac:dyDescent="0.2">
      <c r="A168" s="38" t="s">
        <v>233</v>
      </c>
      <c r="B168" s="39" t="s">
        <v>227</v>
      </c>
      <c r="C168" s="39" t="s">
        <v>109</v>
      </c>
      <c r="D168" s="39" t="s">
        <v>59</v>
      </c>
      <c r="E168" s="39" t="s">
        <v>60</v>
      </c>
      <c r="F168" s="39"/>
      <c r="G168" s="39"/>
      <c r="H168" s="40">
        <v>28.96</v>
      </c>
      <c r="I168" s="40"/>
      <c r="J168" s="39" t="s">
        <v>61</v>
      </c>
      <c r="K168" s="41" t="s">
        <v>62</v>
      </c>
      <c r="L168" s="39" t="s">
        <v>62</v>
      </c>
      <c r="M168" s="39" t="s">
        <v>110</v>
      </c>
      <c r="N168" s="39" t="s">
        <v>109</v>
      </c>
      <c r="O168" s="39" t="s">
        <v>111</v>
      </c>
      <c r="P168" s="39" t="s">
        <v>64</v>
      </c>
      <c r="Q168" s="39" t="s">
        <v>65</v>
      </c>
      <c r="R168" s="39" t="s">
        <v>66</v>
      </c>
      <c r="S168" s="39" t="s">
        <v>237</v>
      </c>
    </row>
    <row r="169" spans="1:19" ht="48" x14ac:dyDescent="0.2">
      <c r="A169" s="38" t="s">
        <v>233</v>
      </c>
      <c r="B169" s="39" t="s">
        <v>227</v>
      </c>
      <c r="C169" s="39" t="s">
        <v>109</v>
      </c>
      <c r="D169" s="39" t="s">
        <v>59</v>
      </c>
      <c r="E169" s="39" t="s">
        <v>60</v>
      </c>
      <c r="F169" s="39"/>
      <c r="G169" s="39"/>
      <c r="H169" s="40">
        <v>33.950000000000003</v>
      </c>
      <c r="I169" s="40"/>
      <c r="J169" s="39" t="s">
        <v>61</v>
      </c>
      <c r="K169" s="41" t="s">
        <v>62</v>
      </c>
      <c r="L169" s="39" t="s">
        <v>62</v>
      </c>
      <c r="M169" s="39" t="s">
        <v>110</v>
      </c>
      <c r="N169" s="39" t="s">
        <v>109</v>
      </c>
      <c r="O169" s="39" t="s">
        <v>111</v>
      </c>
      <c r="P169" s="39" t="s">
        <v>64</v>
      </c>
      <c r="Q169" s="39" t="s">
        <v>65</v>
      </c>
      <c r="R169" s="39" t="s">
        <v>66</v>
      </c>
      <c r="S169" s="39" t="s">
        <v>238</v>
      </c>
    </row>
    <row r="170" spans="1:19" ht="48" x14ac:dyDescent="0.2">
      <c r="A170" s="38" t="s">
        <v>233</v>
      </c>
      <c r="B170" s="39" t="s">
        <v>192</v>
      </c>
      <c r="C170" s="39" t="s">
        <v>186</v>
      </c>
      <c r="D170" s="39" t="s">
        <v>59</v>
      </c>
      <c r="E170" s="39" t="s">
        <v>60</v>
      </c>
      <c r="F170" s="39"/>
      <c r="G170" s="39"/>
      <c r="H170" s="40">
        <v>13.92</v>
      </c>
      <c r="I170" s="40"/>
      <c r="J170" s="39" t="s">
        <v>61</v>
      </c>
      <c r="K170" s="41" t="s">
        <v>62</v>
      </c>
      <c r="L170" s="39" t="s">
        <v>62</v>
      </c>
      <c r="M170" s="39" t="s">
        <v>187</v>
      </c>
      <c r="N170" s="39" t="s">
        <v>186</v>
      </c>
      <c r="O170" s="39" t="s">
        <v>188</v>
      </c>
      <c r="P170" s="39" t="s">
        <v>189</v>
      </c>
      <c r="Q170" s="39" t="s">
        <v>190</v>
      </c>
      <c r="R170" s="39" t="s">
        <v>66</v>
      </c>
      <c r="S170" s="39" t="s">
        <v>239</v>
      </c>
    </row>
    <row r="171" spans="1:19" ht="48" x14ac:dyDescent="0.2">
      <c r="A171" s="38" t="s">
        <v>233</v>
      </c>
      <c r="B171" s="39" t="s">
        <v>192</v>
      </c>
      <c r="C171" s="39" t="s">
        <v>186</v>
      </c>
      <c r="D171" s="39" t="s">
        <v>59</v>
      </c>
      <c r="E171" s="39" t="s">
        <v>60</v>
      </c>
      <c r="F171" s="39"/>
      <c r="G171" s="39"/>
      <c r="H171" s="40">
        <v>44.32</v>
      </c>
      <c r="I171" s="40"/>
      <c r="J171" s="39" t="s">
        <v>61</v>
      </c>
      <c r="K171" s="41" t="s">
        <v>62</v>
      </c>
      <c r="L171" s="39" t="s">
        <v>62</v>
      </c>
      <c r="M171" s="39" t="s">
        <v>187</v>
      </c>
      <c r="N171" s="39" t="s">
        <v>186</v>
      </c>
      <c r="O171" s="39" t="s">
        <v>188</v>
      </c>
      <c r="P171" s="39" t="s">
        <v>189</v>
      </c>
      <c r="Q171" s="39" t="s">
        <v>190</v>
      </c>
      <c r="R171" s="39" t="s">
        <v>66</v>
      </c>
      <c r="S171" s="39" t="s">
        <v>240</v>
      </c>
    </row>
    <row r="172" spans="1:19" ht="48" x14ac:dyDescent="0.2">
      <c r="A172" s="38" t="s">
        <v>227</v>
      </c>
      <c r="B172" s="39" t="s">
        <v>196</v>
      </c>
      <c r="C172" s="39" t="s">
        <v>109</v>
      </c>
      <c r="D172" s="39" t="s">
        <v>59</v>
      </c>
      <c r="E172" s="39" t="s">
        <v>60</v>
      </c>
      <c r="F172" s="39"/>
      <c r="G172" s="39"/>
      <c r="H172" s="40">
        <v>11.52</v>
      </c>
      <c r="I172" s="40"/>
      <c r="J172" s="39" t="s">
        <v>61</v>
      </c>
      <c r="K172" s="41" t="s">
        <v>62</v>
      </c>
      <c r="L172" s="39" t="s">
        <v>62</v>
      </c>
      <c r="M172" s="39" t="s">
        <v>110</v>
      </c>
      <c r="N172" s="39" t="s">
        <v>109</v>
      </c>
      <c r="O172" s="39" t="s">
        <v>111</v>
      </c>
      <c r="P172" s="39" t="s">
        <v>64</v>
      </c>
      <c r="Q172" s="39" t="s">
        <v>65</v>
      </c>
      <c r="R172" s="39" t="s">
        <v>66</v>
      </c>
      <c r="S172" s="39" t="s">
        <v>232</v>
      </c>
    </row>
    <row r="173" spans="1:19" x14ac:dyDescent="0.2">
      <c r="A173" s="35">
        <v>45708</v>
      </c>
      <c r="B173" s="3"/>
      <c r="C173" t="s">
        <v>542</v>
      </c>
      <c r="D173" t="s">
        <v>537</v>
      </c>
      <c r="E173" t="s">
        <v>538</v>
      </c>
      <c r="H173" s="4">
        <v>128.74</v>
      </c>
    </row>
    <row r="174" spans="1:19" ht="32" x14ac:dyDescent="0.2">
      <c r="A174" s="38" t="s">
        <v>196</v>
      </c>
      <c r="B174" s="39" t="s">
        <v>192</v>
      </c>
      <c r="C174" s="39" t="s">
        <v>433</v>
      </c>
      <c r="D174" s="39" t="s">
        <v>59</v>
      </c>
      <c r="E174" s="39" t="s">
        <v>426</v>
      </c>
      <c r="F174" s="39"/>
      <c r="G174" s="39"/>
      <c r="H174" s="40">
        <v>6.5</v>
      </c>
      <c r="I174" s="40"/>
      <c r="J174" s="39" t="s">
        <v>61</v>
      </c>
      <c r="K174" s="41" t="s">
        <v>62</v>
      </c>
      <c r="L174" s="39" t="s">
        <v>62</v>
      </c>
      <c r="M174" s="39" t="s">
        <v>62</v>
      </c>
      <c r="N174" s="39" t="s">
        <v>433</v>
      </c>
      <c r="O174" s="39" t="s">
        <v>434</v>
      </c>
      <c r="P174" s="39" t="s">
        <v>293</v>
      </c>
      <c r="Q174" s="39" t="s">
        <v>294</v>
      </c>
      <c r="R174" s="39" t="s">
        <v>66</v>
      </c>
      <c r="S174" s="39" t="s">
        <v>458</v>
      </c>
    </row>
    <row r="175" spans="1:19" ht="32" x14ac:dyDescent="0.2">
      <c r="A175" s="38" t="s">
        <v>196</v>
      </c>
      <c r="B175" s="39" t="s">
        <v>192</v>
      </c>
      <c r="C175" s="39" t="s">
        <v>459</v>
      </c>
      <c r="D175" s="39" t="s">
        <v>59</v>
      </c>
      <c r="E175" s="39" t="s">
        <v>426</v>
      </c>
      <c r="F175" s="39"/>
      <c r="G175" s="39"/>
      <c r="H175" s="40">
        <v>96.96</v>
      </c>
      <c r="I175" s="40"/>
      <c r="J175" s="39" t="s">
        <v>460</v>
      </c>
      <c r="K175" s="41">
        <v>2.82</v>
      </c>
      <c r="L175" s="39" t="s">
        <v>62</v>
      </c>
      <c r="M175" s="39" t="s">
        <v>62</v>
      </c>
      <c r="N175" s="39" t="s">
        <v>459</v>
      </c>
      <c r="O175" s="39" t="s">
        <v>461</v>
      </c>
      <c r="P175" s="39" t="s">
        <v>462</v>
      </c>
      <c r="Q175" s="39" t="s">
        <v>463</v>
      </c>
      <c r="R175" s="39" t="s">
        <v>81</v>
      </c>
      <c r="S175" s="39" t="s">
        <v>464</v>
      </c>
    </row>
    <row r="176" spans="1:19" ht="32" x14ac:dyDescent="0.2">
      <c r="A176" s="38" t="s">
        <v>196</v>
      </c>
      <c r="B176" s="39" t="s">
        <v>192</v>
      </c>
      <c r="C176" s="39" t="s">
        <v>222</v>
      </c>
      <c r="D176" s="39" t="s">
        <v>75</v>
      </c>
      <c r="E176" s="39" t="s">
        <v>76</v>
      </c>
      <c r="F176" s="39"/>
      <c r="G176" s="39"/>
      <c r="H176" s="40">
        <v>9.99</v>
      </c>
      <c r="I176" s="40"/>
      <c r="J176" s="39" t="s">
        <v>61</v>
      </c>
      <c r="K176" s="41" t="s">
        <v>62</v>
      </c>
      <c r="L176" s="39" t="s">
        <v>62</v>
      </c>
      <c r="M176" s="39" t="s">
        <v>62</v>
      </c>
      <c r="N176" s="39" t="s">
        <v>222</v>
      </c>
      <c r="O176" s="39" t="s">
        <v>223</v>
      </c>
      <c r="P176" s="39" t="s">
        <v>224</v>
      </c>
      <c r="Q176" s="39" t="s">
        <v>225</v>
      </c>
      <c r="R176" s="39" t="s">
        <v>66</v>
      </c>
      <c r="S176" s="39" t="s">
        <v>226</v>
      </c>
    </row>
    <row r="177" spans="1:19" ht="32" x14ac:dyDescent="0.2">
      <c r="A177" s="38" t="s">
        <v>192</v>
      </c>
      <c r="B177" s="39" t="s">
        <v>173</v>
      </c>
      <c r="C177" s="39" t="s">
        <v>429</v>
      </c>
      <c r="D177" s="39" t="s">
        <v>59</v>
      </c>
      <c r="E177" s="39" t="s">
        <v>426</v>
      </c>
      <c r="F177" s="39"/>
      <c r="G177" s="39"/>
      <c r="H177" s="40">
        <v>44.7</v>
      </c>
      <c r="I177" s="40"/>
      <c r="J177" s="39" t="s">
        <v>61</v>
      </c>
      <c r="K177" s="41" t="s">
        <v>62</v>
      </c>
      <c r="L177" s="39" t="s">
        <v>62</v>
      </c>
      <c r="M177" s="39" t="s">
        <v>62</v>
      </c>
      <c r="N177" s="39" t="s">
        <v>429</v>
      </c>
      <c r="O177" s="39" t="s">
        <v>430</v>
      </c>
      <c r="P177" s="39" t="s">
        <v>431</v>
      </c>
      <c r="Q177" s="39" t="s">
        <v>65</v>
      </c>
      <c r="R177" s="39" t="s">
        <v>66</v>
      </c>
      <c r="S177" s="39" t="s">
        <v>452</v>
      </c>
    </row>
    <row r="178" spans="1:19" ht="32" x14ac:dyDescent="0.2">
      <c r="A178" s="38" t="s">
        <v>192</v>
      </c>
      <c r="B178" s="39" t="s">
        <v>192</v>
      </c>
      <c r="C178" s="39" t="s">
        <v>453</v>
      </c>
      <c r="D178" s="39" t="s">
        <v>59</v>
      </c>
      <c r="E178" s="39" t="s">
        <v>426</v>
      </c>
      <c r="F178" s="39"/>
      <c r="G178" s="39"/>
      <c r="H178" s="40">
        <v>89.95</v>
      </c>
      <c r="I178" s="40"/>
      <c r="J178" s="39" t="s">
        <v>61</v>
      </c>
      <c r="K178" s="41" t="s">
        <v>62</v>
      </c>
      <c r="L178" s="39" t="s">
        <v>62</v>
      </c>
      <c r="M178" s="39" t="s">
        <v>62</v>
      </c>
      <c r="N178" s="39" t="s">
        <v>453</v>
      </c>
      <c r="O178" s="39" t="s">
        <v>454</v>
      </c>
      <c r="P178" s="39" t="s">
        <v>455</v>
      </c>
      <c r="Q178" s="39" t="s">
        <v>456</v>
      </c>
      <c r="R178" s="39" t="s">
        <v>66</v>
      </c>
      <c r="S178" s="39" t="s">
        <v>457</v>
      </c>
    </row>
    <row r="179" spans="1:19" ht="32" x14ac:dyDescent="0.2">
      <c r="A179" s="38" t="s">
        <v>192</v>
      </c>
      <c r="B179" s="39" t="s">
        <v>192</v>
      </c>
      <c r="C179" s="39" t="s">
        <v>193</v>
      </c>
      <c r="D179" s="39" t="s">
        <v>75</v>
      </c>
      <c r="E179" s="39" t="s">
        <v>76</v>
      </c>
      <c r="F179" s="39"/>
      <c r="G179" s="39"/>
      <c r="H179" s="40">
        <v>60.12</v>
      </c>
      <c r="I179" s="40"/>
      <c r="J179" s="39" t="s">
        <v>61</v>
      </c>
      <c r="K179" s="41" t="s">
        <v>62</v>
      </c>
      <c r="L179" s="39" t="s">
        <v>62</v>
      </c>
      <c r="M179" s="39" t="s">
        <v>62</v>
      </c>
      <c r="N179" s="39" t="s">
        <v>193</v>
      </c>
      <c r="O179" s="39" t="s">
        <v>194</v>
      </c>
      <c r="P179" s="39" t="s">
        <v>189</v>
      </c>
      <c r="Q179" s="39" t="s">
        <v>190</v>
      </c>
      <c r="R179" s="39" t="s">
        <v>66</v>
      </c>
      <c r="S179" s="39" t="s">
        <v>195</v>
      </c>
    </row>
    <row r="180" spans="1:19" ht="48" x14ac:dyDescent="0.2">
      <c r="A180" s="38" t="s">
        <v>173</v>
      </c>
      <c r="B180" s="39" t="s">
        <v>166</v>
      </c>
      <c r="C180" s="39" t="s">
        <v>109</v>
      </c>
      <c r="D180" s="39" t="s">
        <v>59</v>
      </c>
      <c r="E180" s="39" t="s">
        <v>60</v>
      </c>
      <c r="F180" s="39"/>
      <c r="G180" s="39"/>
      <c r="H180" s="40">
        <v>17.61</v>
      </c>
      <c r="I180" s="40"/>
      <c r="J180" s="39" t="s">
        <v>61</v>
      </c>
      <c r="K180" s="41" t="s">
        <v>62</v>
      </c>
      <c r="L180" s="39" t="s">
        <v>62</v>
      </c>
      <c r="M180" s="39" t="s">
        <v>110</v>
      </c>
      <c r="N180" s="39" t="s">
        <v>109</v>
      </c>
      <c r="O180" s="39" t="s">
        <v>111</v>
      </c>
      <c r="P180" s="39" t="s">
        <v>64</v>
      </c>
      <c r="Q180" s="39" t="s">
        <v>65</v>
      </c>
      <c r="R180" s="39" t="s">
        <v>66</v>
      </c>
      <c r="S180" s="39" t="s">
        <v>183</v>
      </c>
    </row>
    <row r="181" spans="1:19" ht="48" x14ac:dyDescent="0.2">
      <c r="A181" s="38" t="s">
        <v>173</v>
      </c>
      <c r="B181" s="39" t="s">
        <v>166</v>
      </c>
      <c r="C181" s="39" t="s">
        <v>109</v>
      </c>
      <c r="D181" s="39" t="s">
        <v>59</v>
      </c>
      <c r="E181" s="39" t="s">
        <v>60</v>
      </c>
      <c r="F181" s="39"/>
      <c r="G181" s="39"/>
      <c r="H181" s="40">
        <v>18.96</v>
      </c>
      <c r="I181" s="40"/>
      <c r="J181" s="39" t="s">
        <v>61</v>
      </c>
      <c r="K181" s="41" t="s">
        <v>62</v>
      </c>
      <c r="L181" s="39" t="s">
        <v>62</v>
      </c>
      <c r="M181" s="39" t="s">
        <v>110</v>
      </c>
      <c r="N181" s="39" t="s">
        <v>109</v>
      </c>
      <c r="O181" s="39" t="s">
        <v>111</v>
      </c>
      <c r="P181" s="39" t="s">
        <v>64</v>
      </c>
      <c r="Q181" s="39" t="s">
        <v>65</v>
      </c>
      <c r="R181" s="39" t="s">
        <v>66</v>
      </c>
      <c r="S181" s="39" t="s">
        <v>184</v>
      </c>
    </row>
    <row r="182" spans="1:19" ht="48" x14ac:dyDescent="0.2">
      <c r="A182" s="38" t="s">
        <v>173</v>
      </c>
      <c r="B182" s="39" t="s">
        <v>166</v>
      </c>
      <c r="C182" s="39" t="s">
        <v>109</v>
      </c>
      <c r="D182" s="39" t="s">
        <v>59</v>
      </c>
      <c r="E182" s="39" t="s">
        <v>60</v>
      </c>
      <c r="F182" s="39"/>
      <c r="G182" s="39"/>
      <c r="H182" s="40">
        <v>78.239999999999995</v>
      </c>
      <c r="I182" s="40"/>
      <c r="J182" s="39" t="s">
        <v>61</v>
      </c>
      <c r="K182" s="41" t="s">
        <v>62</v>
      </c>
      <c r="L182" s="39" t="s">
        <v>62</v>
      </c>
      <c r="M182" s="39" t="s">
        <v>110</v>
      </c>
      <c r="N182" s="39" t="s">
        <v>109</v>
      </c>
      <c r="O182" s="39" t="s">
        <v>111</v>
      </c>
      <c r="P182" s="39" t="s">
        <v>64</v>
      </c>
      <c r="Q182" s="39" t="s">
        <v>65</v>
      </c>
      <c r="R182" s="39" t="s">
        <v>66</v>
      </c>
      <c r="S182" s="39" t="s">
        <v>185</v>
      </c>
    </row>
    <row r="183" spans="1:19" ht="48" x14ac:dyDescent="0.2">
      <c r="A183" s="38" t="s">
        <v>173</v>
      </c>
      <c r="B183" s="39" t="s">
        <v>141</v>
      </c>
      <c r="C183" s="39" t="s">
        <v>186</v>
      </c>
      <c r="D183" s="39" t="s">
        <v>59</v>
      </c>
      <c r="E183" s="39" t="s">
        <v>60</v>
      </c>
      <c r="F183" s="39"/>
      <c r="G183" s="39"/>
      <c r="H183" s="40">
        <v>63.45</v>
      </c>
      <c r="I183" s="40"/>
      <c r="J183" s="39" t="s">
        <v>61</v>
      </c>
      <c r="K183" s="41" t="s">
        <v>62</v>
      </c>
      <c r="L183" s="39" t="s">
        <v>62</v>
      </c>
      <c r="M183" s="39" t="s">
        <v>187</v>
      </c>
      <c r="N183" s="39" t="s">
        <v>186</v>
      </c>
      <c r="O183" s="39" t="s">
        <v>188</v>
      </c>
      <c r="P183" s="39" t="s">
        <v>189</v>
      </c>
      <c r="Q183" s="39" t="s">
        <v>190</v>
      </c>
      <c r="R183" s="39" t="s">
        <v>66</v>
      </c>
      <c r="S183" s="39" t="s">
        <v>191</v>
      </c>
    </row>
    <row r="184" spans="1:19" ht="32" x14ac:dyDescent="0.2">
      <c r="A184" s="38" t="s">
        <v>173</v>
      </c>
      <c r="B184" s="39" t="s">
        <v>166</v>
      </c>
      <c r="C184" s="39" t="s">
        <v>447</v>
      </c>
      <c r="D184" s="39" t="s">
        <v>59</v>
      </c>
      <c r="E184" s="39" t="s">
        <v>426</v>
      </c>
      <c r="F184" s="39"/>
      <c r="G184" s="39"/>
      <c r="H184" s="40">
        <v>51.17</v>
      </c>
      <c r="I184" s="40"/>
      <c r="J184" s="39" t="s">
        <v>61</v>
      </c>
      <c r="K184" s="41" t="s">
        <v>62</v>
      </c>
      <c r="L184" s="39" t="s">
        <v>62</v>
      </c>
      <c r="M184" s="39" t="s">
        <v>62</v>
      </c>
      <c r="N184" s="39" t="s">
        <v>447</v>
      </c>
      <c r="O184" s="39" t="s">
        <v>448</v>
      </c>
      <c r="P184" s="39" t="s">
        <v>449</v>
      </c>
      <c r="Q184" s="39" t="s">
        <v>450</v>
      </c>
      <c r="R184" s="39" t="s">
        <v>66</v>
      </c>
      <c r="S184" s="39" t="s">
        <v>451</v>
      </c>
    </row>
    <row r="185" spans="1:19" x14ac:dyDescent="0.2">
      <c r="A185" s="35">
        <v>45712</v>
      </c>
      <c r="B185" s="3"/>
      <c r="C185" t="s">
        <v>541</v>
      </c>
      <c r="D185" t="s">
        <v>537</v>
      </c>
      <c r="E185" t="s">
        <v>538</v>
      </c>
      <c r="H185" s="4">
        <v>26.81</v>
      </c>
    </row>
    <row r="186" spans="1:19" x14ac:dyDescent="0.2">
      <c r="A186" s="35">
        <v>45712</v>
      </c>
      <c r="B186" s="3"/>
      <c r="C186" t="s">
        <v>536</v>
      </c>
      <c r="D186" t="s">
        <v>537</v>
      </c>
      <c r="E186" t="s">
        <v>538</v>
      </c>
      <c r="H186" s="4">
        <v>14.3</v>
      </c>
    </row>
    <row r="187" spans="1:19" ht="32" x14ac:dyDescent="0.2">
      <c r="A187" s="38" t="s">
        <v>166</v>
      </c>
      <c r="B187" s="39" t="s">
        <v>154</v>
      </c>
      <c r="C187" s="39" t="s">
        <v>168</v>
      </c>
      <c r="D187" s="39" t="s">
        <v>59</v>
      </c>
      <c r="E187" s="39" t="s">
        <v>60</v>
      </c>
      <c r="F187" s="39"/>
      <c r="G187" s="39"/>
      <c r="H187" s="40">
        <v>15.75</v>
      </c>
      <c r="I187" s="40"/>
      <c r="J187" s="39" t="s">
        <v>61</v>
      </c>
      <c r="K187" s="41" t="s">
        <v>62</v>
      </c>
      <c r="L187" s="39" t="s">
        <v>62</v>
      </c>
      <c r="M187" s="39" t="s">
        <v>62</v>
      </c>
      <c r="N187" s="39" t="s">
        <v>168</v>
      </c>
      <c r="O187" s="39" t="s">
        <v>169</v>
      </c>
      <c r="P187" s="39" t="s">
        <v>170</v>
      </c>
      <c r="Q187" s="39" t="s">
        <v>171</v>
      </c>
      <c r="R187" s="39" t="s">
        <v>66</v>
      </c>
      <c r="S187" s="39" t="s">
        <v>172</v>
      </c>
    </row>
    <row r="188" spans="1:19" x14ac:dyDescent="0.2">
      <c r="A188" s="35">
        <v>45712</v>
      </c>
      <c r="B188" s="3"/>
      <c r="C188" t="s">
        <v>540</v>
      </c>
      <c r="D188" t="s">
        <v>537</v>
      </c>
      <c r="E188" t="s">
        <v>538</v>
      </c>
      <c r="H188" s="4">
        <v>48.5</v>
      </c>
    </row>
    <row r="189" spans="1:19" ht="48" x14ac:dyDescent="0.2">
      <c r="A189" s="38" t="s">
        <v>154</v>
      </c>
      <c r="B189" s="39" t="s">
        <v>141</v>
      </c>
      <c r="C189" s="39" t="s">
        <v>109</v>
      </c>
      <c r="D189" s="39" t="s">
        <v>75</v>
      </c>
      <c r="E189" s="39" t="s">
        <v>76</v>
      </c>
      <c r="F189" s="39"/>
      <c r="G189" s="39"/>
      <c r="H189" s="40">
        <v>11.47</v>
      </c>
      <c r="I189" s="40"/>
      <c r="J189" s="39" t="s">
        <v>61</v>
      </c>
      <c r="K189" s="41" t="s">
        <v>62</v>
      </c>
      <c r="L189" s="39" t="s">
        <v>62</v>
      </c>
      <c r="M189" s="39" t="s">
        <v>110</v>
      </c>
      <c r="N189" s="39" t="s">
        <v>109</v>
      </c>
      <c r="O189" s="39" t="s">
        <v>111</v>
      </c>
      <c r="P189" s="39" t="s">
        <v>64</v>
      </c>
      <c r="Q189" s="39" t="s">
        <v>65</v>
      </c>
      <c r="R189" s="39" t="s">
        <v>66</v>
      </c>
      <c r="S189" s="39" t="s">
        <v>155</v>
      </c>
    </row>
    <row r="190" spans="1:19" x14ac:dyDescent="0.2">
      <c r="A190" s="35">
        <v>45713</v>
      </c>
      <c r="B190" s="3"/>
      <c r="C190" t="s">
        <v>540</v>
      </c>
      <c r="D190" t="s">
        <v>537</v>
      </c>
      <c r="E190" t="s">
        <v>538</v>
      </c>
      <c r="H190" s="4">
        <v>2</v>
      </c>
    </row>
    <row r="191" spans="1:19" ht="32" x14ac:dyDescent="0.2">
      <c r="A191" s="38" t="s">
        <v>154</v>
      </c>
      <c r="B191" s="39" t="s">
        <v>154</v>
      </c>
      <c r="C191" s="39" t="s">
        <v>156</v>
      </c>
      <c r="D191" s="39" t="s">
        <v>59</v>
      </c>
      <c r="E191" s="39" t="s">
        <v>60</v>
      </c>
      <c r="F191" s="39"/>
      <c r="G191" s="39"/>
      <c r="H191" s="40">
        <v>21.2</v>
      </c>
      <c r="I191" s="40"/>
      <c r="J191" s="39" t="s">
        <v>61</v>
      </c>
      <c r="K191" s="41" t="s">
        <v>62</v>
      </c>
      <c r="L191" s="39" t="s">
        <v>62</v>
      </c>
      <c r="M191" s="39" t="s">
        <v>62</v>
      </c>
      <c r="N191" s="39" t="s">
        <v>156</v>
      </c>
      <c r="O191" s="39" t="s">
        <v>157</v>
      </c>
      <c r="P191" s="39" t="s">
        <v>158</v>
      </c>
      <c r="Q191" s="39" t="s">
        <v>159</v>
      </c>
      <c r="R191" s="39" t="s">
        <v>66</v>
      </c>
      <c r="S191" s="39" t="s">
        <v>160</v>
      </c>
    </row>
    <row r="192" spans="1:19" ht="32" x14ac:dyDescent="0.2">
      <c r="A192" s="38" t="s">
        <v>154</v>
      </c>
      <c r="B192" s="39" t="s">
        <v>154</v>
      </c>
      <c r="C192" s="39" t="s">
        <v>161</v>
      </c>
      <c r="D192" s="39" t="s">
        <v>59</v>
      </c>
      <c r="E192" s="39" t="s">
        <v>60</v>
      </c>
      <c r="F192" s="39"/>
      <c r="G192" s="39"/>
      <c r="H192" s="40">
        <v>128.18</v>
      </c>
      <c r="I192" s="40"/>
      <c r="J192" s="39" t="s">
        <v>61</v>
      </c>
      <c r="K192" s="41" t="s">
        <v>62</v>
      </c>
      <c r="L192" s="39" t="s">
        <v>62</v>
      </c>
      <c r="M192" s="39" t="s">
        <v>62</v>
      </c>
      <c r="N192" s="39" t="s">
        <v>161</v>
      </c>
      <c r="O192" s="39" t="s">
        <v>162</v>
      </c>
      <c r="P192" s="39" t="s">
        <v>163</v>
      </c>
      <c r="Q192" s="39" t="s">
        <v>164</v>
      </c>
      <c r="R192" s="39" t="s">
        <v>66</v>
      </c>
      <c r="S192" s="39" t="s">
        <v>165</v>
      </c>
    </row>
    <row r="193" spans="1:19" ht="48" x14ac:dyDescent="0.2">
      <c r="A193" s="38" t="s">
        <v>141</v>
      </c>
      <c r="B193" s="39" t="s">
        <v>114</v>
      </c>
      <c r="C193" s="39" t="s">
        <v>109</v>
      </c>
      <c r="D193" s="39" t="s">
        <v>59</v>
      </c>
      <c r="E193" s="39" t="s">
        <v>60</v>
      </c>
      <c r="F193" s="39"/>
      <c r="G193" s="39"/>
      <c r="H193" s="40">
        <v>14.33</v>
      </c>
      <c r="I193" s="40"/>
      <c r="J193" s="39" t="s">
        <v>61</v>
      </c>
      <c r="K193" s="41" t="s">
        <v>62</v>
      </c>
      <c r="L193" s="39" t="s">
        <v>62</v>
      </c>
      <c r="M193" s="39" t="s">
        <v>110</v>
      </c>
      <c r="N193" s="39" t="s">
        <v>109</v>
      </c>
      <c r="O193" s="39" t="s">
        <v>111</v>
      </c>
      <c r="P193" s="39" t="s">
        <v>64</v>
      </c>
      <c r="Q193" s="39" t="s">
        <v>65</v>
      </c>
      <c r="R193" s="39" t="s">
        <v>66</v>
      </c>
      <c r="S193" s="39" t="s">
        <v>150</v>
      </c>
    </row>
    <row r="194" spans="1:19" ht="32" x14ac:dyDescent="0.2">
      <c r="A194" s="38" t="s">
        <v>141</v>
      </c>
      <c r="B194" s="39" t="s">
        <v>114</v>
      </c>
      <c r="C194" s="39" t="s">
        <v>151</v>
      </c>
      <c r="D194" s="39" t="s">
        <v>75</v>
      </c>
      <c r="E194" s="39" t="s">
        <v>76</v>
      </c>
      <c r="F194" s="39"/>
      <c r="G194" s="39"/>
      <c r="H194" s="40">
        <v>5</v>
      </c>
      <c r="I194" s="40"/>
      <c r="J194" s="39" t="s">
        <v>61</v>
      </c>
      <c r="K194" s="41" t="s">
        <v>62</v>
      </c>
      <c r="L194" s="39" t="s">
        <v>62</v>
      </c>
      <c r="M194" s="39" t="s">
        <v>62</v>
      </c>
      <c r="N194" s="39" t="s">
        <v>151</v>
      </c>
      <c r="O194" s="39" t="s">
        <v>152</v>
      </c>
      <c r="P194" s="39" t="s">
        <v>147</v>
      </c>
      <c r="Q194" s="39" t="s">
        <v>148</v>
      </c>
      <c r="R194" s="39" t="s">
        <v>66</v>
      </c>
      <c r="S194" s="39" t="s">
        <v>153</v>
      </c>
    </row>
    <row r="195" spans="1:19" x14ac:dyDescent="0.2">
      <c r="A195" s="35">
        <v>45714</v>
      </c>
      <c r="B195" s="3"/>
      <c r="C195" t="s">
        <v>539</v>
      </c>
      <c r="D195" t="s">
        <v>537</v>
      </c>
      <c r="E195" t="s">
        <v>538</v>
      </c>
      <c r="H195" s="4">
        <v>40.200000000000003</v>
      </c>
    </row>
    <row r="196" spans="1:19" ht="32" x14ac:dyDescent="0.2">
      <c r="A196" s="38" t="s">
        <v>114</v>
      </c>
      <c r="B196" s="39" t="s">
        <v>57</v>
      </c>
      <c r="C196" s="39" t="s">
        <v>128</v>
      </c>
      <c r="D196" s="39" t="s">
        <v>75</v>
      </c>
      <c r="E196" s="39" t="s">
        <v>76</v>
      </c>
      <c r="F196" s="39"/>
      <c r="G196" s="39"/>
      <c r="H196" s="40">
        <v>13.99</v>
      </c>
      <c r="I196" s="40"/>
      <c r="J196" s="39" t="s">
        <v>61</v>
      </c>
      <c r="K196" s="41" t="s">
        <v>62</v>
      </c>
      <c r="L196" s="39" t="s">
        <v>62</v>
      </c>
      <c r="M196" s="39" t="s">
        <v>62</v>
      </c>
      <c r="N196" s="39" t="s">
        <v>128</v>
      </c>
      <c r="O196" s="39" t="s">
        <v>129</v>
      </c>
      <c r="P196" s="39" t="s">
        <v>130</v>
      </c>
      <c r="Q196" s="39" t="s">
        <v>131</v>
      </c>
      <c r="R196" s="39" t="s">
        <v>81</v>
      </c>
      <c r="S196" s="39" t="s">
        <v>132</v>
      </c>
    </row>
    <row r="197" spans="1:19" ht="48" x14ac:dyDescent="0.2">
      <c r="A197" s="38" t="s">
        <v>114</v>
      </c>
      <c r="B197" s="39" t="s">
        <v>114</v>
      </c>
      <c r="C197" s="39" t="s">
        <v>91</v>
      </c>
      <c r="D197" s="39" t="s">
        <v>75</v>
      </c>
      <c r="E197" s="39" t="s">
        <v>76</v>
      </c>
      <c r="F197" s="39"/>
      <c r="G197" s="39"/>
      <c r="H197" s="40">
        <v>3.83</v>
      </c>
      <c r="I197" s="40"/>
      <c r="J197" s="39" t="s">
        <v>61</v>
      </c>
      <c r="K197" s="41" t="s">
        <v>62</v>
      </c>
      <c r="L197" s="39" t="s">
        <v>62</v>
      </c>
      <c r="M197" s="39" t="s">
        <v>62</v>
      </c>
      <c r="N197" s="39" t="s">
        <v>91</v>
      </c>
      <c r="O197" s="39" t="s">
        <v>92</v>
      </c>
      <c r="P197" s="39" t="s">
        <v>93</v>
      </c>
      <c r="Q197" s="39" t="s">
        <v>94</v>
      </c>
      <c r="R197" s="39" t="s">
        <v>66</v>
      </c>
      <c r="S197" s="39" t="s">
        <v>133</v>
      </c>
    </row>
    <row r="198" spans="1:19" ht="32" x14ac:dyDescent="0.2">
      <c r="A198" s="38" t="s">
        <v>114</v>
      </c>
      <c r="B198" s="39" t="s">
        <v>57</v>
      </c>
      <c r="C198" s="39" t="s">
        <v>134</v>
      </c>
      <c r="D198" s="39" t="s">
        <v>75</v>
      </c>
      <c r="E198" s="39" t="s">
        <v>76</v>
      </c>
      <c r="F198" s="39"/>
      <c r="G198" s="39"/>
      <c r="H198" s="40">
        <v>24.53</v>
      </c>
      <c r="I198" s="40"/>
      <c r="J198" s="39" t="s">
        <v>135</v>
      </c>
      <c r="K198" s="41">
        <v>0.71</v>
      </c>
      <c r="L198" s="39" t="s">
        <v>62</v>
      </c>
      <c r="M198" s="39" t="s">
        <v>62</v>
      </c>
      <c r="N198" s="39" t="s">
        <v>134</v>
      </c>
      <c r="O198" s="39" t="s">
        <v>136</v>
      </c>
      <c r="P198" s="39" t="s">
        <v>137</v>
      </c>
      <c r="Q198" s="39" t="s">
        <v>138</v>
      </c>
      <c r="R198" s="39" t="s">
        <v>139</v>
      </c>
      <c r="S198" s="39" t="s">
        <v>140</v>
      </c>
    </row>
    <row r="199" spans="1:19" x14ac:dyDescent="0.2">
      <c r="A199" s="35">
        <v>45715</v>
      </c>
      <c r="B199" s="36"/>
      <c r="C199" t="s">
        <v>564</v>
      </c>
      <c r="D199" t="s">
        <v>556</v>
      </c>
      <c r="E199" t="s">
        <v>557</v>
      </c>
      <c r="H199" s="4">
        <v>65</v>
      </c>
      <c r="J199" t="s">
        <v>558</v>
      </c>
      <c r="L199">
        <v>-6656.61</v>
      </c>
      <c r="M199" t="s">
        <v>565</v>
      </c>
      <c r="N199" t="s">
        <v>566</v>
      </c>
    </row>
    <row r="200" spans="1:19" ht="48" x14ac:dyDescent="0.2">
      <c r="A200" s="38" t="s">
        <v>57</v>
      </c>
      <c r="B200" s="39" t="s">
        <v>57</v>
      </c>
      <c r="C200" s="39" t="s">
        <v>91</v>
      </c>
      <c r="D200" s="39" t="s">
        <v>75</v>
      </c>
      <c r="E200" s="39" t="s">
        <v>76</v>
      </c>
      <c r="F200" s="39"/>
      <c r="G200" s="39"/>
      <c r="H200" s="40">
        <v>4.74</v>
      </c>
      <c r="I200" s="40"/>
      <c r="J200" s="39" t="s">
        <v>61</v>
      </c>
      <c r="K200" s="41" t="s">
        <v>62</v>
      </c>
      <c r="L200" s="39" t="s">
        <v>62</v>
      </c>
      <c r="M200" s="39" t="s">
        <v>62</v>
      </c>
      <c r="N200" s="39" t="s">
        <v>91</v>
      </c>
      <c r="O200" s="39" t="s">
        <v>92</v>
      </c>
      <c r="P200" s="39" t="s">
        <v>93</v>
      </c>
      <c r="Q200" s="39" t="s">
        <v>94</v>
      </c>
      <c r="R200" s="39" t="s">
        <v>66</v>
      </c>
      <c r="S200" s="39" t="s">
        <v>95</v>
      </c>
    </row>
    <row r="201" spans="1:19" ht="32" x14ac:dyDescent="0.2">
      <c r="A201" s="38" t="s">
        <v>57</v>
      </c>
      <c r="B201" s="39" t="s">
        <v>68</v>
      </c>
      <c r="C201" s="39" t="s">
        <v>429</v>
      </c>
      <c r="D201" s="39" t="s">
        <v>59</v>
      </c>
      <c r="E201" s="39" t="s">
        <v>426</v>
      </c>
      <c r="F201" s="39"/>
      <c r="G201" s="39"/>
      <c r="H201" s="40">
        <v>62.54</v>
      </c>
      <c r="I201" s="40"/>
      <c r="J201" s="39" t="s">
        <v>61</v>
      </c>
      <c r="K201" s="41" t="s">
        <v>62</v>
      </c>
      <c r="L201" s="39" t="s">
        <v>62</v>
      </c>
      <c r="M201" s="39" t="s">
        <v>62</v>
      </c>
      <c r="N201" s="39" t="s">
        <v>429</v>
      </c>
      <c r="O201" s="39" t="s">
        <v>430</v>
      </c>
      <c r="P201" s="39" t="s">
        <v>431</v>
      </c>
      <c r="Q201" s="39" t="s">
        <v>65</v>
      </c>
      <c r="R201" s="39" t="s">
        <v>66</v>
      </c>
      <c r="S201" s="39" t="s">
        <v>432</v>
      </c>
    </row>
    <row r="202" spans="1:19" x14ac:dyDescent="0.2">
      <c r="A202" s="35">
        <v>45716</v>
      </c>
      <c r="B202" s="36"/>
      <c r="C202" t="s">
        <v>561</v>
      </c>
      <c r="D202" t="s">
        <v>556</v>
      </c>
      <c r="E202" t="s">
        <v>557</v>
      </c>
      <c r="H202" s="4">
        <v>0.65</v>
      </c>
      <c r="J202" t="s">
        <v>562</v>
      </c>
      <c r="L202">
        <v>-883.3</v>
      </c>
      <c r="M202" t="s">
        <v>563</v>
      </c>
    </row>
    <row r="203" spans="1:19" x14ac:dyDescent="0.2">
      <c r="A203" s="35">
        <v>45716</v>
      </c>
      <c r="B203" s="3"/>
      <c r="C203" t="s">
        <v>536</v>
      </c>
      <c r="D203" t="s">
        <v>537</v>
      </c>
      <c r="E203" t="s">
        <v>538</v>
      </c>
      <c r="H203" s="4">
        <v>14.33</v>
      </c>
    </row>
    <row r="204" spans="1:19" x14ac:dyDescent="0.2">
      <c r="A204" s="35">
        <v>45716</v>
      </c>
      <c r="B204" s="3"/>
      <c r="C204" t="s">
        <v>536</v>
      </c>
      <c r="D204" t="s">
        <v>537</v>
      </c>
      <c r="E204" t="s">
        <v>538</v>
      </c>
      <c r="H204" s="4">
        <v>14.33</v>
      </c>
    </row>
    <row r="205" spans="1:19" ht="32" x14ac:dyDescent="0.2">
      <c r="A205" s="38" t="s">
        <v>57</v>
      </c>
      <c r="B205" s="39" t="s">
        <v>68</v>
      </c>
      <c r="C205" s="39" t="s">
        <v>96</v>
      </c>
      <c r="D205" s="39" t="s">
        <v>75</v>
      </c>
      <c r="E205" s="39" t="s">
        <v>76</v>
      </c>
      <c r="F205" s="39"/>
      <c r="G205" s="39"/>
      <c r="H205" s="40">
        <v>36.26</v>
      </c>
      <c r="I205" s="40"/>
      <c r="J205" s="39" t="s">
        <v>97</v>
      </c>
      <c r="K205" s="41">
        <v>1.06</v>
      </c>
      <c r="L205" s="39" t="s">
        <v>62</v>
      </c>
      <c r="M205" s="39" t="s">
        <v>62</v>
      </c>
      <c r="N205" s="39" t="s">
        <v>96</v>
      </c>
      <c r="O205" s="39" t="s">
        <v>98</v>
      </c>
      <c r="P205" s="39" t="s">
        <v>99</v>
      </c>
      <c r="Q205" s="39" t="s">
        <v>100</v>
      </c>
      <c r="R205" s="39" t="s">
        <v>81</v>
      </c>
      <c r="S205" s="39" t="s">
        <v>101</v>
      </c>
    </row>
    <row r="206" spans="1:19" x14ac:dyDescent="0.2">
      <c r="A206" s="35">
        <v>45716</v>
      </c>
      <c r="B206" s="36"/>
      <c r="C206" t="s">
        <v>555</v>
      </c>
      <c r="D206" t="s">
        <v>556</v>
      </c>
      <c r="E206" t="s">
        <v>557</v>
      </c>
      <c r="H206" s="4">
        <v>18.54</v>
      </c>
      <c r="J206" t="s">
        <v>558</v>
      </c>
      <c r="L206">
        <v>-901.84</v>
      </c>
      <c r="M206" t="s">
        <v>559</v>
      </c>
      <c r="N206" t="s">
        <v>560</v>
      </c>
    </row>
    <row r="207" spans="1:19" ht="32" x14ac:dyDescent="0.2">
      <c r="A207" s="38" t="s">
        <v>57</v>
      </c>
      <c r="B207" s="39" t="s">
        <v>102</v>
      </c>
      <c r="C207" s="39" t="s">
        <v>103</v>
      </c>
      <c r="D207" s="39" t="s">
        <v>75</v>
      </c>
      <c r="E207" s="39" t="s">
        <v>76</v>
      </c>
      <c r="F207" s="39"/>
      <c r="G207" s="39"/>
      <c r="H207" s="40">
        <v>74.7</v>
      </c>
      <c r="I207" s="40"/>
      <c r="J207" s="39" t="s">
        <v>104</v>
      </c>
      <c r="K207" s="41">
        <v>2.1800000000000002</v>
      </c>
      <c r="L207" s="39" t="s">
        <v>62</v>
      </c>
      <c r="M207" s="39" t="s">
        <v>62</v>
      </c>
      <c r="N207" s="39" t="s">
        <v>103</v>
      </c>
      <c r="O207" s="39" t="s">
        <v>105</v>
      </c>
      <c r="P207" s="39" t="s">
        <v>62</v>
      </c>
      <c r="Q207" s="39" t="s">
        <v>106</v>
      </c>
      <c r="R207" s="39" t="s">
        <v>107</v>
      </c>
      <c r="S207" s="39" t="s">
        <v>108</v>
      </c>
    </row>
    <row r="208" spans="1:19" ht="48" x14ac:dyDescent="0.2">
      <c r="A208" s="38" t="s">
        <v>57</v>
      </c>
      <c r="B208" s="39" t="s">
        <v>68</v>
      </c>
      <c r="C208" s="39" t="s">
        <v>109</v>
      </c>
      <c r="D208" s="39" t="s">
        <v>59</v>
      </c>
      <c r="E208" s="39" t="s">
        <v>60</v>
      </c>
      <c r="F208" s="39"/>
      <c r="G208" s="39"/>
      <c r="H208" s="40">
        <v>13.46</v>
      </c>
      <c r="I208" s="40"/>
      <c r="J208" s="39" t="s">
        <v>61</v>
      </c>
      <c r="K208" s="41" t="s">
        <v>62</v>
      </c>
      <c r="L208" s="39" t="s">
        <v>62</v>
      </c>
      <c r="M208" s="39" t="s">
        <v>110</v>
      </c>
      <c r="N208" s="39" t="s">
        <v>109</v>
      </c>
      <c r="O208" s="39" t="s">
        <v>111</v>
      </c>
      <c r="P208" s="39" t="s">
        <v>64</v>
      </c>
      <c r="Q208" s="39" t="s">
        <v>65</v>
      </c>
      <c r="R208" s="39" t="s">
        <v>66</v>
      </c>
      <c r="S208" s="39" t="s">
        <v>112</v>
      </c>
    </row>
    <row r="209" spans="1:19" ht="48" x14ac:dyDescent="0.2">
      <c r="A209" s="38" t="s">
        <v>57</v>
      </c>
      <c r="B209" s="39" t="s">
        <v>102</v>
      </c>
      <c r="C209" s="39" t="s">
        <v>109</v>
      </c>
      <c r="D209" s="39" t="s">
        <v>59</v>
      </c>
      <c r="E209" s="39" t="s">
        <v>60</v>
      </c>
      <c r="F209" s="39"/>
      <c r="G209" s="39"/>
      <c r="H209" s="40">
        <v>19.88</v>
      </c>
      <c r="I209" s="40"/>
      <c r="J209" s="39" t="s">
        <v>61</v>
      </c>
      <c r="K209" s="41" t="s">
        <v>62</v>
      </c>
      <c r="L209" s="39" t="s">
        <v>62</v>
      </c>
      <c r="M209" s="39" t="s">
        <v>110</v>
      </c>
      <c r="N209" s="39" t="s">
        <v>109</v>
      </c>
      <c r="O209" s="39" t="s">
        <v>111</v>
      </c>
      <c r="P209" s="39" t="s">
        <v>64</v>
      </c>
      <c r="Q209" s="39" t="s">
        <v>65</v>
      </c>
      <c r="R209" s="39" t="s">
        <v>66</v>
      </c>
      <c r="S209" s="39" t="s">
        <v>113</v>
      </c>
    </row>
    <row r="210" spans="1:19" ht="32" x14ac:dyDescent="0.2">
      <c r="A210" s="38" t="s">
        <v>57</v>
      </c>
      <c r="B210" s="39" t="s">
        <v>68</v>
      </c>
      <c r="C210" s="39" t="s">
        <v>433</v>
      </c>
      <c r="D210" s="39" t="s">
        <v>59</v>
      </c>
      <c r="E210" s="39" t="s">
        <v>426</v>
      </c>
      <c r="F210" s="39"/>
      <c r="G210" s="39"/>
      <c r="H210" s="40">
        <v>6.5</v>
      </c>
      <c r="I210" s="40"/>
      <c r="J210" s="39" t="s">
        <v>61</v>
      </c>
      <c r="K210" s="41" t="s">
        <v>62</v>
      </c>
      <c r="L210" s="39" t="s">
        <v>62</v>
      </c>
      <c r="M210" s="39" t="s">
        <v>62</v>
      </c>
      <c r="N210" s="39" t="s">
        <v>433</v>
      </c>
      <c r="O210" s="39" t="s">
        <v>434</v>
      </c>
      <c r="P210" s="39" t="s">
        <v>293</v>
      </c>
      <c r="Q210" s="39" t="s">
        <v>294</v>
      </c>
      <c r="R210" s="39" t="s">
        <v>66</v>
      </c>
      <c r="S210" s="39" t="s">
        <v>435</v>
      </c>
    </row>
    <row r="268" spans="2:4" x14ac:dyDescent="0.2">
      <c r="B268" s="3"/>
      <c r="D268"/>
    </row>
    <row r="269" spans="2:4" x14ac:dyDescent="0.2">
      <c r="B269" s="3"/>
      <c r="D269"/>
    </row>
    <row r="270" spans="2:4" x14ac:dyDescent="0.2">
      <c r="B270" s="3"/>
      <c r="D270"/>
    </row>
    <row r="271" spans="2:4" x14ac:dyDescent="0.2">
      <c r="B271" s="3"/>
      <c r="D271"/>
    </row>
    <row r="272" spans="2:4" x14ac:dyDescent="0.2">
      <c r="B272" s="3"/>
      <c r="D272"/>
    </row>
    <row r="273" spans="2:9" x14ac:dyDescent="0.2">
      <c r="B273" s="3"/>
      <c r="D273"/>
    </row>
    <row r="274" spans="2:9" x14ac:dyDescent="0.2">
      <c r="B274" s="3"/>
      <c r="D274"/>
    </row>
    <row r="275" spans="2:9" x14ac:dyDescent="0.2">
      <c r="B275" s="3"/>
      <c r="D275"/>
    </row>
    <row r="277" spans="2:9" x14ac:dyDescent="0.2">
      <c r="H277" s="4">
        <f>SUM(H268:H276)</f>
        <v>0</v>
      </c>
      <c r="I277" s="4">
        <f>SUM(I268:I276)</f>
        <v>0</v>
      </c>
    </row>
  </sheetData>
  <sortState xmlns:xlrd2="http://schemas.microsoft.com/office/spreadsheetml/2017/richdata2" ref="A2:S277">
    <sortCondition ref="F2:F277"/>
    <sortCondition ref="A2:A27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11"/>
  <sheetViews>
    <sheetView workbookViewId="0">
      <selection activeCell="I12" sqref="I12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>
        <v>45693</v>
      </c>
      <c r="B2" s="3"/>
      <c r="C2" t="s">
        <v>29</v>
      </c>
      <c r="D2">
        <v>465083897</v>
      </c>
      <c r="E2" t="s">
        <v>30</v>
      </c>
      <c r="F2" t="s">
        <v>31</v>
      </c>
      <c r="G2" t="s">
        <v>32</v>
      </c>
      <c r="H2" s="4">
        <v>660</v>
      </c>
      <c r="I2" s="4">
        <f>H2/11</f>
        <v>60</v>
      </c>
      <c r="J2" t="s">
        <v>33</v>
      </c>
      <c r="K2">
        <v>6710.56</v>
      </c>
      <c r="L2" t="s">
        <v>33</v>
      </c>
      <c r="M2">
        <v>112879</v>
      </c>
      <c r="N2">
        <v>995</v>
      </c>
    </row>
    <row r="3" spans="1:19" x14ac:dyDescent="0.2">
      <c r="A3" s="3">
        <v>45694</v>
      </c>
      <c r="B3" s="3"/>
      <c r="C3" t="s">
        <v>34</v>
      </c>
      <c r="D3">
        <v>465083897</v>
      </c>
      <c r="E3" t="s">
        <v>30</v>
      </c>
      <c r="F3" t="s">
        <v>31</v>
      </c>
      <c r="G3" t="s">
        <v>32</v>
      </c>
      <c r="H3" s="4">
        <v>2199.4499999999998</v>
      </c>
      <c r="I3" s="4">
        <f t="shared" ref="I3:I9" si="0">H3/11</f>
        <v>199.95</v>
      </c>
      <c r="J3" t="s">
        <v>33</v>
      </c>
      <c r="K3">
        <v>8910.01</v>
      </c>
      <c r="L3" t="s">
        <v>33</v>
      </c>
      <c r="M3">
        <v>112879</v>
      </c>
      <c r="N3">
        <v>995</v>
      </c>
    </row>
    <row r="4" spans="1:19" x14ac:dyDescent="0.2">
      <c r="A4" s="3">
        <v>45700</v>
      </c>
      <c r="B4" s="3"/>
      <c r="C4" t="s">
        <v>35</v>
      </c>
      <c r="D4">
        <v>465083897</v>
      </c>
      <c r="E4" t="s">
        <v>30</v>
      </c>
      <c r="F4" t="s">
        <v>31</v>
      </c>
      <c r="G4" t="s">
        <v>32</v>
      </c>
      <c r="H4" s="4">
        <v>1650</v>
      </c>
      <c r="I4" s="4">
        <f t="shared" si="0"/>
        <v>150</v>
      </c>
      <c r="J4" t="s">
        <v>33</v>
      </c>
      <c r="K4">
        <v>10560.01</v>
      </c>
      <c r="L4" t="s">
        <v>33</v>
      </c>
      <c r="M4">
        <v>112879</v>
      </c>
      <c r="N4">
        <v>995</v>
      </c>
    </row>
    <row r="5" spans="1:19" x14ac:dyDescent="0.2">
      <c r="A5" s="3">
        <v>45702</v>
      </c>
      <c r="B5" s="3"/>
      <c r="C5" t="s">
        <v>36</v>
      </c>
      <c r="D5">
        <v>465083897</v>
      </c>
      <c r="E5" t="s">
        <v>30</v>
      </c>
      <c r="F5" t="s">
        <v>31</v>
      </c>
      <c r="G5" t="s">
        <v>32</v>
      </c>
      <c r="H5" s="4">
        <v>825</v>
      </c>
      <c r="I5" s="4">
        <f t="shared" si="0"/>
        <v>75</v>
      </c>
      <c r="J5" t="s">
        <v>33</v>
      </c>
      <c r="K5">
        <v>11385.01</v>
      </c>
      <c r="L5" t="s">
        <v>33</v>
      </c>
      <c r="M5">
        <v>112879</v>
      </c>
      <c r="N5">
        <v>995</v>
      </c>
    </row>
    <row r="6" spans="1:19" x14ac:dyDescent="0.2">
      <c r="A6" s="3">
        <v>45715</v>
      </c>
      <c r="B6" s="3"/>
      <c r="C6" t="s">
        <v>37</v>
      </c>
      <c r="D6">
        <v>465083897</v>
      </c>
      <c r="E6" t="s">
        <v>30</v>
      </c>
      <c r="F6" t="s">
        <v>31</v>
      </c>
      <c r="G6" t="s">
        <v>32</v>
      </c>
      <c r="H6" s="4">
        <v>11005.5</v>
      </c>
      <c r="I6" s="4">
        <f t="shared" si="0"/>
        <v>1000.5</v>
      </c>
      <c r="J6" t="s">
        <v>33</v>
      </c>
      <c r="K6">
        <v>12136.92</v>
      </c>
      <c r="L6" t="s">
        <v>33</v>
      </c>
      <c r="M6">
        <v>112879</v>
      </c>
      <c r="N6">
        <v>995</v>
      </c>
    </row>
    <row r="7" spans="1:19" x14ac:dyDescent="0.2">
      <c r="A7" s="3">
        <v>45716</v>
      </c>
      <c r="B7" s="3"/>
      <c r="C7" t="s">
        <v>38</v>
      </c>
      <c r="D7">
        <v>465083897</v>
      </c>
      <c r="E7" t="s">
        <v>30</v>
      </c>
      <c r="F7" t="s">
        <v>39</v>
      </c>
      <c r="G7" t="s">
        <v>40</v>
      </c>
      <c r="H7" s="4">
        <v>12.13</v>
      </c>
      <c r="I7" s="4">
        <v>0</v>
      </c>
      <c r="J7" t="s">
        <v>33</v>
      </c>
      <c r="K7">
        <v>12149.05</v>
      </c>
      <c r="L7" t="s">
        <v>33</v>
      </c>
      <c r="M7">
        <v>112879</v>
      </c>
      <c r="N7">
        <v>995</v>
      </c>
    </row>
    <row r="8" spans="1:19" x14ac:dyDescent="0.2">
      <c r="A8" s="3">
        <v>45716</v>
      </c>
      <c r="B8" s="3"/>
      <c r="C8" t="s">
        <v>41</v>
      </c>
      <c r="D8">
        <v>465083897</v>
      </c>
      <c r="E8" t="s">
        <v>30</v>
      </c>
      <c r="F8" t="s">
        <v>39</v>
      </c>
      <c r="G8" t="s">
        <v>40</v>
      </c>
      <c r="H8" s="4">
        <v>21.81</v>
      </c>
      <c r="I8" s="4">
        <v>0</v>
      </c>
      <c r="J8" t="s">
        <v>33</v>
      </c>
      <c r="K8">
        <v>12170.86</v>
      </c>
      <c r="L8" t="s">
        <v>33</v>
      </c>
      <c r="M8">
        <v>112879</v>
      </c>
      <c r="N8">
        <v>995</v>
      </c>
    </row>
    <row r="9" spans="1:19" x14ac:dyDescent="0.2">
      <c r="A9" s="3">
        <v>45716</v>
      </c>
      <c r="B9" s="3"/>
      <c r="C9" t="s">
        <v>42</v>
      </c>
      <c r="D9">
        <v>465083897</v>
      </c>
      <c r="E9" t="s">
        <v>30</v>
      </c>
      <c r="F9" t="s">
        <v>31</v>
      </c>
      <c r="G9" t="s">
        <v>32</v>
      </c>
      <c r="H9" s="4">
        <v>2093.31</v>
      </c>
      <c r="I9" s="4">
        <f t="shared" si="0"/>
        <v>190.30090909090907</v>
      </c>
      <c r="J9" t="s">
        <v>33</v>
      </c>
      <c r="K9">
        <v>14264.17</v>
      </c>
      <c r="L9" t="s">
        <v>33</v>
      </c>
      <c r="M9">
        <v>112879</v>
      </c>
      <c r="N9">
        <v>995</v>
      </c>
    </row>
    <row r="11" spans="1:19" x14ac:dyDescent="0.2">
      <c r="H11" s="4">
        <f>SUM(H2:H10)</f>
        <v>18467.2</v>
      </c>
      <c r="I11" s="4">
        <f>SUM(I2:I10)</f>
        <v>1675.7509090909091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2025-07-22T08:59:13Z</dcterms:modified>
</cp:coreProperties>
</file>