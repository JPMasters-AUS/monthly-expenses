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asters/Library/CloudStorage/Box-Box/MLEM Internal Business Files/TAX/202410-202502/Base Data/2024-10/"/>
    </mc:Choice>
  </mc:AlternateContent>
  <xr:revisionPtr revIDLastSave="0" documentId="13_ncr:9_{AD9A54C8-4D9D-4D43-904F-05D49D185B23}" xr6:coauthVersionLast="47" xr6:coauthVersionMax="47" xr10:uidLastSave="{00000000-0000-0000-0000-000000000000}"/>
  <bookViews>
    <workbookView xWindow="17800" yWindow="15040" windowWidth="27240" windowHeight="16440" xr2:uid="{5D28913A-A75F-4042-8BC9-537063BDE3FD}"/>
  </bookViews>
  <sheets>
    <sheet name="nab_transa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</calcChain>
</file>

<file path=xl/sharedStrings.xml><?xml version="1.0" encoding="utf-8"?>
<sst xmlns="http://schemas.openxmlformats.org/spreadsheetml/2006/main" count="55" uniqueCount="32">
  <si>
    <t>Date</t>
  </si>
  <si>
    <t>Amount</t>
  </si>
  <si>
    <t>Account Number</t>
  </si>
  <si>
    <t>Transaction Type</t>
  </si>
  <si>
    <t>Transaction Details</t>
  </si>
  <si>
    <t>Balance</t>
  </si>
  <si>
    <t>Category</t>
  </si>
  <si>
    <t>Merchant Name</t>
  </si>
  <si>
    <t>Card ending 2145</t>
  </si>
  <si>
    <t xml:space="preserve"> </t>
  </si>
  <si>
    <t>MISCELLANEOUS DEBIT</t>
  </si>
  <si>
    <t>LATE PAYMENT FEE</t>
  </si>
  <si>
    <t>Fees</t>
  </si>
  <si>
    <t>RET D/DEBIT INSUF FUNDS</t>
  </si>
  <si>
    <t>CREDIT CARD PAYMENT</t>
  </si>
  <si>
    <t>DIRECT DEBIT PAYMENT</t>
  </si>
  <si>
    <t>Internal transfers</t>
  </si>
  <si>
    <t>CREDIT CARD PURCHASE</t>
  </si>
  <si>
    <t>MY POST BUSINESS/POST MELBOURNE</t>
  </si>
  <si>
    <t>Services</t>
  </si>
  <si>
    <t>Australia Post</t>
  </si>
  <si>
    <t>NEW SOUTH WALES JUST CONCORD</t>
  </si>
  <si>
    <t>Hobbies</t>
  </si>
  <si>
    <t>New South Wales Justices Association</t>
  </si>
  <si>
    <t>Hunters Hill Medical Werribee</t>
  </si>
  <si>
    <t>Medical</t>
  </si>
  <si>
    <t>Hunters Hill Medical Practice</t>
  </si>
  <si>
    <t>CATE MADILL VOICE MELBOURNE</t>
  </si>
  <si>
    <t>Cate Madill Voice &amp; Speech</t>
  </si>
  <si>
    <t>FEE</t>
  </si>
  <si>
    <t>PAYMENT RELATED</t>
  </si>
  <si>
    <t>5 in the Review 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</si>
</sst>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E205A-E9DC-2D4D-B3DF-75C141AB64C6}">
  <dimension ref="A1:P9"/>
  <sheetViews>
    <sheetView tabSelected="1" workbookViewId="0">
      <selection activeCell="P10" sqref="P10"/>
    </sheetView>
  </sheetViews>
  <sheetFormatPr baseColWidth="10" defaultRowHeight="16" x14ac:dyDescent="0.2"/>
  <cols>
    <col min="6" max="6" width="33" bestFit="1" customWidth="1"/>
  </cols>
  <sheetData>
    <row r="1" spans="1:16" x14ac:dyDescent="0.2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16" x14ac:dyDescent="0.2">
      <c r="A2" s="1">
        <v>45596</v>
      </c>
      <c r="B2">
        <v>-15</v>
      </c>
      <c r="C2" t="s">
        <v>8</v>
      </c>
      <c r="D2" t="s">
        <v>9</v>
      </c>
      <c r="E2" t="s">
        <v>10</v>
      </c>
      <c r="F2" t="s">
        <v>11</v>
      </c>
      <c r="G2">
        <v>-3721.56</v>
      </c>
      <c r="H2" t="s">
        <v>12</v>
      </c>
      <c r="L2" t="s">
        <v>29</v>
      </c>
      <c r="N2">
        <v>1</v>
      </c>
    </row>
    <row r="3" spans="1:16" x14ac:dyDescent="0.2">
      <c r="A3" s="1">
        <v>45595</v>
      </c>
      <c r="B3">
        <v>-3211.39</v>
      </c>
      <c r="C3" t="s">
        <v>8</v>
      </c>
      <c r="D3" t="s">
        <v>9</v>
      </c>
      <c r="E3" t="s">
        <v>10</v>
      </c>
      <c r="F3" t="s">
        <v>13</v>
      </c>
      <c r="G3">
        <v>-3706.56</v>
      </c>
      <c r="H3" t="s">
        <v>12</v>
      </c>
      <c r="L3" t="s">
        <v>30</v>
      </c>
    </row>
    <row r="4" spans="1:16" x14ac:dyDescent="0.2">
      <c r="A4" s="1">
        <v>45594</v>
      </c>
      <c r="B4">
        <v>3211.39</v>
      </c>
      <c r="C4" t="s">
        <v>8</v>
      </c>
      <c r="D4" t="s">
        <v>9</v>
      </c>
      <c r="E4" t="s">
        <v>14</v>
      </c>
      <c r="F4" t="s">
        <v>15</v>
      </c>
      <c r="G4">
        <v>-495.17</v>
      </c>
      <c r="H4" t="s">
        <v>16</v>
      </c>
      <c r="L4" t="s">
        <v>30</v>
      </c>
    </row>
    <row r="5" spans="1:16" x14ac:dyDescent="0.2">
      <c r="A5" s="1">
        <v>45590</v>
      </c>
      <c r="B5">
        <v>-41.15</v>
      </c>
      <c r="C5" t="s">
        <v>8</v>
      </c>
      <c r="D5" t="s">
        <v>9</v>
      </c>
      <c r="E5" t="s">
        <v>17</v>
      </c>
      <c r="F5" t="s">
        <v>18</v>
      </c>
      <c r="G5">
        <v>-3706.56</v>
      </c>
      <c r="H5" t="s">
        <v>19</v>
      </c>
      <c r="I5" t="s">
        <v>20</v>
      </c>
      <c r="L5" t="s">
        <v>29</v>
      </c>
      <c r="N5">
        <v>1</v>
      </c>
    </row>
    <row r="6" spans="1:16" x14ac:dyDescent="0.2">
      <c r="A6" s="1">
        <v>45582</v>
      </c>
      <c r="B6">
        <v>-433.34</v>
      </c>
      <c r="C6" t="s">
        <v>8</v>
      </c>
      <c r="D6" t="s">
        <v>9</v>
      </c>
      <c r="E6" t="s">
        <v>17</v>
      </c>
      <c r="F6" t="s">
        <v>21</v>
      </c>
      <c r="G6">
        <v>-3665.41</v>
      </c>
      <c r="H6" t="s">
        <v>22</v>
      </c>
      <c r="I6" t="s">
        <v>23</v>
      </c>
      <c r="L6" t="s">
        <v>29</v>
      </c>
      <c r="N6">
        <v>1</v>
      </c>
    </row>
    <row r="7" spans="1:16" x14ac:dyDescent="0.2">
      <c r="A7" s="1">
        <v>45581</v>
      </c>
      <c r="B7">
        <v>-20.68</v>
      </c>
      <c r="C7" t="s">
        <v>8</v>
      </c>
      <c r="D7" t="s">
        <v>9</v>
      </c>
      <c r="E7" t="s">
        <v>17</v>
      </c>
      <c r="F7" t="s">
        <v>24</v>
      </c>
      <c r="G7">
        <v>-3232.07</v>
      </c>
      <c r="H7" t="s">
        <v>25</v>
      </c>
      <c r="I7" t="s">
        <v>26</v>
      </c>
      <c r="L7" t="s">
        <v>29</v>
      </c>
      <c r="N7">
        <v>1</v>
      </c>
    </row>
    <row r="8" spans="1:16" x14ac:dyDescent="0.2">
      <c r="A8" s="1">
        <v>45579</v>
      </c>
      <c r="B8">
        <v>-200</v>
      </c>
      <c r="C8" t="s">
        <v>8</v>
      </c>
      <c r="D8" t="s">
        <v>9</v>
      </c>
      <c r="E8" t="s">
        <v>17</v>
      </c>
      <c r="F8" t="s">
        <v>27</v>
      </c>
      <c r="G8">
        <v>-3211.39</v>
      </c>
      <c r="H8" t="s">
        <v>25</v>
      </c>
      <c r="I8" t="s">
        <v>28</v>
      </c>
      <c r="L8" t="s">
        <v>29</v>
      </c>
      <c r="N8">
        <v>1</v>
      </c>
    </row>
    <row r="9" spans="1:16" x14ac:dyDescent="0.2">
      <c r="N9">
        <f>SUM(N2:N8)</f>
        <v>5</v>
      </c>
      <c r="P9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nab_transactions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Masters</cp:lastModifiedBy>
  <dcterms:created xsi:type="dcterms:W3CDTF">2025-07-06T13:12:56Z</dcterms:created>
  <dcterms:modified xsi:type="dcterms:W3CDTF">2025-07-06T13:14:28Z</dcterms:modified>
</cp:coreProperties>
</file>