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4-12/"/>
    </mc:Choice>
  </mc:AlternateContent>
  <xr:revisionPtr revIDLastSave="0" documentId="13_ncr:1_{9AE0ACEE-324B-F145-A6B4-5DCB888BCE50}" xr6:coauthVersionLast="47" xr6:coauthVersionMax="47" xr10:uidLastSave="{00000000-0000-0000-0000-000000000000}"/>
  <bookViews>
    <workbookView xWindow="40" yWindow="1900" windowWidth="35220" windowHeight="24920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5" l="1"/>
  <c r="I50" i="5"/>
  <c r="I34" i="5"/>
  <c r="I33" i="5"/>
  <c r="I60" i="5"/>
  <c r="I32" i="5"/>
  <c r="I56" i="5"/>
  <c r="I31" i="5"/>
  <c r="I41" i="5"/>
  <c r="I40" i="5"/>
  <c r="I39" i="5"/>
  <c r="I29" i="5"/>
  <c r="I69" i="5"/>
  <c r="I28" i="5"/>
  <c r="I54" i="5"/>
  <c r="I26" i="5"/>
  <c r="I25" i="5"/>
  <c r="I24" i="5"/>
  <c r="I67" i="5"/>
  <c r="I66" i="5"/>
  <c r="I65" i="5"/>
  <c r="I22" i="5"/>
  <c r="I21" i="5"/>
  <c r="I5" i="5"/>
  <c r="I68" i="5"/>
  <c r="I53" i="5"/>
  <c r="I17" i="5"/>
  <c r="I9" i="5"/>
  <c r="I64" i="5"/>
  <c r="I48" i="5"/>
  <c r="I51" i="5"/>
  <c r="I59" i="5"/>
  <c r="I8" i="5"/>
  <c r="I14" i="5"/>
  <c r="I58" i="5"/>
  <c r="I52" i="5"/>
  <c r="I57" i="5"/>
  <c r="I63" i="5"/>
  <c r="I62" i="5"/>
  <c r="I47" i="5"/>
  <c r="E6" i="4"/>
  <c r="E5" i="4"/>
  <c r="K7" i="4" s="1"/>
  <c r="K8" i="4" s="1"/>
  <c r="I72" i="1"/>
  <c r="H72" i="1"/>
  <c r="I3" i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2" i="1"/>
  <c r="E9" i="4"/>
  <c r="E8" i="4"/>
  <c r="I8" i="3"/>
  <c r="I3" i="3"/>
  <c r="I4" i="3"/>
  <c r="I2" i="3"/>
  <c r="H8" i="3"/>
  <c r="E11" i="4" l="1"/>
</calcChain>
</file>

<file path=xl/sharedStrings.xml><?xml version="1.0" encoding="utf-8"?>
<sst xmlns="http://schemas.openxmlformats.org/spreadsheetml/2006/main" count="3296" uniqueCount="517">
  <si>
    <t/>
  </si>
  <si>
    <t>JASON P MASTERS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</si>
  <si>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</si>
  <si>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</si>
  <si>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</si>
  <si>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</si>
  <si>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</si>
  <si>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</si>
  <si>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</si>
  <si>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</si>
  <si>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</si>
  <si>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</si>
  <si>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</si>
  <si>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</si>
  <si>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</si>
  <si>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</si>
  <si>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</si>
  <si>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</si>
  <si>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01/12/2024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</si>
  <si>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</si>
  <si>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</si>
  <si>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</si>
  <si>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</si>
  <si>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</si>
  <si>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</si>
  <si>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</si>
  <si>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CKO*PATREON* MEMBERSHIP DUBLIN</t>
  </si>
  <si>
    <t>11.55 USD</t>
  </si>
  <si>
    <t>SUITE 3  ONE EARLSFORT CENTRE
DUBLIN</t>
  </si>
  <si>
    <t>DUBLIN 2</t>
  </si>
  <si>
    <t>IRELAND</t>
  </si>
  <si>
    <t>OPENAI *CHATGPT SUBSCR  SAN FRANCISCO</t>
  </si>
  <si>
    <t>JASON P MASTERS A/C</t>
  </si>
  <si>
    <t>-74020</t>
  </si>
  <si>
    <t>22.00 USD</t>
  </si>
  <si>
    <t>3180 18TH ST
STE 100</t>
  </si>
  <si>
    <t>SAN FRANCISCO
CA</t>
  </si>
  <si>
    <t>94110</t>
  </si>
  <si>
    <t>UNITED STATES</t>
  </si>
  <si>
    <t>03/12/2024</t>
  </si>
  <si>
    <t>RYDE MART PTY LTD       NORTH RYDE</t>
  </si>
  <si>
    <t>UNIT 1 1 NETWORK PLACE</t>
  </si>
  <si>
    <t>NORTH RYDE
NSW</t>
  </si>
  <si>
    <t>2113</t>
  </si>
  <si>
    <t>DBS*ANYTIME FITNESS  N  NORTH RYDE</t>
  </si>
  <si>
    <t>900 PACIFIC HIGHWAY
UNIT 7</t>
  </si>
  <si>
    <t>LISAROW
NSW</t>
  </si>
  <si>
    <t>2250</t>
  </si>
  <si>
    <t>PAYPAL *PYPL PAYIN4     1800073263</t>
  </si>
  <si>
    <t xml:space="preserve">GENERAL
Reference:
</t>
  </si>
  <si>
    <t>1 YORK STREET</t>
  </si>
  <si>
    <t>HARVEST                 NEW YORK</t>
  </si>
  <si>
    <t>55.00 USD</t>
  </si>
  <si>
    <t>16 WEST 22ND ST FL 8</t>
  </si>
  <si>
    <t>NEW YORK
NY</t>
  </si>
  <si>
    <t>10010</t>
  </si>
  <si>
    <t>NAKEDPASTOR             QUISPAMSIS</t>
  </si>
  <si>
    <t>15.00 USD</t>
  </si>
  <si>
    <t>564 GONDOLA POINT RD</t>
  </si>
  <si>
    <t>QUISPAMSIS
NB</t>
  </si>
  <si>
    <t>E2E 1H6</t>
  </si>
  <si>
    <t>CANADA</t>
  </si>
  <si>
    <t>HLTH ADVC PHRMCY NR     NORTH RYDE</t>
  </si>
  <si>
    <t>136 COXS ROAD</t>
  </si>
  <si>
    <t>KINDLE UNLTD            503-7150002</t>
  </si>
  <si>
    <t>410 TERRY AVE NORTH</t>
  </si>
  <si>
    <t>SEATTLE
WA</t>
  </si>
  <si>
    <t>98109</t>
  </si>
  <si>
    <t>CKO*RESOLUTTY.COM 52924 TALLINN</t>
  </si>
  <si>
    <t>39.99 USD</t>
  </si>
  <si>
    <t>HARJU MAAKOND  NOMME LINNAOSA
TALLINN</t>
  </si>
  <si>
    <t>11612</t>
  </si>
  <si>
    <t>ESTONIA</t>
  </si>
  <si>
    <t>EZI*FAILEDPAYMENT EZIDE FORTITUDE VAL</t>
  </si>
  <si>
    <t>1 KING STREET</t>
  </si>
  <si>
    <t>FORTITUDE VALLEY
QLD</t>
  </si>
  <si>
    <t>0400</t>
  </si>
  <si>
    <t>AMAZON.CA PRIME MEMBER  AMAZON.CA/PRI</t>
  </si>
  <si>
    <t>11.49 CAD</t>
  </si>
  <si>
    <t>1071 MAINLAND ST</t>
  </si>
  <si>
    <t>VANCOUVER
BC</t>
  </si>
  <si>
    <t>V6B 1A9</t>
  </si>
  <si>
    <t>CLAUDE.AI SUBSCRIPTION  SAN FRANCISCO</t>
  </si>
  <si>
    <t>20.00 USD</t>
  </si>
  <si>
    <t>731 SANSOME ST</t>
  </si>
  <si>
    <t>94111</t>
  </si>
  <si>
    <t>BELLA VISTA
NSW</t>
  </si>
  <si>
    <t>2153</t>
  </si>
  <si>
    <t>UBER ONE                HELP.UBER.COM</t>
  </si>
  <si>
    <t>LEVEL 2
625 HARRIS ST</t>
  </si>
  <si>
    <t>ULTIMO
NSW</t>
  </si>
  <si>
    <t>2007</t>
  </si>
  <si>
    <t xml:space="preserve">MERCHANDISE
Reference:
</t>
  </si>
  <si>
    <t>HUNTERS HILL MEDICAL PR HUNTERS HILL</t>
  </si>
  <si>
    <t>U 1 6 RYDE ROAD</t>
  </si>
  <si>
    <t>HUNTERS HILL
NSW</t>
  </si>
  <si>
    <t>2110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</si>
  <si>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</si>
  <si>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</si>
  <si>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</si>
  <si>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</si>
  <si>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</si>
  <si>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</si>
  <si>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FONEBOX                 SYDNEY</t>
  </si>
  <si>
    <t>MICHAELA WAKE</t>
  </si>
  <si>
    <t>-71034</t>
  </si>
  <si>
    <t>LEVEL 4
580 GEORGE STREET</t>
  </si>
  <si>
    <t>UBER EATS               HELP.UBER.COM</t>
  </si>
  <si>
    <t>FRAUDSEC T/A WHISPLI    NORTH SYDNEY</t>
  </si>
  <si>
    <t>24 32 LEXINGTON DRIVE
SUITE A10</t>
  </si>
  <si>
    <t>EZI*IT SMART SOLUTIONS  SYDNEY</t>
  </si>
  <si>
    <t>20 40 MEAGHER STREET</t>
  </si>
  <si>
    <t>CHIPPENDALE
NSW</t>
  </si>
  <si>
    <t>2008</t>
  </si>
  <si>
    <t>SURRY HILLS
NSW</t>
  </si>
  <si>
    <t>2010</t>
  </si>
  <si>
    <t>SPOTIFY                 SYDNEY</t>
  </si>
  <si>
    <t>4TH 25 ARGYLL ST</t>
  </si>
  <si>
    <t>LONDON
LND</t>
  </si>
  <si>
    <t>W1F 7TU</t>
  </si>
  <si>
    <t>AUDIBLE PAYMENT AU      SYDNEY</t>
  </si>
  <si>
    <t>2 PARK STREET L37</t>
  </si>
  <si>
    <t>SYDNEY SOUTH
NSW</t>
  </si>
  <si>
    <t>DE CUSERSTRAAT 91  2ND BUILDING
NOORD HOLLAND</t>
  </si>
  <si>
    <t>1081 CN</t>
  </si>
  <si>
    <t>NETHERLANDS</t>
  </si>
  <si>
    <t>WEWORK ATTN GODADDY
LEVEL 4100 HARRIS STREET</t>
  </si>
  <si>
    <t>PYRMONT
NSW</t>
  </si>
  <si>
    <t>2009</t>
  </si>
  <si>
    <t>FAIRFAX  - SUBSCRIPTION PYRMONT</t>
  </si>
  <si>
    <t>LEVEL 5 1 DARLING ISLAND ROAD</t>
  </si>
  <si>
    <t>WOOLWORTHS ONLINE 8843  BELLA VISTA</t>
  </si>
  <si>
    <t>1 WOOLWORTHS WAY</t>
  </si>
  <si>
    <t>PADDLE.NET* MUTEDECK    LONDON</t>
  </si>
  <si>
    <t>70 WILSON STREET</t>
  </si>
  <si>
    <t>EC2A 2DB</t>
  </si>
  <si>
    <t>HUNTER PREMIUM          SYDNEY</t>
  </si>
  <si>
    <t>LEVEL 8 601 BOURKE ST</t>
  </si>
  <si>
    <t>MELBOURNE
VIC</t>
  </si>
  <si>
    <t>3000</t>
  </si>
  <si>
    <t>AD FREE FOR PRIMEVIDEO  SYDNEY</t>
  </si>
  <si>
    <t>NEWS PTY LIMITED SURRY  SURRY HILLS</t>
  </si>
  <si>
    <t>2 HOLT ST
LEVEL 1</t>
  </si>
  <si>
    <t>DOMINO'S ESTORE NORTH R NORTH RYDE</t>
  </si>
  <si>
    <t>SHOP 1 203 COXS ROAD</t>
  </si>
  <si>
    <t>WORKSPACE365.COM.AU     SYDNEY</t>
  </si>
  <si>
    <t>62 66 GROSVENOR STREET</t>
  </si>
  <si>
    <t>-25008</t>
  </si>
  <si>
    <t>RESMED                  BELLA VISTA</t>
  </si>
  <si>
    <t>1 ELIZABETH MACARTHUR DRIVE</t>
  </si>
  <si>
    <t>D J*WSJ                 800-568-7625</t>
  </si>
  <si>
    <t>25.29 USD</t>
  </si>
  <si>
    <t>4300 RTE 1 NORTH</t>
  </si>
  <si>
    <t>SOUTH BRUNSWICK
NJ</t>
  </si>
  <si>
    <t>08852</t>
  </si>
  <si>
    <t>AMAYSIM MOBILE PTY LTD  SYDNEY</t>
  </si>
  <si>
    <t>6 17 19 BRIDGE STREET
LEVEL</t>
  </si>
  <si>
    <t>SQUIRREL STREET         FRENCHS FOREST</t>
  </si>
  <si>
    <t>PO BOX
6488</t>
  </si>
  <si>
    <t>FRENCHS FOREST
NSW</t>
  </si>
  <si>
    <t>2086</t>
  </si>
  <si>
    <t>21.95 USD</t>
  </si>
  <si>
    <t>SUBMISSION USD
SINGAPORE</t>
  </si>
  <si>
    <t>0000</t>
  </si>
  <si>
    <t>SINGAPORE</t>
  </si>
  <si>
    <t>ADOBE SYSTEMS Adobe Sys SAGGART</t>
  </si>
  <si>
    <t>4-6 RIVERWALK
CITY WEST BUSINESS CAMPUS
SAGGART
DUBLIN</t>
  </si>
  <si>
    <t>24</t>
  </si>
  <si>
    <t>INTEREST CHARGES</t>
  </si>
  <si>
    <t>JOSHUA MASTERS</t>
  </si>
  <si>
    <t>-22021</t>
  </si>
  <si>
    <t>CROFTS CHARTERED ACCOUNTS
LEVEL 10 50 BERRY STREET</t>
  </si>
  <si>
    <t>NORTH SYDNEY
NSW</t>
  </si>
  <si>
    <t>2060</t>
  </si>
  <si>
    <t>TELSTRA BILL DIRECT DEB ADELAIDE</t>
  </si>
  <si>
    <t>GROUND FLOOR 30 PIRIE ST</t>
  </si>
  <si>
    <t>ADELAIDE
SA</t>
  </si>
  <si>
    <t>5000</t>
  </si>
  <si>
    <t>THE ASSOCIATION OF PROF WEST MELBOURNE</t>
  </si>
  <si>
    <t>148 152 MILLER STREET</t>
  </si>
  <si>
    <t>WEST MELBOURNE
VIC</t>
  </si>
  <si>
    <t>3003</t>
  </si>
  <si>
    <t>GST CODE</t>
  </si>
  <si>
    <t>DESCRIPTION</t>
  </si>
  <si>
    <t>GST AMOUNT</t>
  </si>
  <si>
    <t>JASON P. MASTERS</t>
  </si>
  <si>
    <t>Afterpay                  afterpay.com</t>
  </si>
  <si>
    <t>SYDNEYSWANS MEMBERSHIP    MELBOURNE</t>
  </si>
  <si>
    <t>5 BUCK PTY LTD            MILSONS POINT</t>
  </si>
  <si>
    <t>HUBBL - KAYO SPORTS       NORTH RYDE</t>
  </si>
  <si>
    <t>INTEREST CHARGED ON PURCHASES</t>
  </si>
  <si>
    <t>Card ending 2145</t>
  </si>
  <si>
    <t>CREDIT CARD PURCHASE</t>
  </si>
  <si>
    <t>Medical</t>
  </si>
  <si>
    <t>RESOLUTION LIFE QB SYDNEY</t>
  </si>
  <si>
    <t>Insurance</t>
  </si>
  <si>
    <t>Resolution Life Australasia</t>
  </si>
  <si>
    <t>ASTERON LIFE SYDNEY</t>
  </si>
  <si>
    <t>Asteron</t>
  </si>
  <si>
    <t>WESTERN DISTRICT HEALT LITHGOW</t>
  </si>
  <si>
    <t>Westfund</t>
  </si>
  <si>
    <t>PETCOVER AUST PTY LT TULLAMARINE</t>
  </si>
  <si>
    <t>Petcover</t>
  </si>
  <si>
    <t>STG BANK</t>
  </si>
  <si>
    <t>DR</t>
  </si>
  <si>
    <t>CR</t>
  </si>
  <si>
    <t>A C KEEP FEE EX 0000455884826</t>
  </si>
  <si>
    <t>CREDIT INTEREST</t>
  </si>
  <si>
    <t>B</t>
  </si>
  <si>
    <t>INVOICE</t>
  </si>
  <si>
    <t>E</t>
  </si>
  <si>
    <t>Z</t>
  </si>
  <si>
    <t>BANK FEES</t>
  </si>
  <si>
    <t>COMPUTER_SUBSCRIPTION</t>
  </si>
  <si>
    <t>MOBILE</t>
  </si>
  <si>
    <t>ADJUSTED</t>
  </si>
  <si>
    <t>P</t>
  </si>
  <si>
    <t>COMPUTER_SOFTWARE</t>
  </si>
  <si>
    <t>INSURANCE</t>
  </si>
  <si>
    <t>INTERNET</t>
  </si>
  <si>
    <t>TELEPHONE</t>
  </si>
  <si>
    <t>INSURANCE_PREMIUM</t>
  </si>
  <si>
    <t>MEDICAL_DOCTOR</t>
  </si>
  <si>
    <t>SUBC_MBURKITT</t>
  </si>
  <si>
    <t>SUBC_PMARSH</t>
  </si>
  <si>
    <t>MEDICAL_OTHER</t>
  </si>
  <si>
    <t>TRAVEL_DOM_ACCOM</t>
  </si>
  <si>
    <t>HEALTH INSURANCE</t>
  </si>
  <si>
    <t>OFFICE_RENTAL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</si>
  <si>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</si>
  <si>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</si>
  <si>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</si>
  <si>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</si>
  <si>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</si>
  <si>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</si>
  <si>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</si>
  <si>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</si>
  <si>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</si>
  <si>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</si>
  <si>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31/12/2024</t>
  </si>
  <si>
    <t>AT243660013000010149335</t>
  </si>
  <si>
    <t>30/12/2024</t>
  </si>
  <si>
    <t>AT243660004000010105038</t>
  </si>
  <si>
    <t>AT243650004000010126198</t>
  </si>
  <si>
    <t>AT243650004000010126209</t>
  </si>
  <si>
    <t>AT243660004000010101007</t>
  </si>
  <si>
    <t>29/12/2024</t>
  </si>
  <si>
    <t>AT243650004000010101947</t>
  </si>
  <si>
    <t>AT243650004000010110492</t>
  </si>
  <si>
    <t>28/12/2024</t>
  </si>
  <si>
    <t>AT243640004000010086985</t>
  </si>
  <si>
    <t>BOOST JUICE PTY LTD     CLAYTON</t>
  </si>
  <si>
    <t>LEVEL 8
M CITY BUILDING AND BUSINESS DI</t>
  </si>
  <si>
    <t>CLAYTON
VIC</t>
  </si>
  <si>
    <t>3168</t>
  </si>
  <si>
    <t>AT243640004000010103043</t>
  </si>
  <si>
    <t>AT243640004000010109508</t>
  </si>
  <si>
    <t>MAD MEX MACQUARIE CENTR NORTH RYDE</t>
  </si>
  <si>
    <t>SHOP 406A
MACQUARIE CENTRE 109 WATERLOO RD</t>
  </si>
  <si>
    <t>AT243630014000010103293</t>
  </si>
  <si>
    <t>AT243640004000010088843</t>
  </si>
  <si>
    <t>27/12/2024</t>
  </si>
  <si>
    <t>AT243630014000010089068</t>
  </si>
  <si>
    <t>AT243630014000010089599</t>
  </si>
  <si>
    <t>AT243620003000010179979</t>
  </si>
  <si>
    <t>AT243620013000010094387</t>
  </si>
  <si>
    <t>AT243630003000010095758</t>
  </si>
  <si>
    <t>AT243630003000010097948</t>
  </si>
  <si>
    <t>26/12/2024</t>
  </si>
  <si>
    <t>HEALTH SERVICES DAILY   REDFERN</t>
  </si>
  <si>
    <t>209 59 GREAT BUCKINGHAM STREET</t>
  </si>
  <si>
    <t>REDFERN
NSW</t>
  </si>
  <si>
    <t>2016</t>
  </si>
  <si>
    <t>AT243620003000010183420</t>
  </si>
  <si>
    <t>UBER TRIP               HELP.UBER.COM</t>
  </si>
  <si>
    <t>AT243620003000010184901</t>
  </si>
  <si>
    <t>25/12/2024</t>
  </si>
  <si>
    <t>AT243610012000010017515</t>
  </si>
  <si>
    <t>24/12/2024</t>
  </si>
  <si>
    <t>AT243600003000010092914</t>
  </si>
  <si>
    <t>AT243600013000010047089</t>
  </si>
  <si>
    <t>REDDY EXPRESS HUNTERS H HUNTERS HILL</t>
  </si>
  <si>
    <t xml:space="preserve">Reference: 001
</t>
  </si>
  <si>
    <t>4 RYDE ROAD</t>
  </si>
  <si>
    <t>AT243590013000010160599</t>
  </si>
  <si>
    <t>SUNCORP INSURANCE       BRISBANE</t>
  </si>
  <si>
    <t>FRC INSURANCE
GPO BOX 1453</t>
  </si>
  <si>
    <t>BRISBANE
QLD</t>
  </si>
  <si>
    <t>4001</t>
  </si>
  <si>
    <t>AT243590013000010174419</t>
  </si>
  <si>
    <t>AT243590013000010159211</t>
  </si>
  <si>
    <t>AT243590013000010159377</t>
  </si>
  <si>
    <t>AT243590013000010134831</t>
  </si>
  <si>
    <t>23/12/2024</t>
  </si>
  <si>
    <t>ACCOR* MOVENPICK HOTEL  SYDNEY</t>
  </si>
  <si>
    <t xml:space="preserve">Arrive Date: 20241223                   Depart Date: 20241223
Reference: 00
</t>
  </si>
  <si>
    <t>123 PITT STREET
LEVEL 30 ANGEL PLACE</t>
  </si>
  <si>
    <t>AT243590004000010119809</t>
  </si>
  <si>
    <t>AT243590004000010094398</t>
  </si>
  <si>
    <t>AT243590004000010110094</t>
  </si>
  <si>
    <t>VIRGIN AUSTRALIA 994010 WINTON</t>
  </si>
  <si>
    <t xml:space="preserve">Ticket:         79544171641852          Passenger:         MASTERS/JASON MR
Reference:
</t>
  </si>
  <si>
    <t>56 EDMONDSTONE ROAD</t>
  </si>
  <si>
    <t>BOWEN HILLS
QLD</t>
  </si>
  <si>
    <t>4006</t>
  </si>
  <si>
    <t>AT243590004000010121043</t>
  </si>
  <si>
    <t>VIRGIN AUSTRALIA 994030 BIRDSVILLE</t>
  </si>
  <si>
    <t xml:space="preserve">Ticket:         79544171640194          Passenger:         MASTERS/JASON MR
Reference:
</t>
  </si>
  <si>
    <t>AT243590004000010121040</t>
  </si>
  <si>
    <t xml:space="preserve">Routing:    From:     SYDNEY KINGSFORD S
To:       MELBOURNE INTERNATCarrier:  VA       Class: U
To:       SYDNEY KINGSFORD SCarrier:  VA       Class: O
Ticket:         79521055396355          Passenger:         MASTERS/JASON MR
Reference:
</t>
  </si>
  <si>
    <t>AT243590004000010120866</t>
  </si>
  <si>
    <t>21/12/2024</t>
  </si>
  <si>
    <t>22/12/2024</t>
  </si>
  <si>
    <t>AT243570004000010096388</t>
  </si>
  <si>
    <t>AT243560012000010130933</t>
  </si>
  <si>
    <t>AT243560012000010131371</t>
  </si>
  <si>
    <t>AT243570004000010102330</t>
  </si>
  <si>
    <t>AT243570004000010114276</t>
  </si>
  <si>
    <t>DREAMSCAPE NETWORKS PTE SINGAPORE</t>
  </si>
  <si>
    <t>3 IRVING ROAD #09-01
SINGAPORE</t>
  </si>
  <si>
    <t>369522</t>
  </si>
  <si>
    <t>AT243570004000010096311</t>
  </si>
  <si>
    <t>AT243570004000010085432</t>
  </si>
  <si>
    <t>20/12/2024</t>
  </si>
  <si>
    <t>AT243560012000010128195</t>
  </si>
  <si>
    <t>AT243560004000010097157</t>
  </si>
  <si>
    <t>19/12/2024</t>
  </si>
  <si>
    <t>AT243550014000010172338</t>
  </si>
  <si>
    <t>AT243540013000010181271</t>
  </si>
  <si>
    <t>MIGRAINE AUSTRALIA      EAST MAITLAND</t>
  </si>
  <si>
    <t>13C WILTON DRIVE</t>
  </si>
  <si>
    <t>EAST MAITLAND
NSW</t>
  </si>
  <si>
    <t>2323</t>
  </si>
  <si>
    <t>AT243550003000010120633</t>
  </si>
  <si>
    <t>PAYPAL *LADCOLLECTI     0488997063</t>
  </si>
  <si>
    <t xml:space="preserve">BED AND BATH
Reference:
</t>
  </si>
  <si>
    <t>10 16 METROPLEX AVENUE</t>
  </si>
  <si>
    <t>MURARRIE
QLD</t>
  </si>
  <si>
    <t>4172</t>
  </si>
  <si>
    <t>AT243550003000010116026</t>
  </si>
  <si>
    <t>18/12/2024</t>
  </si>
  <si>
    <t>AT243540003000010109650</t>
  </si>
  <si>
    <t>AT243530013000010150337</t>
  </si>
  <si>
    <t>17/12/2024</t>
  </si>
  <si>
    <t>AT243530013000010150401</t>
  </si>
  <si>
    <t>16/12/2024</t>
  </si>
  <si>
    <t>AT243510003000010121554</t>
  </si>
  <si>
    <t>AT243510014000010133388</t>
  </si>
  <si>
    <t>15/12/2024</t>
  </si>
  <si>
    <t>AT243510014000010142583</t>
  </si>
  <si>
    <t>AT243500003000010108404</t>
  </si>
  <si>
    <t>AT243510003000010095648</t>
  </si>
  <si>
    <t>14/12/2024</t>
  </si>
  <si>
    <t>PRIMEVIDEO              SYDNEY</t>
  </si>
  <si>
    <t>AT243490012000010114084</t>
  </si>
  <si>
    <t>13/12/2024</t>
  </si>
  <si>
    <t>AUSTRALIAN INSTITUTE O  SYDNEY</t>
  </si>
  <si>
    <t>18 JAMISON STREET</t>
  </si>
  <si>
    <t>AT243480013000010135916</t>
  </si>
  <si>
    <t>AT243490003000010135835</t>
  </si>
  <si>
    <t>AT243480013000010175609</t>
  </si>
  <si>
    <t>AT243490003000010116413</t>
  </si>
  <si>
    <t>12/12/2024</t>
  </si>
  <si>
    <t>AT243480013000010159769</t>
  </si>
  <si>
    <t>AT243480004000010119097</t>
  </si>
  <si>
    <t>11/12/2024</t>
  </si>
  <si>
    <t>AT243470004000010116934</t>
  </si>
  <si>
    <t>DNH*GODADDY#3460121133  Sydney</t>
  </si>
  <si>
    <t>AT243470004000010106126</t>
  </si>
  <si>
    <t>10/12/2024</t>
  </si>
  <si>
    <t>AT243450013000010140657</t>
  </si>
  <si>
    <t>09/12/2024</t>
  </si>
  <si>
    <t>AT243440013000010118568</t>
  </si>
  <si>
    <t>GLOBALX LEGAL SOLUTIONS BRISBANE</t>
  </si>
  <si>
    <t>LEVEL 6 WEST
TOWER 410 ANN STREET</t>
  </si>
  <si>
    <t>4000</t>
  </si>
  <si>
    <t>AT243440013000010149165</t>
  </si>
  <si>
    <t>AT243440013000010149682</t>
  </si>
  <si>
    <t>08/12/2024</t>
  </si>
  <si>
    <t>AT243450004000010116031</t>
  </si>
  <si>
    <t>AT243440004000010097430</t>
  </si>
  <si>
    <t>AT243430003000010118061</t>
  </si>
  <si>
    <t>AT243440004000010101572</t>
  </si>
  <si>
    <t>07/12/2024</t>
  </si>
  <si>
    <t>AT243420012000010142599</t>
  </si>
  <si>
    <t>AT243420012000010145139</t>
  </si>
  <si>
    <t>06/12/2024</t>
  </si>
  <si>
    <t>AT243420003000010212075</t>
  </si>
  <si>
    <t>05/12/2024</t>
  </si>
  <si>
    <t>ALLIANZ AUSTRALIA INSUR SYDNEY</t>
  </si>
  <si>
    <t>2 MARKET ST</t>
  </si>
  <si>
    <t>AT243400014000010130120</t>
  </si>
  <si>
    <t>BT*INFORMATION SYSTEM A SCHAUMBURG</t>
  </si>
  <si>
    <t>225.50 USD</t>
  </si>
  <si>
    <t>1700 EAST GOLF RD
SUITE 400</t>
  </si>
  <si>
    <t>SCHAUMBURG
IL</t>
  </si>
  <si>
    <t>60173</t>
  </si>
  <si>
    <t>AT243410003000010124536</t>
  </si>
  <si>
    <t>STRATA PLUS PTY LTD     SYDNEY</t>
  </si>
  <si>
    <t>1 SHELLEY ST</t>
  </si>
  <si>
    <t>AT243400014000010133123</t>
  </si>
  <si>
    <t>04/12/2024</t>
  </si>
  <si>
    <t>AT243400004000010123625</t>
  </si>
  <si>
    <t>AT243390013000010136181</t>
  </si>
  <si>
    <t>CKO*FS *ERGONIS.COM 524 FSPRG.NL</t>
  </si>
  <si>
    <t>AT243390004000010128975</t>
  </si>
  <si>
    <t>CKO*FS *UNCLUTTER 52422 FSPRG.NL</t>
  </si>
  <si>
    <t>AT243390004000010128974</t>
  </si>
  <si>
    <t>CODE COFFEE 165535      SYDNEY OLYMPIC</t>
  </si>
  <si>
    <t>10 DAWN FRASER AVENUE</t>
  </si>
  <si>
    <t>SYDNEY OLYMPIC PARK
NSW</t>
  </si>
  <si>
    <t>2127</t>
  </si>
  <si>
    <t>AT243380013000010127914</t>
  </si>
  <si>
    <t>AT243380013000010125722</t>
  </si>
  <si>
    <t>LIV*DAVIDS LARDER 82195 NORTH RYDE</t>
  </si>
  <si>
    <t>211 COXS ROAD</t>
  </si>
  <si>
    <t>AT243380013000010129604</t>
  </si>
  <si>
    <t>AT243380013000010140063</t>
  </si>
  <si>
    <t>RITCHIES SUPA IGA NTH R NORTH RYDE</t>
  </si>
  <si>
    <t>SHOP 16 COXS ROAD
SHOPPING CENTRE 203-211 COXS ROAD</t>
  </si>
  <si>
    <t>AT243380013000010156538</t>
  </si>
  <si>
    <t>02/12/2024</t>
  </si>
  <si>
    <t>AT243370014000010146679</t>
  </si>
  <si>
    <t>AT243370014000010146681</t>
  </si>
  <si>
    <t>SP EZINK TATTOO         ACACIA GARDENS</t>
  </si>
  <si>
    <t>3 DEWDROP PLACE</t>
  </si>
  <si>
    <t>ACACIA GARDENS
NSW</t>
  </si>
  <si>
    <t>2763</t>
  </si>
  <si>
    <t>AT243380003000010158409</t>
  </si>
  <si>
    <t>SP GLOSSY BOYS          SWANBOURNE</t>
  </si>
  <si>
    <t>PO BOX 6082</t>
  </si>
  <si>
    <t>SWANBOURNE</t>
  </si>
  <si>
    <t>601</t>
  </si>
  <si>
    <t>AT243380003000010132776</t>
  </si>
  <si>
    <t>AT243380003000010125354</t>
  </si>
  <si>
    <t>AT243370003000010156829</t>
  </si>
  <si>
    <t>GoDaddy Online Services Sydney</t>
  </si>
  <si>
    <t>AT243370014000010147961</t>
  </si>
  <si>
    <t>AT243370003000010168777</t>
  </si>
  <si>
    <t>AT243370003000010150998</t>
  </si>
  <si>
    <t xml:space="preserve">Arrive Date: 20241201                   Depart Date: 20241201
Reference: 00
</t>
  </si>
  <si>
    <t>AT243360005000010282136</t>
  </si>
  <si>
    <t>DNH*GODADDY#3491928837  Sydney</t>
  </si>
  <si>
    <t>AT243640003000010067628</t>
  </si>
  <si>
    <t>AT243630004000010073338</t>
  </si>
  <si>
    <t>AT243620014000010094573</t>
  </si>
  <si>
    <t>AT243580004000010064260</t>
  </si>
  <si>
    <t>AT243570011000010113039</t>
  </si>
  <si>
    <t>AT243560003000010066932</t>
  </si>
  <si>
    <t>AT243560003000010066954</t>
  </si>
  <si>
    <t>AT243520004000010062736</t>
  </si>
  <si>
    <t>LINKEDIN PRE 1009341200 SINGAPORE</t>
  </si>
  <si>
    <t>AT243510004000010066675</t>
  </si>
  <si>
    <t>10000000011213999992600</t>
  </si>
  <si>
    <t>AT243490004000010077437</t>
  </si>
  <si>
    <t>AT243490004000010077113</t>
  </si>
  <si>
    <t>AT243470003000010066744</t>
  </si>
  <si>
    <t>RED ENERGY              CREMORNE</t>
  </si>
  <si>
    <t>570 CHURCH ST</t>
  </si>
  <si>
    <t>CREMORNE
VIC</t>
  </si>
  <si>
    <t>3121</t>
  </si>
  <si>
    <t>AT243460013000010107878</t>
  </si>
  <si>
    <t>PRIVATEINTERNETACCESS   NEW CASTLE</t>
  </si>
  <si>
    <t>251 LITTLE FLS DR</t>
  </si>
  <si>
    <t>NEW CASTLE
DE</t>
  </si>
  <si>
    <t>19808</t>
  </si>
  <si>
    <t>AT243460003000010068253</t>
  </si>
  <si>
    <t>AT243430011000010112216</t>
  </si>
  <si>
    <t>LINKEDINPRE *17093884   SYDNEY NSW</t>
  </si>
  <si>
    <t>AT243430004000010069078</t>
  </si>
  <si>
    <t>AT243420004000010123198</t>
  </si>
  <si>
    <t>AT243420004000010122583</t>
  </si>
  <si>
    <t>AT243410014000010063235</t>
  </si>
  <si>
    <t>AT243370004000010090539</t>
  </si>
  <si>
    <t>AT243370004000010090652</t>
  </si>
  <si>
    <t>ANZ</t>
  </si>
  <si>
    <t>OF                        London  16.49  USD 0.80 AUD</t>
  </si>
  <si>
    <t>OF                        London  8.79  USD 0.43 AUD</t>
  </si>
  <si>
    <t>JB Norwest Private Ho     Bella Vista</t>
  </si>
  <si>
    <t>Dr. John Lam-Po-Tang      Woolloomooloo</t>
  </si>
  <si>
    <t>OF                        London  5.00  USD 0.24 AUD</t>
  </si>
  <si>
    <t>OF                        LONDON  16.49  USD 0.78 AUD</t>
  </si>
  <si>
    <t>SAN CAFE                  WAHROONGA</t>
  </si>
  <si>
    <t>CMEDIA                    6122345288  34.99  USD 1.65 AUD</t>
  </si>
  <si>
    <t>OF                        LONDON  11.00  USD 0.51 AUD</t>
  </si>
  <si>
    <t>VALENTINE PARK MED CNT BELLA VISTA</t>
  </si>
  <si>
    <t>NAB</t>
  </si>
  <si>
    <t>Norwest Hospital Physiotherapy</t>
  </si>
  <si>
    <t>ASIC SYDNEY</t>
  </si>
  <si>
    <t>Government</t>
  </si>
  <si>
    <t>Australian Securities &amp; Investments Commission</t>
  </si>
  <si>
    <t>INTERNET WITHDRAWAL           10DEC06:15 | CP Lease U301</t>
  </si>
  <si>
    <t>Telex Australia | 638820917</t>
  </si>
  <si>
    <t>INTERNET WITHDRAWAL           20DEC16:58 | SubCont IreneL Nov24</t>
  </si>
  <si>
    <t>INTERNET WITHDRAWAL           20DEC16:58 | SubCont MichaelaB Nov24</t>
  </si>
  <si>
    <t>INTERNET WITHDRAWAL           20DEC16:58 | SubCont PaulM Nov24</t>
  </si>
  <si>
    <t>INTERNET WITHDRAWAL           24DEC06:16 | CP Lease U301</t>
  </si>
  <si>
    <t>Waverley Council | 243369</t>
  </si>
  <si>
    <t>LGRNSW AP | 2024-0038</t>
  </si>
  <si>
    <t>Ambulance Servic | 8113484</t>
  </si>
  <si>
    <t>BONUS INTEREST</t>
  </si>
  <si>
    <t>INTEREST</t>
  </si>
  <si>
    <t>TRANSFER FROM AMAZON AUS SERVI TLR002560844792</t>
  </si>
  <si>
    <t>AFH</t>
  </si>
  <si>
    <t>BOOK_ROYALTIES</t>
  </si>
  <si>
    <t>MOTOR_INSURANCE</t>
  </si>
  <si>
    <t>ASIC</t>
  </si>
  <si>
    <t>PROFESSIONAL_DEVELOPMENT</t>
  </si>
  <si>
    <t>NEWSPAPERS_MAGAINES</t>
  </si>
  <si>
    <t>LEGAL</t>
  </si>
  <si>
    <t>MEDICAL_PHARAMA</t>
  </si>
  <si>
    <t>SUBC_ILOMIS</t>
  </si>
  <si>
    <t>CAR PARKING</t>
  </si>
  <si>
    <t>GAS/ELECTRICITY</t>
  </si>
  <si>
    <t>PROFESSIONAL_ASSOCIATION</t>
  </si>
  <si>
    <t>MEDICAL_PHYSIO</t>
  </si>
  <si>
    <t>DOM_TRAVEL_AIR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</si>
</sst>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/mm/yyyy;@"/>
  </numFmts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2" fontId="5" fillId="0" borderId="3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2" fontId="4" fillId="0" borderId="3" xfId="0" applyNumberFormat="1" applyFont="1" applyBorder="1" applyAlignment="1">
      <alignment horizontal="right" wrapText="1"/>
    </xf>
    <xf numFmtId="15" fontId="0" fillId="0" borderId="3" xfId="0" applyNumberFormat="1" applyBorder="1"/>
    <xf numFmtId="15" fontId="0" fillId="0" borderId="3" xfId="0" applyNumberFormat="1" applyBorder="1" applyAlignment="1">
      <alignment horizontal="left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65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 wrapText="1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3" xfId="0" quotePrefix="1" applyFont="1" applyBorder="1" applyAlignment="1">
      <alignment horizontal="left" wrapText="1"/>
    </xf>
    <xf numFmtId="14" fontId="0" fillId="0" borderId="3" xfId="0" applyNumberFormat="1" applyBorder="1" applyAlignment="1">
      <alignment horizontal="center"/>
    </xf>
    <xf numFmtId="0" fontId="0" fillId="0" borderId="1" xfId="0" applyBorder="1"/>
    <xf numFmtId="8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M13"/>
  <sheetViews>
    <sheetView tabSelected="1" workbookViewId="0">
      <selection activeCell="K8" sqref="K8"/>
    </sheetView>
  </sheetViews>
  <sheetFormatPr baseColWidth="10" defaultRowHeight="15" x14ac:dyDescent="0.2"/>
  <cols>
    <col min="11" max="11" width="11.6640625" bestFit="1" customWidth="1"/>
    <col min="13" max="13" width="11.6640625" bestFit="1" customWidth="1"/>
  </cols>
  <sheetData>
    <row r="1" spans="2:13" x14ac:dyDescent="0.2">
      <c r="E1" s="4"/>
    </row>
    <row r="2" spans="2:13" x14ac:dyDescent="0.2">
      <c r="E2" s="4"/>
    </row>
    <row r="3" spans="2:13" x14ac:dyDescent="0.2">
      <c r="B3" t="s">
        <v>229</v>
      </c>
      <c r="E3" s="4"/>
      <c r="I3" t="s">
        <v>230</v>
      </c>
    </row>
    <row r="4" spans="2:13" x14ac:dyDescent="0.2">
      <c r="E4" s="4"/>
    </row>
    <row r="5" spans="2:13" x14ac:dyDescent="0.2">
      <c r="C5" t="s">
        <v>231</v>
      </c>
      <c r="E5" s="4">
        <f>'EXPENSES MASTER SCDEDULE'!H72</f>
        <v>21505.450000000008</v>
      </c>
      <c r="I5" t="s">
        <v>232</v>
      </c>
      <c r="K5" s="43">
        <v>345417.28</v>
      </c>
      <c r="M5" s="43"/>
    </row>
    <row r="6" spans="2:13" x14ac:dyDescent="0.2">
      <c r="C6" t="s">
        <v>233</v>
      </c>
      <c r="E6" s="4">
        <f>'EXPENSES MASTER SCDEDULE'!I72</f>
        <v>1551.4181818181821</v>
      </c>
      <c r="I6" t="s">
        <v>234</v>
      </c>
      <c r="K6" s="4">
        <v>0</v>
      </c>
    </row>
    <row r="7" spans="2:13" x14ac:dyDescent="0.2">
      <c r="E7" s="4"/>
      <c r="I7" t="s">
        <v>235</v>
      </c>
      <c r="K7" s="4">
        <f>E5</f>
        <v>21505.450000000008</v>
      </c>
    </row>
    <row r="8" spans="2:13" x14ac:dyDescent="0.2">
      <c r="C8" t="s">
        <v>236</v>
      </c>
      <c r="E8" s="4">
        <f>'INCOME MASTER SCHEDULE'!H8</f>
        <v>11256.949999999999</v>
      </c>
      <c r="K8" s="4">
        <f>K5-K6+K7</f>
        <v>366922.73000000004</v>
      </c>
    </row>
    <row r="9" spans="2:13" x14ac:dyDescent="0.2">
      <c r="C9" t="s">
        <v>237</v>
      </c>
      <c r="E9" s="4">
        <f>'INCOME MASTER SCHEDULE'!I8</f>
        <v>1017.7154545454546</v>
      </c>
    </row>
    <row r="10" spans="2:13" x14ac:dyDescent="0.2">
      <c r="E10" s="4"/>
    </row>
    <row r="11" spans="2:13" x14ac:dyDescent="0.2">
      <c r="C11" t="s">
        <v>238</v>
      </c>
      <c r="E11" s="4">
        <f>E6-E9</f>
        <v>533.70272727272754</v>
      </c>
    </row>
    <row r="12" spans="2:13" x14ac:dyDescent="0.2">
      <c r="E12" s="4"/>
    </row>
    <row r="13" spans="2:13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79"/>
  <sheetViews>
    <sheetView workbookViewId="0">
      <selection activeCell="D1" sqref="D1:E1048576"/>
    </sheetView>
  </sheetViews>
  <sheetFormatPr baseColWidth="10" defaultRowHeight="15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style="7" bestFit="1" customWidth="1"/>
    <col min="5" max="5" width="8.83203125" style="7" bestFit="1" customWidth="1"/>
    <col min="6" max="6" width="8.5" bestFit="1" customWidth="1"/>
    <col min="7" max="7" width="24.33203125" bestFit="1" customWidth="1"/>
    <col min="8" max="8" width="9.1640625" bestFit="1" customWidth="1"/>
    <col min="9" max="9" width="11.5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31" customFormat="1" ht="16" x14ac:dyDescent="0.2">
      <c r="A1" s="27" t="s">
        <v>2</v>
      </c>
      <c r="B1" s="28" t="s">
        <v>3</v>
      </c>
      <c r="C1" s="28" t="s">
        <v>4</v>
      </c>
      <c r="D1" s="29" t="s">
        <v>5</v>
      </c>
      <c r="E1" s="29" t="s">
        <v>6</v>
      </c>
      <c r="F1" s="30" t="s">
        <v>182</v>
      </c>
      <c r="G1" s="30" t="s">
        <v>183</v>
      </c>
      <c r="H1" s="32" t="s">
        <v>7</v>
      </c>
      <c r="I1" s="33" t="s">
        <v>184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</row>
    <row r="2" spans="1:19" ht="60" customHeight="1" x14ac:dyDescent="0.2">
      <c r="A2" s="8">
        <v>45642</v>
      </c>
      <c r="B2" s="18"/>
      <c r="C2" s="10" t="s">
        <v>488</v>
      </c>
      <c r="D2" s="11" t="s">
        <v>191</v>
      </c>
      <c r="E2" s="11" t="s">
        <v>486</v>
      </c>
      <c r="F2" s="10" t="s">
        <v>210</v>
      </c>
      <c r="G2" s="10" t="s">
        <v>506</v>
      </c>
      <c r="H2" s="12">
        <v>52</v>
      </c>
      <c r="I2" s="12"/>
      <c r="J2" s="10" t="s">
        <v>191</v>
      </c>
      <c r="K2" s="10" t="s">
        <v>21</v>
      </c>
      <c r="L2" s="10" t="s">
        <v>192</v>
      </c>
      <c r="M2" s="10"/>
      <c r="N2" s="10">
        <v>-3996.62</v>
      </c>
      <c r="O2" s="10" t="s">
        <v>489</v>
      </c>
      <c r="P2" s="10" t="s">
        <v>490</v>
      </c>
      <c r="Q2" s="10"/>
      <c r="R2" s="10"/>
      <c r="S2" s="10"/>
    </row>
    <row r="3" spans="1:19" ht="60" customHeight="1" x14ac:dyDescent="0.2">
      <c r="A3" s="13" t="s">
        <v>362</v>
      </c>
      <c r="B3" s="14" t="s">
        <v>355</v>
      </c>
      <c r="C3" s="14" t="s">
        <v>73</v>
      </c>
      <c r="D3" s="14" t="s">
        <v>32</v>
      </c>
      <c r="E3" s="14" t="s">
        <v>33</v>
      </c>
      <c r="F3" s="14" t="s">
        <v>210</v>
      </c>
      <c r="G3" s="14" t="s">
        <v>212</v>
      </c>
      <c r="H3" s="35">
        <v>-9.9</v>
      </c>
      <c r="I3" s="35"/>
      <c r="J3" s="14" t="s">
        <v>21</v>
      </c>
      <c r="K3" s="16" t="s">
        <v>0</v>
      </c>
      <c r="L3" s="14" t="s">
        <v>0</v>
      </c>
      <c r="M3" s="14" t="s">
        <v>0</v>
      </c>
      <c r="N3" s="14" t="s">
        <v>73</v>
      </c>
      <c r="O3" s="14" t="s">
        <v>74</v>
      </c>
      <c r="P3" s="14" t="s">
        <v>75</v>
      </c>
      <c r="Q3" s="14" t="s">
        <v>76</v>
      </c>
      <c r="R3" s="14" t="s">
        <v>25</v>
      </c>
      <c r="S3" s="14" t="s">
        <v>363</v>
      </c>
    </row>
    <row r="4" spans="1:19" ht="60" customHeight="1" x14ac:dyDescent="0.2">
      <c r="A4" s="8">
        <v>45657</v>
      </c>
      <c r="B4" s="9"/>
      <c r="C4" s="10" t="s">
        <v>206</v>
      </c>
      <c r="D4" s="11">
        <v>465083897</v>
      </c>
      <c r="E4" s="11" t="s">
        <v>203</v>
      </c>
      <c r="F4" s="10" t="s">
        <v>210</v>
      </c>
      <c r="G4" s="10" t="s">
        <v>212</v>
      </c>
      <c r="H4" s="12">
        <v>10</v>
      </c>
      <c r="I4" s="12"/>
      <c r="J4" s="10" t="s">
        <v>204</v>
      </c>
      <c r="K4" s="10">
        <v>14635.56</v>
      </c>
      <c r="L4" s="10" t="s">
        <v>205</v>
      </c>
      <c r="M4" s="10">
        <v>112879</v>
      </c>
      <c r="N4" s="10">
        <v>945</v>
      </c>
      <c r="O4" s="10"/>
      <c r="P4" s="10"/>
      <c r="Q4" s="10"/>
      <c r="R4" s="10"/>
      <c r="S4" s="10"/>
    </row>
    <row r="5" spans="1:19" ht="60" customHeight="1" x14ac:dyDescent="0.2">
      <c r="A5" s="41">
        <v>45642</v>
      </c>
      <c r="B5" s="10"/>
      <c r="C5" s="10" t="s">
        <v>502</v>
      </c>
      <c r="D5" s="11" t="s">
        <v>503</v>
      </c>
      <c r="E5" s="11" t="s">
        <v>475</v>
      </c>
      <c r="F5" s="10" t="s">
        <v>208</v>
      </c>
      <c r="G5" s="10" t="s">
        <v>504</v>
      </c>
      <c r="H5" s="35">
        <v>0.11</v>
      </c>
      <c r="I5" s="35">
        <f>H5/11</f>
        <v>0.01</v>
      </c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60" customHeight="1" x14ac:dyDescent="0.2">
      <c r="A6" s="8">
        <v>45636</v>
      </c>
      <c r="B6" s="9"/>
      <c r="C6" s="10" t="s">
        <v>491</v>
      </c>
      <c r="D6" s="11">
        <v>465083897</v>
      </c>
      <c r="E6" s="11" t="s">
        <v>203</v>
      </c>
      <c r="F6" s="10" t="s">
        <v>210</v>
      </c>
      <c r="G6" s="10" t="s">
        <v>512</v>
      </c>
      <c r="H6" s="12">
        <v>140</v>
      </c>
      <c r="I6" s="12"/>
      <c r="J6" s="10" t="s">
        <v>204</v>
      </c>
      <c r="K6" s="10">
        <v>14329.08</v>
      </c>
      <c r="L6" s="10" t="s">
        <v>205</v>
      </c>
      <c r="M6" s="10">
        <v>112879</v>
      </c>
      <c r="N6" s="10">
        <v>946</v>
      </c>
      <c r="O6" s="10"/>
      <c r="P6" s="10"/>
      <c r="Q6" s="10"/>
      <c r="R6" s="10"/>
      <c r="S6" s="10"/>
    </row>
    <row r="7" spans="1:19" ht="60" customHeight="1" x14ac:dyDescent="0.2">
      <c r="A7" s="8">
        <v>45650</v>
      </c>
      <c r="B7" s="9"/>
      <c r="C7" s="10" t="s">
        <v>496</v>
      </c>
      <c r="D7" s="11">
        <v>465083897</v>
      </c>
      <c r="E7" s="11" t="s">
        <v>203</v>
      </c>
      <c r="F7" s="10" t="s">
        <v>210</v>
      </c>
      <c r="G7" s="10" t="s">
        <v>512</v>
      </c>
      <c r="H7" s="12">
        <v>140</v>
      </c>
      <c r="I7" s="12"/>
      <c r="J7" s="10" t="s">
        <v>204</v>
      </c>
      <c r="K7" s="10">
        <v>14583.48</v>
      </c>
      <c r="L7" s="10" t="s">
        <v>205</v>
      </c>
      <c r="M7" s="10">
        <v>112879</v>
      </c>
      <c r="N7" s="10">
        <v>946</v>
      </c>
      <c r="O7" s="10"/>
      <c r="P7" s="10"/>
      <c r="Q7" s="10"/>
      <c r="R7" s="10"/>
      <c r="S7" s="10"/>
    </row>
    <row r="8" spans="1:19" ht="60" customHeight="1" x14ac:dyDescent="0.2">
      <c r="A8" s="13" t="s">
        <v>378</v>
      </c>
      <c r="B8" s="14" t="s">
        <v>369</v>
      </c>
      <c r="C8" s="14" t="s">
        <v>19</v>
      </c>
      <c r="D8" s="14" t="s">
        <v>1</v>
      </c>
      <c r="E8" s="14" t="s">
        <v>20</v>
      </c>
      <c r="F8" s="14" t="s">
        <v>208</v>
      </c>
      <c r="G8" s="14" t="s">
        <v>217</v>
      </c>
      <c r="H8" s="35">
        <v>15.98</v>
      </c>
      <c r="I8" s="35">
        <f>H8/11</f>
        <v>1.4527272727272729</v>
      </c>
      <c r="J8" s="14" t="s">
        <v>21</v>
      </c>
      <c r="K8" s="16" t="s">
        <v>0</v>
      </c>
      <c r="L8" s="14" t="s">
        <v>0</v>
      </c>
      <c r="M8" s="14" t="s">
        <v>0</v>
      </c>
      <c r="N8" s="14" t="s">
        <v>19</v>
      </c>
      <c r="O8" s="14" t="s">
        <v>22</v>
      </c>
      <c r="P8" s="14" t="s">
        <v>23</v>
      </c>
      <c r="Q8" s="14" t="s">
        <v>24</v>
      </c>
      <c r="R8" s="14" t="s">
        <v>25</v>
      </c>
      <c r="S8" s="14" t="s">
        <v>379</v>
      </c>
    </row>
    <row r="9" spans="1:19" ht="60" customHeight="1" x14ac:dyDescent="0.2">
      <c r="A9" s="13" t="s">
        <v>348</v>
      </c>
      <c r="B9" s="14" t="s">
        <v>345</v>
      </c>
      <c r="C9" s="14" t="s">
        <v>19</v>
      </c>
      <c r="D9" s="14" t="s">
        <v>1</v>
      </c>
      <c r="E9" s="14" t="s">
        <v>20</v>
      </c>
      <c r="F9" s="14" t="s">
        <v>208</v>
      </c>
      <c r="G9" s="14" t="s">
        <v>217</v>
      </c>
      <c r="H9" s="35">
        <v>7.99</v>
      </c>
      <c r="I9" s="35">
        <f>H9/11</f>
        <v>0.72636363636363643</v>
      </c>
      <c r="J9" s="14" t="s">
        <v>215</v>
      </c>
      <c r="K9" s="16" t="s">
        <v>0</v>
      </c>
      <c r="L9" s="14" t="s">
        <v>0</v>
      </c>
      <c r="M9" s="14" t="s">
        <v>0</v>
      </c>
      <c r="N9" s="14" t="s">
        <v>19</v>
      </c>
      <c r="O9" s="14" t="s">
        <v>22</v>
      </c>
      <c r="P9" s="14" t="s">
        <v>23</v>
      </c>
      <c r="Q9" s="14" t="s">
        <v>24</v>
      </c>
      <c r="R9" s="14" t="s">
        <v>25</v>
      </c>
      <c r="S9" s="14" t="s">
        <v>349</v>
      </c>
    </row>
    <row r="10" spans="1:19" ht="60" customHeight="1" x14ac:dyDescent="0.2">
      <c r="A10" s="13" t="s">
        <v>18</v>
      </c>
      <c r="B10" s="14" t="s">
        <v>421</v>
      </c>
      <c r="C10" s="14" t="s">
        <v>133</v>
      </c>
      <c r="D10" s="14" t="s">
        <v>32</v>
      </c>
      <c r="E10" s="14" t="s">
        <v>33</v>
      </c>
      <c r="F10" s="14" t="s">
        <v>210</v>
      </c>
      <c r="G10" s="14" t="s">
        <v>213</v>
      </c>
      <c r="H10" s="35">
        <v>24.83</v>
      </c>
      <c r="I10" s="35"/>
      <c r="J10" s="14" t="s">
        <v>21</v>
      </c>
      <c r="K10" s="16" t="s">
        <v>0</v>
      </c>
      <c r="L10" s="14" t="s">
        <v>0</v>
      </c>
      <c r="M10" s="14" t="s">
        <v>0</v>
      </c>
      <c r="N10" s="14" t="s">
        <v>133</v>
      </c>
      <c r="O10" s="14" t="s">
        <v>134</v>
      </c>
      <c r="P10" s="14" t="s">
        <v>100</v>
      </c>
      <c r="Q10" s="14" t="s">
        <v>135</v>
      </c>
      <c r="R10" s="14" t="s">
        <v>102</v>
      </c>
      <c r="S10" s="14" t="s">
        <v>438</v>
      </c>
    </row>
    <row r="11" spans="1:19" ht="60" customHeight="1" x14ac:dyDescent="0.2">
      <c r="A11" s="13" t="s">
        <v>39</v>
      </c>
      <c r="B11" s="14" t="s">
        <v>401</v>
      </c>
      <c r="C11" s="14" t="s">
        <v>404</v>
      </c>
      <c r="D11" s="14" t="s">
        <v>32</v>
      </c>
      <c r="E11" s="14" t="s">
        <v>33</v>
      </c>
      <c r="F11" s="14" t="s">
        <v>210</v>
      </c>
      <c r="G11" s="14" t="s">
        <v>213</v>
      </c>
      <c r="H11" s="35">
        <v>35.11</v>
      </c>
      <c r="I11" s="35"/>
      <c r="J11" s="14" t="s">
        <v>21</v>
      </c>
      <c r="K11" s="16" t="s">
        <v>0</v>
      </c>
      <c r="L11" s="14" t="s">
        <v>0</v>
      </c>
      <c r="M11" s="14" t="s">
        <v>0</v>
      </c>
      <c r="N11" s="14" t="s">
        <v>404</v>
      </c>
      <c r="O11" s="14" t="s">
        <v>123</v>
      </c>
      <c r="P11" s="14" t="s">
        <v>0</v>
      </c>
      <c r="Q11" s="14" t="s">
        <v>124</v>
      </c>
      <c r="R11" s="14" t="s">
        <v>125</v>
      </c>
      <c r="S11" s="14" t="s">
        <v>405</v>
      </c>
    </row>
    <row r="12" spans="1:19" ht="60" customHeight="1" x14ac:dyDescent="0.2">
      <c r="A12" s="13" t="s">
        <v>39</v>
      </c>
      <c r="B12" s="14" t="s">
        <v>401</v>
      </c>
      <c r="C12" s="14" t="s">
        <v>406</v>
      </c>
      <c r="D12" s="14" t="s">
        <v>32</v>
      </c>
      <c r="E12" s="14" t="s">
        <v>33</v>
      </c>
      <c r="F12" s="14" t="s">
        <v>210</v>
      </c>
      <c r="G12" s="14" t="s">
        <v>213</v>
      </c>
      <c r="H12" s="35">
        <v>78.5</v>
      </c>
      <c r="I12" s="35"/>
      <c r="J12" s="14" t="s">
        <v>21</v>
      </c>
      <c r="K12" s="16" t="s">
        <v>0</v>
      </c>
      <c r="L12" s="14" t="s">
        <v>0</v>
      </c>
      <c r="M12" s="14" t="s">
        <v>0</v>
      </c>
      <c r="N12" s="14" t="s">
        <v>406</v>
      </c>
      <c r="O12" s="14" t="s">
        <v>123</v>
      </c>
      <c r="P12" s="14" t="s">
        <v>0</v>
      </c>
      <c r="Q12" s="14" t="s">
        <v>124</v>
      </c>
      <c r="R12" s="14" t="s">
        <v>125</v>
      </c>
      <c r="S12" s="14" t="s">
        <v>407</v>
      </c>
    </row>
    <row r="13" spans="1:19" ht="60" customHeight="1" x14ac:dyDescent="0.2">
      <c r="A13" s="13" t="s">
        <v>388</v>
      </c>
      <c r="B13" s="14" t="s">
        <v>386</v>
      </c>
      <c r="C13" s="14" t="s">
        <v>392</v>
      </c>
      <c r="D13" s="14" t="s">
        <v>104</v>
      </c>
      <c r="E13" s="14" t="s">
        <v>105</v>
      </c>
      <c r="F13" s="14" t="s">
        <v>210</v>
      </c>
      <c r="G13" s="14" t="s">
        <v>213</v>
      </c>
      <c r="H13" s="35">
        <v>363.08</v>
      </c>
      <c r="I13" s="35"/>
      <c r="J13" s="14" t="s">
        <v>393</v>
      </c>
      <c r="K13" s="16">
        <v>10.58</v>
      </c>
      <c r="L13" s="14" t="s">
        <v>0</v>
      </c>
      <c r="M13" s="14" t="s">
        <v>0</v>
      </c>
      <c r="N13" s="14" t="s">
        <v>392</v>
      </c>
      <c r="O13" s="14" t="s">
        <v>394</v>
      </c>
      <c r="P13" s="14" t="s">
        <v>395</v>
      </c>
      <c r="Q13" s="14" t="s">
        <v>396</v>
      </c>
      <c r="R13" s="14" t="s">
        <v>38</v>
      </c>
      <c r="S13" s="14" t="s">
        <v>397</v>
      </c>
    </row>
    <row r="14" spans="1:19" ht="60" customHeight="1" x14ac:dyDescent="0.2">
      <c r="A14" s="13" t="s">
        <v>383</v>
      </c>
      <c r="B14" s="14" t="s">
        <v>378</v>
      </c>
      <c r="C14" s="14" t="s">
        <v>468</v>
      </c>
      <c r="D14" s="14" t="s">
        <v>169</v>
      </c>
      <c r="E14" s="14" t="s">
        <v>170</v>
      </c>
      <c r="F14" s="14" t="s">
        <v>208</v>
      </c>
      <c r="G14" s="14" t="s">
        <v>213</v>
      </c>
      <c r="H14" s="35">
        <v>39.99</v>
      </c>
      <c r="I14" s="35">
        <f>H14/11</f>
        <v>3.6354545454545457</v>
      </c>
      <c r="J14" s="14" t="s">
        <v>21</v>
      </c>
      <c r="K14" s="16" t="s">
        <v>0</v>
      </c>
      <c r="L14" s="14" t="s">
        <v>0</v>
      </c>
      <c r="M14" s="14" t="s">
        <v>0</v>
      </c>
      <c r="N14" s="14" t="s">
        <v>468</v>
      </c>
      <c r="O14" s="14" t="s">
        <v>171</v>
      </c>
      <c r="P14" s="14" t="s">
        <v>172</v>
      </c>
      <c r="Q14" s="14" t="s">
        <v>173</v>
      </c>
      <c r="R14" s="14" t="s">
        <v>25</v>
      </c>
      <c r="S14" s="14" t="s">
        <v>469</v>
      </c>
    </row>
    <row r="15" spans="1:19" ht="60" customHeight="1" x14ac:dyDescent="0.2">
      <c r="A15" s="13" t="s">
        <v>369</v>
      </c>
      <c r="B15" s="14" t="s">
        <v>365</v>
      </c>
      <c r="C15" s="14" t="s">
        <v>462</v>
      </c>
      <c r="D15" s="14" t="s">
        <v>1</v>
      </c>
      <c r="E15" s="14" t="s">
        <v>147</v>
      </c>
      <c r="F15" s="14" t="s">
        <v>210</v>
      </c>
      <c r="G15" s="14" t="s">
        <v>213</v>
      </c>
      <c r="H15" s="35">
        <v>75.14</v>
      </c>
      <c r="I15" s="35"/>
      <c r="J15" s="14" t="s">
        <v>21</v>
      </c>
      <c r="K15" s="16" t="s">
        <v>0</v>
      </c>
      <c r="L15" s="14" t="s">
        <v>0</v>
      </c>
      <c r="M15" s="14" t="s">
        <v>0</v>
      </c>
      <c r="N15" s="14" t="s">
        <v>462</v>
      </c>
      <c r="O15" s="14" t="s">
        <v>463</v>
      </c>
      <c r="P15" s="14" t="s">
        <v>464</v>
      </c>
      <c r="Q15" s="14" t="s">
        <v>465</v>
      </c>
      <c r="R15" s="14" t="s">
        <v>38</v>
      </c>
      <c r="S15" s="14" t="s">
        <v>466</v>
      </c>
    </row>
    <row r="16" spans="1:19" ht="60" customHeight="1" x14ac:dyDescent="0.2">
      <c r="A16" s="13" t="s">
        <v>362</v>
      </c>
      <c r="B16" s="14" t="s">
        <v>352</v>
      </c>
      <c r="C16" s="14" t="s">
        <v>165</v>
      </c>
      <c r="D16" s="14" t="s">
        <v>1</v>
      </c>
      <c r="E16" s="14" t="s">
        <v>147</v>
      </c>
      <c r="F16" s="14" t="s">
        <v>210</v>
      </c>
      <c r="G16" s="14" t="s">
        <v>213</v>
      </c>
      <c r="H16" s="35">
        <v>79.989999999999995</v>
      </c>
      <c r="I16" s="35"/>
      <c r="J16" s="14" t="s">
        <v>21</v>
      </c>
      <c r="K16" s="16" t="s">
        <v>0</v>
      </c>
      <c r="L16" s="14" t="s">
        <v>0</v>
      </c>
      <c r="M16" s="14" t="s">
        <v>0</v>
      </c>
      <c r="N16" s="14" t="s">
        <v>165</v>
      </c>
      <c r="O16" s="14" t="s">
        <v>166</v>
      </c>
      <c r="P16" s="14" t="s">
        <v>0</v>
      </c>
      <c r="Q16" s="14" t="s">
        <v>167</v>
      </c>
      <c r="R16" s="14" t="s">
        <v>30</v>
      </c>
      <c r="S16" s="14" t="s">
        <v>455</v>
      </c>
    </row>
    <row r="17" spans="1:19" ht="60" customHeight="1" x14ac:dyDescent="0.2">
      <c r="A17" s="13" t="s">
        <v>348</v>
      </c>
      <c r="B17" s="14" t="s">
        <v>348</v>
      </c>
      <c r="C17" s="14" t="s">
        <v>108</v>
      </c>
      <c r="D17" s="14" t="s">
        <v>32</v>
      </c>
      <c r="E17" s="14" t="s">
        <v>33</v>
      </c>
      <c r="F17" s="14" t="s">
        <v>208</v>
      </c>
      <c r="G17" s="14" t="s">
        <v>213</v>
      </c>
      <c r="H17" s="35">
        <v>108.9</v>
      </c>
      <c r="I17" s="35">
        <f>H17/11</f>
        <v>9.9</v>
      </c>
      <c r="J17" s="14" t="s">
        <v>21</v>
      </c>
      <c r="K17" s="16" t="s">
        <v>0</v>
      </c>
      <c r="L17" s="14" t="s">
        <v>0</v>
      </c>
      <c r="M17" s="14" t="s">
        <v>0</v>
      </c>
      <c r="N17" s="14" t="s">
        <v>108</v>
      </c>
      <c r="O17" s="14" t="s">
        <v>109</v>
      </c>
      <c r="P17" s="14" t="s">
        <v>86</v>
      </c>
      <c r="Q17" s="14" t="s">
        <v>87</v>
      </c>
      <c r="R17" s="14" t="s">
        <v>25</v>
      </c>
      <c r="S17" s="14" t="s">
        <v>350</v>
      </c>
    </row>
    <row r="18" spans="1:19" ht="60" customHeight="1" x14ac:dyDescent="0.2">
      <c r="A18" s="13" t="s">
        <v>348</v>
      </c>
      <c r="B18" s="14" t="s">
        <v>345</v>
      </c>
      <c r="C18" s="14" t="s">
        <v>451</v>
      </c>
      <c r="D18" s="14" t="s">
        <v>1</v>
      </c>
      <c r="E18" s="14" t="s">
        <v>147</v>
      </c>
      <c r="F18" s="14" t="s">
        <v>210</v>
      </c>
      <c r="G18" s="14" t="s">
        <v>213</v>
      </c>
      <c r="H18" s="35">
        <v>35.6</v>
      </c>
      <c r="I18" s="35"/>
      <c r="J18" s="14" t="s">
        <v>161</v>
      </c>
      <c r="K18" s="16">
        <v>1.04</v>
      </c>
      <c r="L18" s="14" t="s">
        <v>0</v>
      </c>
      <c r="M18" s="14" t="s">
        <v>0</v>
      </c>
      <c r="N18" s="14" t="s">
        <v>451</v>
      </c>
      <c r="O18" s="14" t="s">
        <v>162</v>
      </c>
      <c r="P18" s="14" t="s">
        <v>0</v>
      </c>
      <c r="Q18" s="14" t="s">
        <v>163</v>
      </c>
      <c r="R18" s="14" t="s">
        <v>164</v>
      </c>
      <c r="S18" s="14" t="s">
        <v>452</v>
      </c>
    </row>
    <row r="19" spans="1:19" ht="60" customHeight="1" x14ac:dyDescent="0.2">
      <c r="A19" s="13" t="s">
        <v>345</v>
      </c>
      <c r="B19" s="14" t="s">
        <v>345</v>
      </c>
      <c r="C19" s="14" t="s">
        <v>110</v>
      </c>
      <c r="D19" s="14" t="s">
        <v>104</v>
      </c>
      <c r="E19" s="14" t="s">
        <v>105</v>
      </c>
      <c r="F19" s="14" t="s">
        <v>210</v>
      </c>
      <c r="G19" s="14" t="s">
        <v>213</v>
      </c>
      <c r="H19" s="35">
        <v>155.36000000000001</v>
      </c>
      <c r="I19" s="35"/>
      <c r="J19" s="14" t="s">
        <v>21</v>
      </c>
      <c r="K19" s="16" t="s">
        <v>0</v>
      </c>
      <c r="L19" s="14" t="s">
        <v>0</v>
      </c>
      <c r="M19" s="14" t="s">
        <v>0</v>
      </c>
      <c r="N19" s="14" t="s">
        <v>110</v>
      </c>
      <c r="O19" s="14" t="s">
        <v>111</v>
      </c>
      <c r="P19" s="14" t="s">
        <v>112</v>
      </c>
      <c r="Q19" s="14" t="s">
        <v>113</v>
      </c>
      <c r="R19" s="14" t="s">
        <v>25</v>
      </c>
      <c r="S19" s="14" t="s">
        <v>346</v>
      </c>
    </row>
    <row r="20" spans="1:19" ht="60" customHeight="1" x14ac:dyDescent="0.2">
      <c r="A20" s="13" t="s">
        <v>340</v>
      </c>
      <c r="B20" s="14" t="s">
        <v>326</v>
      </c>
      <c r="C20" s="14" t="s">
        <v>97</v>
      </c>
      <c r="D20" s="14" t="s">
        <v>32</v>
      </c>
      <c r="E20" s="14" t="s">
        <v>33</v>
      </c>
      <c r="F20" s="14" t="s">
        <v>210</v>
      </c>
      <c r="G20" s="14" t="s">
        <v>213</v>
      </c>
      <c r="H20" s="35">
        <v>170.74</v>
      </c>
      <c r="I20" s="35"/>
      <c r="J20" s="14" t="s">
        <v>98</v>
      </c>
      <c r="K20" s="16">
        <v>4.97</v>
      </c>
      <c r="L20" s="14" t="s">
        <v>0</v>
      </c>
      <c r="M20" s="14" t="s">
        <v>0</v>
      </c>
      <c r="N20" s="14" t="s">
        <v>97</v>
      </c>
      <c r="O20" s="14" t="s">
        <v>99</v>
      </c>
      <c r="P20" s="14" t="s">
        <v>100</v>
      </c>
      <c r="Q20" s="14" t="s">
        <v>101</v>
      </c>
      <c r="R20" s="14" t="s">
        <v>102</v>
      </c>
      <c r="S20" s="14" t="s">
        <v>341</v>
      </c>
    </row>
    <row r="21" spans="1:19" ht="60" customHeight="1" x14ac:dyDescent="0.2">
      <c r="A21" s="13" t="s">
        <v>326</v>
      </c>
      <c r="B21" s="14" t="s">
        <v>323</v>
      </c>
      <c r="C21" s="14" t="s">
        <v>19</v>
      </c>
      <c r="D21" s="14" t="s">
        <v>1</v>
      </c>
      <c r="E21" s="14" t="s">
        <v>20</v>
      </c>
      <c r="F21" s="14" t="s">
        <v>208</v>
      </c>
      <c r="G21" s="14" t="s">
        <v>213</v>
      </c>
      <c r="H21" s="35">
        <v>45.97</v>
      </c>
      <c r="I21" s="35">
        <f>H21/11</f>
        <v>4.1790909090909087</v>
      </c>
      <c r="J21" s="14" t="s">
        <v>21</v>
      </c>
      <c r="K21" s="16" t="s">
        <v>0</v>
      </c>
      <c r="L21" s="14" t="s">
        <v>0</v>
      </c>
      <c r="M21" s="14" t="s">
        <v>0</v>
      </c>
      <c r="N21" s="14" t="s">
        <v>19</v>
      </c>
      <c r="O21" s="14" t="s">
        <v>22</v>
      </c>
      <c r="P21" s="14" t="s">
        <v>23</v>
      </c>
      <c r="Q21" s="14" t="s">
        <v>24</v>
      </c>
      <c r="R21" s="14" t="s">
        <v>25</v>
      </c>
      <c r="S21" s="14" t="s">
        <v>327</v>
      </c>
    </row>
    <row r="22" spans="1:19" ht="60" customHeight="1" x14ac:dyDescent="0.2">
      <c r="A22" s="8">
        <v>45645</v>
      </c>
      <c r="B22" s="9"/>
      <c r="C22" s="10" t="s">
        <v>492</v>
      </c>
      <c r="D22" s="11">
        <v>465083897</v>
      </c>
      <c r="E22" s="11" t="s">
        <v>203</v>
      </c>
      <c r="F22" s="14" t="s">
        <v>208</v>
      </c>
      <c r="G22" s="10" t="s">
        <v>213</v>
      </c>
      <c r="H22" s="12">
        <v>264.88</v>
      </c>
      <c r="I22" s="35">
        <f>H22/11</f>
        <v>24.08</v>
      </c>
      <c r="J22" s="10" t="s">
        <v>204</v>
      </c>
      <c r="K22" s="10">
        <v>14064.2</v>
      </c>
      <c r="L22" s="10" t="s">
        <v>205</v>
      </c>
      <c r="M22" s="10">
        <v>112879</v>
      </c>
      <c r="N22" s="10">
        <v>908</v>
      </c>
      <c r="O22" s="10"/>
      <c r="P22" s="10"/>
      <c r="Q22" s="10"/>
      <c r="R22" s="10"/>
      <c r="S22" s="10"/>
    </row>
    <row r="23" spans="1:19" ht="60" customHeight="1" x14ac:dyDescent="0.2">
      <c r="A23" s="13" t="s">
        <v>323</v>
      </c>
      <c r="B23" s="14" t="s">
        <v>311</v>
      </c>
      <c r="C23" s="14" t="s">
        <v>82</v>
      </c>
      <c r="D23" s="14" t="s">
        <v>104</v>
      </c>
      <c r="E23" s="14" t="s">
        <v>105</v>
      </c>
      <c r="F23" s="14" t="s">
        <v>210</v>
      </c>
      <c r="G23" s="14" t="s">
        <v>213</v>
      </c>
      <c r="H23" s="35">
        <v>36.409999999999997</v>
      </c>
      <c r="I23" s="35"/>
      <c r="J23" s="14" t="s">
        <v>34</v>
      </c>
      <c r="K23" s="16">
        <v>1.06</v>
      </c>
      <c r="L23" s="14" t="s">
        <v>0</v>
      </c>
      <c r="M23" s="14" t="s">
        <v>0</v>
      </c>
      <c r="N23" s="14" t="s">
        <v>82</v>
      </c>
      <c r="O23" s="14" t="s">
        <v>84</v>
      </c>
      <c r="P23" s="14" t="s">
        <v>36</v>
      </c>
      <c r="Q23" s="14" t="s">
        <v>85</v>
      </c>
      <c r="R23" s="14" t="s">
        <v>38</v>
      </c>
      <c r="S23" s="14" t="s">
        <v>324</v>
      </c>
    </row>
    <row r="24" spans="1:19" ht="60" customHeight="1" x14ac:dyDescent="0.2">
      <c r="A24" s="13" t="s">
        <v>311</v>
      </c>
      <c r="B24" s="14" t="s">
        <v>311</v>
      </c>
      <c r="C24" s="14" t="s">
        <v>19</v>
      </c>
      <c r="D24" s="14" t="s">
        <v>1</v>
      </c>
      <c r="E24" s="14" t="s">
        <v>20</v>
      </c>
      <c r="F24" s="14" t="s">
        <v>208</v>
      </c>
      <c r="G24" s="14" t="s">
        <v>213</v>
      </c>
      <c r="H24" s="35">
        <v>4.49</v>
      </c>
      <c r="I24" s="35">
        <f>H24/11</f>
        <v>0.4081818181818182</v>
      </c>
      <c r="J24" s="14" t="s">
        <v>21</v>
      </c>
      <c r="K24" s="16" t="s">
        <v>0</v>
      </c>
      <c r="L24" s="14" t="s">
        <v>0</v>
      </c>
      <c r="M24" s="14" t="s">
        <v>0</v>
      </c>
      <c r="N24" s="14" t="s">
        <v>19</v>
      </c>
      <c r="O24" s="14" t="s">
        <v>22</v>
      </c>
      <c r="P24" s="14" t="s">
        <v>23</v>
      </c>
      <c r="Q24" s="14" t="s">
        <v>24</v>
      </c>
      <c r="R24" s="14" t="s">
        <v>25</v>
      </c>
      <c r="S24" s="14" t="s">
        <v>314</v>
      </c>
    </row>
    <row r="25" spans="1:19" ht="60" customHeight="1" x14ac:dyDescent="0.2">
      <c r="A25" s="13" t="s">
        <v>311</v>
      </c>
      <c r="B25" s="14" t="s">
        <v>311</v>
      </c>
      <c r="C25" s="14" t="s">
        <v>19</v>
      </c>
      <c r="D25" s="14" t="s">
        <v>1</v>
      </c>
      <c r="E25" s="14" t="s">
        <v>20</v>
      </c>
      <c r="F25" s="14" t="s">
        <v>208</v>
      </c>
      <c r="G25" s="14" t="s">
        <v>213</v>
      </c>
      <c r="H25" s="35">
        <v>14.99</v>
      </c>
      <c r="I25" s="35">
        <f>H25/11</f>
        <v>1.3627272727272728</v>
      </c>
      <c r="J25" s="14" t="s">
        <v>21</v>
      </c>
      <c r="K25" s="16" t="s">
        <v>0</v>
      </c>
      <c r="L25" s="14" t="s">
        <v>0</v>
      </c>
      <c r="M25" s="14" t="s">
        <v>0</v>
      </c>
      <c r="N25" s="14" t="s">
        <v>19</v>
      </c>
      <c r="O25" s="14" t="s">
        <v>22</v>
      </c>
      <c r="P25" s="14" t="s">
        <v>23</v>
      </c>
      <c r="Q25" s="14" t="s">
        <v>24</v>
      </c>
      <c r="R25" s="14" t="s">
        <v>25</v>
      </c>
      <c r="S25" s="14" t="s">
        <v>315</v>
      </c>
    </row>
    <row r="26" spans="1:19" ht="60" customHeight="1" x14ac:dyDescent="0.2">
      <c r="A26" s="13" t="s">
        <v>311</v>
      </c>
      <c r="B26" s="14" t="s">
        <v>312</v>
      </c>
      <c r="C26" s="14" t="s">
        <v>19</v>
      </c>
      <c r="D26" s="14" t="s">
        <v>1</v>
      </c>
      <c r="E26" s="14" t="s">
        <v>20</v>
      </c>
      <c r="F26" s="14" t="s">
        <v>208</v>
      </c>
      <c r="G26" s="14" t="s">
        <v>213</v>
      </c>
      <c r="H26" s="35">
        <v>20.49</v>
      </c>
      <c r="I26" s="35">
        <f>H26/11</f>
        <v>1.8627272727272726</v>
      </c>
      <c r="J26" s="14" t="s">
        <v>21</v>
      </c>
      <c r="K26" s="16" t="s">
        <v>0</v>
      </c>
      <c r="L26" s="14" t="s">
        <v>0</v>
      </c>
      <c r="M26" s="14" t="s">
        <v>0</v>
      </c>
      <c r="N26" s="14" t="s">
        <v>19</v>
      </c>
      <c r="O26" s="14" t="s">
        <v>22</v>
      </c>
      <c r="P26" s="14" t="s">
        <v>23</v>
      </c>
      <c r="Q26" s="14" t="s">
        <v>24</v>
      </c>
      <c r="R26" s="14" t="s">
        <v>25</v>
      </c>
      <c r="S26" s="14" t="s">
        <v>316</v>
      </c>
    </row>
    <row r="27" spans="1:19" ht="60" customHeight="1" x14ac:dyDescent="0.2">
      <c r="A27" s="13" t="s">
        <v>311</v>
      </c>
      <c r="B27" s="14" t="s">
        <v>312</v>
      </c>
      <c r="C27" s="14" t="s">
        <v>82</v>
      </c>
      <c r="D27" s="14" t="s">
        <v>32</v>
      </c>
      <c r="E27" s="14" t="s">
        <v>33</v>
      </c>
      <c r="F27" s="14" t="s">
        <v>210</v>
      </c>
      <c r="G27" s="14" t="s">
        <v>213</v>
      </c>
      <c r="H27" s="35">
        <v>33.1</v>
      </c>
      <c r="I27" s="35"/>
      <c r="J27" s="14" t="s">
        <v>83</v>
      </c>
      <c r="K27" s="16">
        <v>0.96</v>
      </c>
      <c r="L27" s="14" t="s">
        <v>0</v>
      </c>
      <c r="M27" s="14" t="s">
        <v>0</v>
      </c>
      <c r="N27" s="14" t="s">
        <v>82</v>
      </c>
      <c r="O27" s="14" t="s">
        <v>84</v>
      </c>
      <c r="P27" s="14" t="s">
        <v>36</v>
      </c>
      <c r="Q27" s="14" t="s">
        <v>85</v>
      </c>
      <c r="R27" s="14" t="s">
        <v>38</v>
      </c>
      <c r="S27" s="14" t="s">
        <v>317</v>
      </c>
    </row>
    <row r="28" spans="1:19" ht="60" customHeight="1" x14ac:dyDescent="0.2">
      <c r="A28" s="13" t="s">
        <v>312</v>
      </c>
      <c r="B28" s="14" t="s">
        <v>312</v>
      </c>
      <c r="C28" s="14" t="s">
        <v>157</v>
      </c>
      <c r="D28" s="14" t="s">
        <v>1</v>
      </c>
      <c r="E28" s="14" t="s">
        <v>147</v>
      </c>
      <c r="F28" s="14" t="s">
        <v>208</v>
      </c>
      <c r="G28" s="14" t="s">
        <v>213</v>
      </c>
      <c r="H28" s="35">
        <v>89.95</v>
      </c>
      <c r="I28" s="35">
        <f>H28/11</f>
        <v>8.1772727272727277</v>
      </c>
      <c r="J28" s="14" t="s">
        <v>21</v>
      </c>
      <c r="K28" s="16" t="s">
        <v>0</v>
      </c>
      <c r="L28" s="14" t="s">
        <v>0</v>
      </c>
      <c r="M28" s="14" t="s">
        <v>0</v>
      </c>
      <c r="N28" s="14" t="s">
        <v>157</v>
      </c>
      <c r="O28" s="14" t="s">
        <v>158</v>
      </c>
      <c r="P28" s="14" t="s">
        <v>159</v>
      </c>
      <c r="Q28" s="14" t="s">
        <v>160</v>
      </c>
      <c r="R28" s="14" t="s">
        <v>25</v>
      </c>
      <c r="S28" s="14" t="s">
        <v>447</v>
      </c>
    </row>
    <row r="29" spans="1:19" ht="60" customHeight="1" x14ac:dyDescent="0.2">
      <c r="A29" s="13" t="s">
        <v>293</v>
      </c>
      <c r="B29" s="14" t="s">
        <v>278</v>
      </c>
      <c r="C29" s="14" t="s">
        <v>19</v>
      </c>
      <c r="D29" s="14" t="s">
        <v>1</v>
      </c>
      <c r="E29" s="14" t="s">
        <v>20</v>
      </c>
      <c r="F29" s="14" t="s">
        <v>208</v>
      </c>
      <c r="G29" s="14" t="s">
        <v>213</v>
      </c>
      <c r="H29" s="35">
        <v>4.49</v>
      </c>
      <c r="I29" s="35">
        <f>H29/11</f>
        <v>0.4081818181818182</v>
      </c>
      <c r="J29" s="14" t="s">
        <v>21</v>
      </c>
      <c r="K29" s="16" t="s">
        <v>0</v>
      </c>
      <c r="L29" s="14" t="s">
        <v>0</v>
      </c>
      <c r="M29" s="14" t="s">
        <v>0</v>
      </c>
      <c r="N29" s="14" t="s">
        <v>19</v>
      </c>
      <c r="O29" s="14" t="s">
        <v>22</v>
      </c>
      <c r="P29" s="14" t="s">
        <v>23</v>
      </c>
      <c r="Q29" s="14" t="s">
        <v>24</v>
      </c>
      <c r="R29" s="14" t="s">
        <v>25</v>
      </c>
      <c r="S29" s="14" t="s">
        <v>298</v>
      </c>
    </row>
    <row r="30" spans="1:19" ht="60" customHeight="1" x14ac:dyDescent="0.2">
      <c r="A30" s="13" t="s">
        <v>293</v>
      </c>
      <c r="B30" s="14" t="s">
        <v>278</v>
      </c>
      <c r="C30" s="14" t="s">
        <v>68</v>
      </c>
      <c r="D30" s="14" t="s">
        <v>1</v>
      </c>
      <c r="E30" s="14" t="s">
        <v>20</v>
      </c>
      <c r="F30" s="14" t="s">
        <v>210</v>
      </c>
      <c r="G30" s="14" t="s">
        <v>213</v>
      </c>
      <c r="H30" s="35">
        <v>66.180000000000007</v>
      </c>
      <c r="I30" s="35"/>
      <c r="J30" s="14" t="s">
        <v>69</v>
      </c>
      <c r="K30" s="16">
        <v>1.93</v>
      </c>
      <c r="L30" s="14" t="s">
        <v>0</v>
      </c>
      <c r="M30" s="14" t="s">
        <v>0</v>
      </c>
      <c r="N30" s="14" t="s">
        <v>68</v>
      </c>
      <c r="O30" s="14" t="s">
        <v>70</v>
      </c>
      <c r="P30" s="14" t="s">
        <v>0</v>
      </c>
      <c r="Q30" s="14" t="s">
        <v>71</v>
      </c>
      <c r="R30" s="14" t="s">
        <v>72</v>
      </c>
      <c r="S30" s="14" t="s">
        <v>299</v>
      </c>
    </row>
    <row r="31" spans="1:19" ht="60" customHeight="1" x14ac:dyDescent="0.2">
      <c r="A31" s="13" t="s">
        <v>278</v>
      </c>
      <c r="B31" s="14" t="s">
        <v>276</v>
      </c>
      <c r="C31" s="14" t="s">
        <v>19</v>
      </c>
      <c r="D31" s="14" t="s">
        <v>32</v>
      </c>
      <c r="E31" s="14" t="s">
        <v>33</v>
      </c>
      <c r="F31" s="14" t="s">
        <v>208</v>
      </c>
      <c r="G31" s="14" t="s">
        <v>213</v>
      </c>
      <c r="H31" s="35">
        <v>1.49</v>
      </c>
      <c r="I31" s="35">
        <f>H31/11</f>
        <v>0.13545454545454547</v>
      </c>
      <c r="J31" s="14" t="s">
        <v>21</v>
      </c>
      <c r="K31" s="16" t="s">
        <v>0</v>
      </c>
      <c r="L31" s="14" t="s">
        <v>0</v>
      </c>
      <c r="M31" s="14" t="s">
        <v>0</v>
      </c>
      <c r="N31" s="14" t="s">
        <v>19</v>
      </c>
      <c r="O31" s="14" t="s">
        <v>22</v>
      </c>
      <c r="P31" s="14" t="s">
        <v>23</v>
      </c>
      <c r="Q31" s="14" t="s">
        <v>24</v>
      </c>
      <c r="R31" s="14" t="s">
        <v>25</v>
      </c>
      <c r="S31" s="14" t="s">
        <v>279</v>
      </c>
    </row>
    <row r="32" spans="1:19" ht="60" customHeight="1" x14ac:dyDescent="0.2">
      <c r="A32" s="13" t="s">
        <v>276</v>
      </c>
      <c r="B32" s="14" t="s">
        <v>268</v>
      </c>
      <c r="C32" s="14" t="s">
        <v>19</v>
      </c>
      <c r="D32" s="14" t="s">
        <v>1</v>
      </c>
      <c r="E32" s="14" t="s">
        <v>20</v>
      </c>
      <c r="F32" s="14" t="s">
        <v>208</v>
      </c>
      <c r="G32" s="14" t="s">
        <v>213</v>
      </c>
      <c r="H32" s="35">
        <v>19</v>
      </c>
      <c r="I32" s="35">
        <f>H32/11</f>
        <v>1.7272727272727273</v>
      </c>
      <c r="J32" s="14" t="s">
        <v>215</v>
      </c>
      <c r="K32" s="16" t="s">
        <v>0</v>
      </c>
      <c r="L32" s="14" t="s">
        <v>0</v>
      </c>
      <c r="M32" s="14" t="s">
        <v>0</v>
      </c>
      <c r="N32" s="14" t="s">
        <v>19</v>
      </c>
      <c r="O32" s="14" t="s">
        <v>22</v>
      </c>
      <c r="P32" s="14" t="s">
        <v>23</v>
      </c>
      <c r="Q32" s="14" t="s">
        <v>24</v>
      </c>
      <c r="R32" s="14" t="s">
        <v>25</v>
      </c>
      <c r="S32" s="14" t="s">
        <v>277</v>
      </c>
    </row>
    <row r="33" spans="1:19" ht="60" customHeight="1" x14ac:dyDescent="0.2">
      <c r="A33" s="13" t="s">
        <v>261</v>
      </c>
      <c r="B33" s="14" t="s">
        <v>249</v>
      </c>
      <c r="C33" s="14" t="s">
        <v>19</v>
      </c>
      <c r="D33" s="14" t="s">
        <v>32</v>
      </c>
      <c r="E33" s="14" t="s">
        <v>33</v>
      </c>
      <c r="F33" s="14" t="s">
        <v>208</v>
      </c>
      <c r="G33" s="14" t="s">
        <v>213</v>
      </c>
      <c r="H33" s="35">
        <v>39.99</v>
      </c>
      <c r="I33" s="35">
        <f>H33/11</f>
        <v>3.6354545454545457</v>
      </c>
      <c r="J33" s="14" t="s">
        <v>21</v>
      </c>
      <c r="K33" s="16" t="s">
        <v>0</v>
      </c>
      <c r="L33" s="14" t="s">
        <v>0</v>
      </c>
      <c r="M33" s="14" t="s">
        <v>0</v>
      </c>
      <c r="N33" s="14" t="s">
        <v>19</v>
      </c>
      <c r="O33" s="14" t="s">
        <v>22</v>
      </c>
      <c r="P33" s="14" t="s">
        <v>23</v>
      </c>
      <c r="Q33" s="14" t="s">
        <v>24</v>
      </c>
      <c r="R33" s="14" t="s">
        <v>25</v>
      </c>
      <c r="S33" s="14" t="s">
        <v>263</v>
      </c>
    </row>
    <row r="34" spans="1:19" ht="60" customHeight="1" x14ac:dyDescent="0.2">
      <c r="A34" s="13" t="s">
        <v>249</v>
      </c>
      <c r="B34" s="14" t="s">
        <v>246</v>
      </c>
      <c r="C34" s="14" t="s">
        <v>19</v>
      </c>
      <c r="D34" s="14" t="s">
        <v>1</v>
      </c>
      <c r="E34" s="14" t="s">
        <v>20</v>
      </c>
      <c r="F34" s="14" t="s">
        <v>208</v>
      </c>
      <c r="G34" s="14" t="s">
        <v>213</v>
      </c>
      <c r="H34" s="35">
        <v>22.98</v>
      </c>
      <c r="I34" s="35">
        <f>H34/11</f>
        <v>2.0890909090909093</v>
      </c>
      <c r="J34" s="14" t="s">
        <v>21</v>
      </c>
      <c r="K34" s="16" t="s">
        <v>0</v>
      </c>
      <c r="L34" s="14" t="s">
        <v>0</v>
      </c>
      <c r="M34" s="14" t="s">
        <v>0</v>
      </c>
      <c r="N34" s="14" t="s">
        <v>19</v>
      </c>
      <c r="O34" s="14" t="s">
        <v>22</v>
      </c>
      <c r="P34" s="14" t="s">
        <v>23</v>
      </c>
      <c r="Q34" s="14" t="s">
        <v>24</v>
      </c>
      <c r="R34" s="14" t="s">
        <v>25</v>
      </c>
      <c r="S34" s="14" t="s">
        <v>250</v>
      </c>
    </row>
    <row r="35" spans="1:19" ht="60" customHeight="1" x14ac:dyDescent="0.2">
      <c r="A35" s="13" t="s">
        <v>249</v>
      </c>
      <c r="B35" s="14" t="s">
        <v>246</v>
      </c>
      <c r="C35" s="14" t="s">
        <v>51</v>
      </c>
      <c r="D35" s="14" t="s">
        <v>32</v>
      </c>
      <c r="E35" s="14" t="s">
        <v>33</v>
      </c>
      <c r="F35" s="14" t="s">
        <v>210</v>
      </c>
      <c r="G35" s="14" t="s">
        <v>213</v>
      </c>
      <c r="H35" s="35">
        <v>91.38</v>
      </c>
      <c r="I35" s="35"/>
      <c r="J35" s="14" t="s">
        <v>52</v>
      </c>
      <c r="K35" s="16">
        <v>2.66</v>
      </c>
      <c r="L35" s="14" t="s">
        <v>0</v>
      </c>
      <c r="M35" s="14" t="s">
        <v>0</v>
      </c>
      <c r="N35" s="14" t="s">
        <v>51</v>
      </c>
      <c r="O35" s="14" t="s">
        <v>53</v>
      </c>
      <c r="P35" s="14" t="s">
        <v>54</v>
      </c>
      <c r="Q35" s="14" t="s">
        <v>55</v>
      </c>
      <c r="R35" s="14" t="s">
        <v>38</v>
      </c>
      <c r="S35" s="14" t="s">
        <v>256</v>
      </c>
    </row>
    <row r="36" spans="1:19" ht="60" customHeight="1" x14ac:dyDescent="0.2">
      <c r="A36" s="13" t="s">
        <v>249</v>
      </c>
      <c r="B36" s="14" t="s">
        <v>246</v>
      </c>
      <c r="C36" s="14" t="s">
        <v>56</v>
      </c>
      <c r="D36" s="14" t="s">
        <v>32</v>
      </c>
      <c r="E36" s="14" t="s">
        <v>33</v>
      </c>
      <c r="F36" s="14" t="s">
        <v>210</v>
      </c>
      <c r="G36" s="14" t="s">
        <v>213</v>
      </c>
      <c r="H36" s="35">
        <v>24.92</v>
      </c>
      <c r="I36" s="35"/>
      <c r="J36" s="14" t="s">
        <v>57</v>
      </c>
      <c r="K36" s="16">
        <v>0.73</v>
      </c>
      <c r="L36" s="14" t="s">
        <v>0</v>
      </c>
      <c r="M36" s="14" t="s">
        <v>0</v>
      </c>
      <c r="N36" s="14" t="s">
        <v>56</v>
      </c>
      <c r="O36" s="14" t="s">
        <v>58</v>
      </c>
      <c r="P36" s="14" t="s">
        <v>59</v>
      </c>
      <c r="Q36" s="14" t="s">
        <v>60</v>
      </c>
      <c r="R36" s="14" t="s">
        <v>61</v>
      </c>
      <c r="S36" s="14" t="s">
        <v>260</v>
      </c>
    </row>
    <row r="37" spans="1:19" ht="60" customHeight="1" x14ac:dyDescent="0.2">
      <c r="A37" s="13" t="s">
        <v>241</v>
      </c>
      <c r="B37" s="14" t="s">
        <v>239</v>
      </c>
      <c r="C37" s="14" t="s">
        <v>31</v>
      </c>
      <c r="D37" s="14" t="s">
        <v>32</v>
      </c>
      <c r="E37" s="14" t="s">
        <v>33</v>
      </c>
      <c r="F37" s="14" t="s">
        <v>210</v>
      </c>
      <c r="G37" s="14" t="s">
        <v>213</v>
      </c>
      <c r="H37" s="35">
        <v>36.549999999999997</v>
      </c>
      <c r="I37" s="35"/>
      <c r="J37" s="14" t="s">
        <v>34</v>
      </c>
      <c r="K37" s="16">
        <v>1.06</v>
      </c>
      <c r="L37" s="14" t="s">
        <v>0</v>
      </c>
      <c r="M37" s="14" t="s">
        <v>0</v>
      </c>
      <c r="N37" s="14" t="s">
        <v>31</v>
      </c>
      <c r="O37" s="14" t="s">
        <v>35</v>
      </c>
      <c r="P37" s="14" t="s">
        <v>36</v>
      </c>
      <c r="Q37" s="14" t="s">
        <v>37</v>
      </c>
      <c r="R37" s="14" t="s">
        <v>38</v>
      </c>
      <c r="S37" s="14" t="s">
        <v>245</v>
      </c>
    </row>
    <row r="38" spans="1:19" ht="60" customHeight="1" x14ac:dyDescent="0.2">
      <c r="A38" s="13" t="s">
        <v>239</v>
      </c>
      <c r="B38" s="14" t="s">
        <v>239</v>
      </c>
      <c r="C38" s="14" t="s">
        <v>19</v>
      </c>
      <c r="D38" s="14" t="s">
        <v>1</v>
      </c>
      <c r="E38" s="14" t="s">
        <v>20</v>
      </c>
      <c r="F38" s="14" t="s">
        <v>208</v>
      </c>
      <c r="G38" s="14" t="s">
        <v>213</v>
      </c>
      <c r="H38" s="35">
        <v>1.49</v>
      </c>
      <c r="I38" s="35">
        <f>H38/11</f>
        <v>0.13545454545454547</v>
      </c>
      <c r="J38" s="14" t="s">
        <v>21</v>
      </c>
      <c r="K38" s="16" t="s">
        <v>0</v>
      </c>
      <c r="L38" s="14" t="s">
        <v>0</v>
      </c>
      <c r="M38" s="14" t="s">
        <v>0</v>
      </c>
      <c r="N38" s="14" t="s">
        <v>19</v>
      </c>
      <c r="O38" s="14" t="s">
        <v>22</v>
      </c>
      <c r="P38" s="14" t="s">
        <v>23</v>
      </c>
      <c r="Q38" s="14" t="s">
        <v>24</v>
      </c>
      <c r="R38" s="14" t="s">
        <v>25</v>
      </c>
      <c r="S38" s="14" t="s">
        <v>240</v>
      </c>
    </row>
    <row r="39" spans="1:19" ht="60" customHeight="1" x14ac:dyDescent="0.2">
      <c r="A39" s="13" t="s">
        <v>293</v>
      </c>
      <c r="B39" s="14" t="s">
        <v>278</v>
      </c>
      <c r="C39" s="14" t="s">
        <v>300</v>
      </c>
      <c r="D39" s="14" t="s">
        <v>32</v>
      </c>
      <c r="E39" s="14" t="s">
        <v>33</v>
      </c>
      <c r="F39" s="14" t="s">
        <v>208</v>
      </c>
      <c r="G39" s="14" t="s">
        <v>516</v>
      </c>
      <c r="H39" s="35">
        <v>30</v>
      </c>
      <c r="I39" s="35">
        <f>H39/11</f>
        <v>2.7272727272727271</v>
      </c>
      <c r="J39" s="14" t="s">
        <v>21</v>
      </c>
      <c r="K39" s="16" t="s">
        <v>0</v>
      </c>
      <c r="L39" s="14" t="s">
        <v>0</v>
      </c>
      <c r="M39" s="14" t="s">
        <v>301</v>
      </c>
      <c r="N39" s="14" t="s">
        <v>300</v>
      </c>
      <c r="O39" s="14" t="s">
        <v>302</v>
      </c>
      <c r="P39" s="14" t="s">
        <v>303</v>
      </c>
      <c r="Q39" s="14" t="s">
        <v>304</v>
      </c>
      <c r="R39" s="14" t="s">
        <v>25</v>
      </c>
      <c r="S39" s="14" t="s">
        <v>305</v>
      </c>
    </row>
    <row r="40" spans="1:19" ht="60" customHeight="1" x14ac:dyDescent="0.2">
      <c r="A40" s="13" t="s">
        <v>293</v>
      </c>
      <c r="B40" s="14" t="s">
        <v>278</v>
      </c>
      <c r="C40" s="14" t="s">
        <v>306</v>
      </c>
      <c r="D40" s="14" t="s">
        <v>32</v>
      </c>
      <c r="E40" s="14" t="s">
        <v>33</v>
      </c>
      <c r="F40" s="14" t="s">
        <v>208</v>
      </c>
      <c r="G40" s="14" t="s">
        <v>516</v>
      </c>
      <c r="H40" s="35">
        <v>3.93</v>
      </c>
      <c r="I40" s="35">
        <f>H40/11</f>
        <v>0.3572727272727273</v>
      </c>
      <c r="J40" s="14" t="s">
        <v>21</v>
      </c>
      <c r="K40" s="16" t="s">
        <v>0</v>
      </c>
      <c r="L40" s="14" t="s">
        <v>0</v>
      </c>
      <c r="M40" s="14" t="s">
        <v>307</v>
      </c>
      <c r="N40" s="14" t="s">
        <v>306</v>
      </c>
      <c r="O40" s="14" t="s">
        <v>302</v>
      </c>
      <c r="P40" s="14" t="s">
        <v>303</v>
      </c>
      <c r="Q40" s="14" t="s">
        <v>304</v>
      </c>
      <c r="R40" s="14" t="s">
        <v>25</v>
      </c>
      <c r="S40" s="14" t="s">
        <v>308</v>
      </c>
    </row>
    <row r="41" spans="1:19" ht="60" customHeight="1" x14ac:dyDescent="0.2">
      <c r="A41" s="13" t="s">
        <v>293</v>
      </c>
      <c r="B41" s="14" t="s">
        <v>278</v>
      </c>
      <c r="C41" s="14" t="s">
        <v>306</v>
      </c>
      <c r="D41" s="14" t="s">
        <v>32</v>
      </c>
      <c r="E41" s="14" t="s">
        <v>33</v>
      </c>
      <c r="F41" s="14" t="s">
        <v>208</v>
      </c>
      <c r="G41" s="14" t="s">
        <v>516</v>
      </c>
      <c r="H41" s="35">
        <v>397.01</v>
      </c>
      <c r="I41" s="35">
        <f>H41/11</f>
        <v>36.091818181818184</v>
      </c>
      <c r="J41" s="14" t="s">
        <v>21</v>
      </c>
      <c r="K41" s="16" t="s">
        <v>0</v>
      </c>
      <c r="L41" s="14" t="s">
        <v>0</v>
      </c>
      <c r="M41" s="14" t="s">
        <v>309</v>
      </c>
      <c r="N41" s="14" t="s">
        <v>306</v>
      </c>
      <c r="O41" s="14" t="s">
        <v>302</v>
      </c>
      <c r="P41" s="14" t="s">
        <v>303</v>
      </c>
      <c r="Q41" s="14" t="s">
        <v>304</v>
      </c>
      <c r="R41" s="14" t="s">
        <v>25</v>
      </c>
      <c r="S41" s="14" t="s">
        <v>310</v>
      </c>
    </row>
    <row r="42" spans="1:19" ht="60" customHeight="1" x14ac:dyDescent="0.2">
      <c r="A42" s="13" t="s">
        <v>421</v>
      </c>
      <c r="B42" s="14" t="s">
        <v>421</v>
      </c>
      <c r="C42" s="14" t="s">
        <v>136</v>
      </c>
      <c r="D42" s="14" t="s">
        <v>104</v>
      </c>
      <c r="E42" s="14" t="s">
        <v>105</v>
      </c>
      <c r="F42" s="14" t="s">
        <v>210</v>
      </c>
      <c r="G42" s="14" t="s">
        <v>221</v>
      </c>
      <c r="H42" s="35">
        <v>620.05999999999995</v>
      </c>
      <c r="I42" s="35"/>
      <c r="J42" s="14" t="s">
        <v>21</v>
      </c>
      <c r="K42" s="16" t="s">
        <v>0</v>
      </c>
      <c r="L42" s="14" t="s">
        <v>0</v>
      </c>
      <c r="M42" s="14" t="s">
        <v>0</v>
      </c>
      <c r="N42" s="14" t="s">
        <v>136</v>
      </c>
      <c r="O42" s="14" t="s">
        <v>137</v>
      </c>
      <c r="P42" s="14" t="s">
        <v>138</v>
      </c>
      <c r="Q42" s="14" t="s">
        <v>139</v>
      </c>
      <c r="R42" s="14" t="s">
        <v>25</v>
      </c>
      <c r="S42" s="14" t="s">
        <v>423</v>
      </c>
    </row>
    <row r="43" spans="1:19" ht="60" customHeight="1" x14ac:dyDescent="0.2">
      <c r="A43" s="13" t="s">
        <v>241</v>
      </c>
      <c r="B43" s="14" t="s">
        <v>241</v>
      </c>
      <c r="C43" s="14" t="s">
        <v>136</v>
      </c>
      <c r="D43" s="14" t="s">
        <v>104</v>
      </c>
      <c r="E43" s="14" t="s">
        <v>105</v>
      </c>
      <c r="F43" s="14" t="s">
        <v>210</v>
      </c>
      <c r="G43" s="14" t="s">
        <v>221</v>
      </c>
      <c r="H43" s="35">
        <v>188.63</v>
      </c>
      <c r="I43" s="35"/>
      <c r="J43" s="14" t="s">
        <v>21</v>
      </c>
      <c r="K43" s="16" t="s">
        <v>0</v>
      </c>
      <c r="L43" s="14" t="s">
        <v>0</v>
      </c>
      <c r="M43" s="14" t="s">
        <v>0</v>
      </c>
      <c r="N43" s="14" t="s">
        <v>136</v>
      </c>
      <c r="O43" s="14" t="s">
        <v>137</v>
      </c>
      <c r="P43" s="14" t="s">
        <v>138</v>
      </c>
      <c r="Q43" s="14" t="s">
        <v>139</v>
      </c>
      <c r="R43" s="14" t="s">
        <v>25</v>
      </c>
      <c r="S43" s="14" t="s">
        <v>243</v>
      </c>
    </row>
    <row r="44" spans="1:19" ht="60" customHeight="1" x14ac:dyDescent="0.2">
      <c r="A44" s="13" t="s">
        <v>241</v>
      </c>
      <c r="B44" s="14" t="s">
        <v>241</v>
      </c>
      <c r="C44" s="14" t="s">
        <v>136</v>
      </c>
      <c r="D44" s="14" t="s">
        <v>104</v>
      </c>
      <c r="E44" s="14" t="s">
        <v>105</v>
      </c>
      <c r="F44" s="14" t="s">
        <v>210</v>
      </c>
      <c r="G44" s="14" t="s">
        <v>221</v>
      </c>
      <c r="H44" s="35">
        <v>620.05999999999995</v>
      </c>
      <c r="I44" s="35"/>
      <c r="J44" s="14" t="s">
        <v>21</v>
      </c>
      <c r="K44" s="16" t="s">
        <v>0</v>
      </c>
      <c r="L44" s="14" t="s">
        <v>0</v>
      </c>
      <c r="M44" s="14" t="s">
        <v>0</v>
      </c>
      <c r="N44" s="14" t="s">
        <v>136</v>
      </c>
      <c r="O44" s="14" t="s">
        <v>137</v>
      </c>
      <c r="P44" s="14" t="s">
        <v>138</v>
      </c>
      <c r="Q44" s="14" t="s">
        <v>139</v>
      </c>
      <c r="R44" s="14" t="s">
        <v>25</v>
      </c>
      <c r="S44" s="14" t="s">
        <v>244</v>
      </c>
    </row>
    <row r="45" spans="1:19" ht="60" customHeight="1" x14ac:dyDescent="0.2">
      <c r="A45" s="8">
        <v>45634</v>
      </c>
      <c r="B45" s="9"/>
      <c r="C45" s="10" t="s">
        <v>190</v>
      </c>
      <c r="D45" s="11" t="s">
        <v>185</v>
      </c>
      <c r="E45" s="11" t="s">
        <v>475</v>
      </c>
      <c r="F45" s="10" t="s">
        <v>210</v>
      </c>
      <c r="G45" s="9" t="s">
        <v>501</v>
      </c>
      <c r="H45" s="12">
        <v>32.03</v>
      </c>
      <c r="I45" s="12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60" customHeight="1" x14ac:dyDescent="0.2">
      <c r="A46" s="13" t="s">
        <v>355</v>
      </c>
      <c r="B46" s="14" t="s">
        <v>355</v>
      </c>
      <c r="C46" s="14" t="s">
        <v>168</v>
      </c>
      <c r="D46" s="14" t="s">
        <v>1</v>
      </c>
      <c r="E46" s="14" t="s">
        <v>147</v>
      </c>
      <c r="F46" s="14" t="s">
        <v>210</v>
      </c>
      <c r="G46" s="14" t="s">
        <v>501</v>
      </c>
      <c r="H46" s="35">
        <v>26.1</v>
      </c>
      <c r="I46" s="35"/>
      <c r="J46" s="14" t="s">
        <v>21</v>
      </c>
      <c r="K46" s="16" t="s">
        <v>0</v>
      </c>
      <c r="L46" s="14" t="s">
        <v>0</v>
      </c>
      <c r="M46" s="14" t="s">
        <v>0</v>
      </c>
      <c r="N46" s="14" t="s">
        <v>168</v>
      </c>
      <c r="O46" s="14" t="s">
        <v>0</v>
      </c>
      <c r="P46" s="14" t="s">
        <v>0</v>
      </c>
      <c r="Q46" s="14" t="s">
        <v>0</v>
      </c>
      <c r="R46" s="14" t="s">
        <v>0</v>
      </c>
      <c r="S46" s="14" t="s">
        <v>453</v>
      </c>
    </row>
    <row r="47" spans="1:19" ht="60" customHeight="1" x14ac:dyDescent="0.2">
      <c r="A47" s="13" t="s">
        <v>18</v>
      </c>
      <c r="B47" s="14" t="s">
        <v>421</v>
      </c>
      <c r="C47" s="14" t="s">
        <v>436</v>
      </c>
      <c r="D47" s="14" t="s">
        <v>32</v>
      </c>
      <c r="E47" s="14" t="s">
        <v>33</v>
      </c>
      <c r="F47" s="14" t="s">
        <v>208</v>
      </c>
      <c r="G47" s="14" t="s">
        <v>219</v>
      </c>
      <c r="H47" s="35">
        <v>343.2</v>
      </c>
      <c r="I47" s="35">
        <f>H47/11</f>
        <v>31.2</v>
      </c>
      <c r="J47" s="14" t="s">
        <v>21</v>
      </c>
      <c r="K47" s="16" t="s">
        <v>0</v>
      </c>
      <c r="L47" s="14" t="s">
        <v>0</v>
      </c>
      <c r="M47" s="14" t="s">
        <v>0</v>
      </c>
      <c r="N47" s="14" t="s">
        <v>436</v>
      </c>
      <c r="O47" s="14" t="s">
        <v>126</v>
      </c>
      <c r="P47" s="14" t="s">
        <v>127</v>
      </c>
      <c r="Q47" s="14" t="s">
        <v>128</v>
      </c>
      <c r="R47" s="14" t="s">
        <v>25</v>
      </c>
      <c r="S47" s="14" t="s">
        <v>437</v>
      </c>
    </row>
    <row r="48" spans="1:19" ht="60" customHeight="1" x14ac:dyDescent="0.2">
      <c r="A48" s="13" t="s">
        <v>365</v>
      </c>
      <c r="B48" s="14" t="s">
        <v>362</v>
      </c>
      <c r="C48" s="14" t="s">
        <v>367</v>
      </c>
      <c r="D48" s="14" t="s">
        <v>32</v>
      </c>
      <c r="E48" s="14" t="s">
        <v>33</v>
      </c>
      <c r="F48" s="14" t="s">
        <v>208</v>
      </c>
      <c r="G48" s="14" t="s">
        <v>219</v>
      </c>
      <c r="H48" s="35">
        <v>20.82</v>
      </c>
      <c r="I48" s="35">
        <f>H48/11</f>
        <v>1.8927272727272728</v>
      </c>
      <c r="J48" s="14" t="s">
        <v>21</v>
      </c>
      <c r="K48" s="16" t="s">
        <v>0</v>
      </c>
      <c r="L48" s="14" t="s">
        <v>0</v>
      </c>
      <c r="M48" s="14" t="s">
        <v>0</v>
      </c>
      <c r="N48" s="14" t="s">
        <v>367</v>
      </c>
      <c r="O48" s="14" t="s">
        <v>126</v>
      </c>
      <c r="P48" s="14" t="s">
        <v>127</v>
      </c>
      <c r="Q48" s="14" t="s">
        <v>128</v>
      </c>
      <c r="R48" s="14" t="s">
        <v>25</v>
      </c>
      <c r="S48" s="14" t="s">
        <v>368</v>
      </c>
    </row>
    <row r="49" spans="1:19" ht="60" customHeight="1" x14ac:dyDescent="0.2">
      <c r="A49" s="13" t="s">
        <v>311</v>
      </c>
      <c r="B49" s="14" t="s">
        <v>312</v>
      </c>
      <c r="C49" s="14" t="s">
        <v>318</v>
      </c>
      <c r="D49" s="14" t="s">
        <v>32</v>
      </c>
      <c r="E49" s="14" t="s">
        <v>33</v>
      </c>
      <c r="F49" s="14" t="s">
        <v>210</v>
      </c>
      <c r="G49" s="14" t="s">
        <v>219</v>
      </c>
      <c r="H49" s="35">
        <v>92.4</v>
      </c>
      <c r="I49" s="35"/>
      <c r="J49" s="14" t="s">
        <v>21</v>
      </c>
      <c r="K49" s="16" t="s">
        <v>0</v>
      </c>
      <c r="L49" s="14" t="s">
        <v>0</v>
      </c>
      <c r="M49" s="14" t="s">
        <v>0</v>
      </c>
      <c r="N49" s="14" t="s">
        <v>318</v>
      </c>
      <c r="O49" s="14" t="s">
        <v>319</v>
      </c>
      <c r="P49" s="14" t="s">
        <v>0</v>
      </c>
      <c r="Q49" s="14" t="s">
        <v>320</v>
      </c>
      <c r="R49" s="14" t="s">
        <v>164</v>
      </c>
      <c r="S49" s="14" t="s">
        <v>321</v>
      </c>
    </row>
    <row r="50" spans="1:19" ht="60" customHeight="1" x14ac:dyDescent="0.2">
      <c r="A50" s="13" t="s">
        <v>249</v>
      </c>
      <c r="B50" s="14" t="s">
        <v>246</v>
      </c>
      <c r="C50" s="14" t="s">
        <v>442</v>
      </c>
      <c r="D50" s="14" t="s">
        <v>1</v>
      </c>
      <c r="E50" s="14" t="s">
        <v>147</v>
      </c>
      <c r="F50" s="14" t="s">
        <v>208</v>
      </c>
      <c r="G50" s="14" t="s">
        <v>219</v>
      </c>
      <c r="H50" s="35">
        <v>108.96</v>
      </c>
      <c r="I50" s="35">
        <f>H50/11</f>
        <v>9.9054545454545444</v>
      </c>
      <c r="J50" s="14" t="s">
        <v>21</v>
      </c>
      <c r="K50" s="16" t="s">
        <v>0</v>
      </c>
      <c r="L50" s="14" t="s">
        <v>0</v>
      </c>
      <c r="M50" s="14" t="s">
        <v>0</v>
      </c>
      <c r="N50" s="14" t="s">
        <v>442</v>
      </c>
      <c r="O50" s="14" t="s">
        <v>126</v>
      </c>
      <c r="P50" s="14" t="s">
        <v>127</v>
      </c>
      <c r="Q50" s="14" t="s">
        <v>128</v>
      </c>
      <c r="R50" s="14" t="s">
        <v>25</v>
      </c>
      <c r="S50" s="14" t="s">
        <v>443</v>
      </c>
    </row>
    <row r="51" spans="1:19" ht="60" customHeight="1" x14ac:dyDescent="0.2">
      <c r="A51" s="13" t="s">
        <v>371</v>
      </c>
      <c r="B51" s="14" t="s">
        <v>371</v>
      </c>
      <c r="C51" s="14" t="s">
        <v>373</v>
      </c>
      <c r="D51" s="14" t="s">
        <v>104</v>
      </c>
      <c r="E51" s="14" t="s">
        <v>105</v>
      </c>
      <c r="F51" s="14" t="s">
        <v>208</v>
      </c>
      <c r="G51" s="14" t="s">
        <v>509</v>
      </c>
      <c r="H51" s="35">
        <v>1106.4000000000001</v>
      </c>
      <c r="I51" s="35">
        <f>H51/11</f>
        <v>100.58181818181819</v>
      </c>
      <c r="J51" s="14" t="s">
        <v>21</v>
      </c>
      <c r="K51" s="16" t="s">
        <v>0</v>
      </c>
      <c r="L51" s="14" t="s">
        <v>0</v>
      </c>
      <c r="M51" s="14" t="s">
        <v>92</v>
      </c>
      <c r="N51" s="14" t="s">
        <v>373</v>
      </c>
      <c r="O51" s="14" t="s">
        <v>374</v>
      </c>
      <c r="P51" s="14" t="s">
        <v>287</v>
      </c>
      <c r="Q51" s="14" t="s">
        <v>375</v>
      </c>
      <c r="R51" s="14" t="s">
        <v>25</v>
      </c>
      <c r="S51" s="14" t="s">
        <v>376</v>
      </c>
    </row>
    <row r="52" spans="1:19" ht="60" customHeight="1" x14ac:dyDescent="0.2">
      <c r="A52" s="13" t="s">
        <v>386</v>
      </c>
      <c r="B52" s="14" t="s">
        <v>386</v>
      </c>
      <c r="C52" s="14" t="s">
        <v>174</v>
      </c>
      <c r="D52" s="14" t="s">
        <v>1</v>
      </c>
      <c r="E52" s="14" t="s">
        <v>147</v>
      </c>
      <c r="F52" s="14" t="s">
        <v>208</v>
      </c>
      <c r="G52" s="14" t="s">
        <v>214</v>
      </c>
      <c r="H52" s="35">
        <v>175.61</v>
      </c>
      <c r="I52" s="35">
        <f>H52/11</f>
        <v>15.964545454545457</v>
      </c>
      <c r="J52" s="14" t="s">
        <v>21</v>
      </c>
      <c r="K52" s="16" t="s">
        <v>0</v>
      </c>
      <c r="L52" s="14" t="s">
        <v>0</v>
      </c>
      <c r="M52" s="14" t="s">
        <v>0</v>
      </c>
      <c r="N52" s="14" t="s">
        <v>174</v>
      </c>
      <c r="O52" s="14" t="s">
        <v>175</v>
      </c>
      <c r="P52" s="14" t="s">
        <v>176</v>
      </c>
      <c r="Q52" s="14" t="s">
        <v>177</v>
      </c>
      <c r="R52" s="14" t="s">
        <v>25</v>
      </c>
      <c r="S52" s="14" t="s">
        <v>472</v>
      </c>
    </row>
    <row r="53" spans="1:19" ht="60" customHeight="1" x14ac:dyDescent="0.2">
      <c r="A53" s="13" t="s">
        <v>345</v>
      </c>
      <c r="B53" s="14" t="s">
        <v>343</v>
      </c>
      <c r="C53" s="14" t="s">
        <v>155</v>
      </c>
      <c r="D53" s="14" t="s">
        <v>1</v>
      </c>
      <c r="E53" s="14" t="s">
        <v>147</v>
      </c>
      <c r="F53" s="40" t="s">
        <v>208</v>
      </c>
      <c r="G53" s="14" t="s">
        <v>214</v>
      </c>
      <c r="H53" s="35">
        <v>30</v>
      </c>
      <c r="I53" s="35">
        <f>H53/11</f>
        <v>2.7272727272727271</v>
      </c>
      <c r="J53" s="14" t="s">
        <v>21</v>
      </c>
      <c r="K53" s="16" t="s">
        <v>0</v>
      </c>
      <c r="L53" s="14" t="s">
        <v>0</v>
      </c>
      <c r="M53" s="14" t="s">
        <v>0</v>
      </c>
      <c r="N53" s="14" t="s">
        <v>155</v>
      </c>
      <c r="O53" s="14" t="s">
        <v>156</v>
      </c>
      <c r="P53" s="14" t="s">
        <v>23</v>
      </c>
      <c r="Q53" s="14" t="s">
        <v>24</v>
      </c>
      <c r="R53" s="14" t="s">
        <v>25</v>
      </c>
      <c r="S53" s="14" t="s">
        <v>450</v>
      </c>
    </row>
    <row r="54" spans="1:19" ht="60" customHeight="1" x14ac:dyDescent="0.2">
      <c r="A54" s="13" t="s">
        <v>312</v>
      </c>
      <c r="B54" s="14" t="s">
        <v>293</v>
      </c>
      <c r="C54" s="14" t="s">
        <v>155</v>
      </c>
      <c r="D54" s="14" t="s">
        <v>1</v>
      </c>
      <c r="E54" s="14" t="s">
        <v>147</v>
      </c>
      <c r="F54" s="14" t="s">
        <v>208</v>
      </c>
      <c r="G54" s="14" t="s">
        <v>214</v>
      </c>
      <c r="H54" s="35">
        <v>30</v>
      </c>
      <c r="I54" s="35">
        <f>H54/11</f>
        <v>2.7272727272727271</v>
      </c>
      <c r="J54" s="14" t="s">
        <v>21</v>
      </c>
      <c r="K54" s="16" t="s">
        <v>0</v>
      </c>
      <c r="L54" s="14" t="s">
        <v>0</v>
      </c>
      <c r="M54" s="14" t="s">
        <v>0</v>
      </c>
      <c r="N54" s="14" t="s">
        <v>155</v>
      </c>
      <c r="O54" s="14" t="s">
        <v>156</v>
      </c>
      <c r="P54" s="14" t="s">
        <v>23</v>
      </c>
      <c r="Q54" s="14" t="s">
        <v>24</v>
      </c>
      <c r="R54" s="14" t="s">
        <v>25</v>
      </c>
      <c r="S54" s="14" t="s">
        <v>446</v>
      </c>
    </row>
    <row r="55" spans="1:19" ht="60" customHeight="1" x14ac:dyDescent="0.2">
      <c r="A55" s="13" t="s">
        <v>388</v>
      </c>
      <c r="B55" s="14" t="s">
        <v>388</v>
      </c>
      <c r="C55" s="14" t="s">
        <v>389</v>
      </c>
      <c r="D55" s="14" t="s">
        <v>32</v>
      </c>
      <c r="E55" s="14" t="s">
        <v>33</v>
      </c>
      <c r="F55" s="14" t="s">
        <v>208</v>
      </c>
      <c r="G55" s="14" t="s">
        <v>505</v>
      </c>
      <c r="H55" s="35">
        <v>460</v>
      </c>
      <c r="I55" s="35"/>
      <c r="J55" s="14" t="s">
        <v>21</v>
      </c>
      <c r="K55" s="16" t="s">
        <v>0</v>
      </c>
      <c r="L55" s="14" t="s">
        <v>0</v>
      </c>
      <c r="M55" s="14" t="s">
        <v>0</v>
      </c>
      <c r="N55" s="14" t="s">
        <v>389</v>
      </c>
      <c r="O55" s="14" t="s">
        <v>390</v>
      </c>
      <c r="P55" s="14" t="s">
        <v>23</v>
      </c>
      <c r="Q55" s="14" t="s">
        <v>24</v>
      </c>
      <c r="R55" s="14" t="s">
        <v>25</v>
      </c>
      <c r="S55" s="14" t="s">
        <v>391</v>
      </c>
    </row>
    <row r="56" spans="1:19" ht="60" customHeight="1" x14ac:dyDescent="0.2">
      <c r="A56" s="13" t="s">
        <v>278</v>
      </c>
      <c r="B56" s="14" t="s">
        <v>278</v>
      </c>
      <c r="C56" s="14" t="s">
        <v>285</v>
      </c>
      <c r="D56" s="14" t="s">
        <v>32</v>
      </c>
      <c r="E56" s="14" t="s">
        <v>33</v>
      </c>
      <c r="F56" s="14" t="s">
        <v>208</v>
      </c>
      <c r="G56" s="14" t="s">
        <v>505</v>
      </c>
      <c r="H56" s="35">
        <v>2184.9</v>
      </c>
      <c r="I56" s="35">
        <f>H56/11</f>
        <v>198.62727272727273</v>
      </c>
      <c r="J56" s="14" t="s">
        <v>21</v>
      </c>
      <c r="K56" s="16" t="s">
        <v>0</v>
      </c>
      <c r="L56" s="14" t="s">
        <v>0</v>
      </c>
      <c r="M56" s="14" t="s">
        <v>0</v>
      </c>
      <c r="N56" s="14" t="s">
        <v>285</v>
      </c>
      <c r="O56" s="14" t="s">
        <v>286</v>
      </c>
      <c r="P56" s="14" t="s">
        <v>287</v>
      </c>
      <c r="Q56" s="14" t="s">
        <v>288</v>
      </c>
      <c r="R56" s="14" t="s">
        <v>25</v>
      </c>
      <c r="S56" s="14" t="s">
        <v>289</v>
      </c>
    </row>
    <row r="57" spans="1:19" ht="60" customHeight="1" x14ac:dyDescent="0.2">
      <c r="A57" s="13" t="s">
        <v>39</v>
      </c>
      <c r="B57" s="14" t="s">
        <v>39</v>
      </c>
      <c r="C57" s="14" t="s">
        <v>141</v>
      </c>
      <c r="D57" s="14" t="s">
        <v>1</v>
      </c>
      <c r="E57" s="14" t="s">
        <v>20</v>
      </c>
      <c r="F57" s="14" t="s">
        <v>208</v>
      </c>
      <c r="G57" s="14" t="s">
        <v>508</v>
      </c>
      <c r="H57" s="35">
        <v>35</v>
      </c>
      <c r="I57" s="35">
        <f>H57/11</f>
        <v>3.1818181818181817</v>
      </c>
      <c r="J57" s="14" t="s">
        <v>21</v>
      </c>
      <c r="K57" s="16" t="s">
        <v>0</v>
      </c>
      <c r="L57" s="14" t="s">
        <v>0</v>
      </c>
      <c r="M57" s="14" t="s">
        <v>0</v>
      </c>
      <c r="N57" s="14" t="s">
        <v>141</v>
      </c>
      <c r="O57" s="14" t="s">
        <v>142</v>
      </c>
      <c r="P57" s="14" t="s">
        <v>114</v>
      </c>
      <c r="Q57" s="14" t="s">
        <v>115</v>
      </c>
      <c r="R57" s="14" t="s">
        <v>25</v>
      </c>
      <c r="S57" s="14" t="s">
        <v>417</v>
      </c>
    </row>
    <row r="58" spans="1:19" ht="60" customHeight="1" x14ac:dyDescent="0.2">
      <c r="A58" s="13" t="s">
        <v>383</v>
      </c>
      <c r="B58" s="14" t="s">
        <v>383</v>
      </c>
      <c r="C58" s="14" t="s">
        <v>129</v>
      </c>
      <c r="D58" s="14" t="s">
        <v>32</v>
      </c>
      <c r="E58" s="14" t="s">
        <v>33</v>
      </c>
      <c r="F58" s="14" t="s">
        <v>208</v>
      </c>
      <c r="G58" s="14" t="s">
        <v>508</v>
      </c>
      <c r="H58" s="35">
        <v>64.989999999999995</v>
      </c>
      <c r="I58" s="35">
        <f>H58/11</f>
        <v>5.9081818181818173</v>
      </c>
      <c r="J58" s="14" t="s">
        <v>21</v>
      </c>
      <c r="K58" s="16" t="s">
        <v>0</v>
      </c>
      <c r="L58" s="14" t="s">
        <v>0</v>
      </c>
      <c r="M58" s="14" t="s">
        <v>0</v>
      </c>
      <c r="N58" s="14" t="s">
        <v>129</v>
      </c>
      <c r="O58" s="14" t="s">
        <v>130</v>
      </c>
      <c r="P58" s="14" t="s">
        <v>127</v>
      </c>
      <c r="Q58" s="14" t="s">
        <v>128</v>
      </c>
      <c r="R58" s="14" t="s">
        <v>25</v>
      </c>
      <c r="S58" s="14" t="s">
        <v>384</v>
      </c>
    </row>
    <row r="59" spans="1:19" ht="60" customHeight="1" x14ac:dyDescent="0.2">
      <c r="A59" s="13" t="s">
        <v>378</v>
      </c>
      <c r="B59" s="14" t="s">
        <v>378</v>
      </c>
      <c r="C59" s="14" t="s">
        <v>141</v>
      </c>
      <c r="D59" s="14" t="s">
        <v>1</v>
      </c>
      <c r="E59" s="14" t="s">
        <v>147</v>
      </c>
      <c r="F59" s="14" t="s">
        <v>208</v>
      </c>
      <c r="G59" s="14" t="s">
        <v>508</v>
      </c>
      <c r="H59" s="35">
        <v>44</v>
      </c>
      <c r="I59" s="35">
        <f>H59/11</f>
        <v>4</v>
      </c>
      <c r="J59" s="14" t="s">
        <v>21</v>
      </c>
      <c r="K59" s="16" t="s">
        <v>0</v>
      </c>
      <c r="L59" s="14" t="s">
        <v>0</v>
      </c>
      <c r="M59" s="14" t="s">
        <v>0</v>
      </c>
      <c r="N59" s="14" t="s">
        <v>141</v>
      </c>
      <c r="O59" s="14" t="s">
        <v>142</v>
      </c>
      <c r="P59" s="14" t="s">
        <v>114</v>
      </c>
      <c r="Q59" s="14" t="s">
        <v>115</v>
      </c>
      <c r="R59" s="14" t="s">
        <v>25</v>
      </c>
      <c r="S59" s="14" t="s">
        <v>467</v>
      </c>
    </row>
    <row r="60" spans="1:19" ht="60" customHeight="1" x14ac:dyDescent="0.2">
      <c r="A60" s="13" t="s">
        <v>268</v>
      </c>
      <c r="B60" s="14" t="s">
        <v>261</v>
      </c>
      <c r="C60" s="14" t="s">
        <v>269</v>
      </c>
      <c r="D60" s="14" t="s">
        <v>32</v>
      </c>
      <c r="E60" s="14" t="s">
        <v>33</v>
      </c>
      <c r="F60" s="14" t="s">
        <v>208</v>
      </c>
      <c r="G60" s="14" t="s">
        <v>508</v>
      </c>
      <c r="H60" s="35">
        <v>438.9</v>
      </c>
      <c r="I60" s="35">
        <f>H60/11</f>
        <v>39.9</v>
      </c>
      <c r="J60" s="14" t="s">
        <v>21</v>
      </c>
      <c r="K60" s="16" t="s">
        <v>0</v>
      </c>
      <c r="L60" s="14" t="s">
        <v>0</v>
      </c>
      <c r="M60" s="14" t="s">
        <v>0</v>
      </c>
      <c r="N60" s="14" t="s">
        <v>269</v>
      </c>
      <c r="O60" s="14" t="s">
        <v>270</v>
      </c>
      <c r="P60" s="14" t="s">
        <v>271</v>
      </c>
      <c r="Q60" s="14" t="s">
        <v>272</v>
      </c>
      <c r="R60" s="14" t="s">
        <v>25</v>
      </c>
      <c r="S60" s="14" t="s">
        <v>273</v>
      </c>
    </row>
    <row r="61" spans="1:19" ht="60" customHeight="1" x14ac:dyDescent="0.2">
      <c r="A61" s="13" t="s">
        <v>268</v>
      </c>
      <c r="B61" s="14" t="s">
        <v>261</v>
      </c>
      <c r="C61" s="14" t="s">
        <v>150</v>
      </c>
      <c r="D61" s="14" t="s">
        <v>1</v>
      </c>
      <c r="E61" s="14" t="s">
        <v>147</v>
      </c>
      <c r="F61" s="14" t="s">
        <v>210</v>
      </c>
      <c r="G61" s="14" t="s">
        <v>508</v>
      </c>
      <c r="H61" s="35">
        <v>41.92</v>
      </c>
      <c r="I61" s="35"/>
      <c r="J61" s="14" t="s">
        <v>151</v>
      </c>
      <c r="K61" s="16">
        <v>1.22</v>
      </c>
      <c r="L61" s="14" t="s">
        <v>0</v>
      </c>
      <c r="M61" s="14" t="s">
        <v>0</v>
      </c>
      <c r="N61" s="14" t="s">
        <v>150</v>
      </c>
      <c r="O61" s="14" t="s">
        <v>152</v>
      </c>
      <c r="P61" s="14" t="s">
        <v>153</v>
      </c>
      <c r="Q61" s="14" t="s">
        <v>154</v>
      </c>
      <c r="R61" s="14" t="s">
        <v>38</v>
      </c>
      <c r="S61" s="14" t="s">
        <v>445</v>
      </c>
    </row>
    <row r="62" spans="1:19" ht="60" customHeight="1" x14ac:dyDescent="0.2">
      <c r="A62" s="13" t="s">
        <v>18</v>
      </c>
      <c r="B62" s="14" t="s">
        <v>18</v>
      </c>
      <c r="C62" s="14" t="s">
        <v>145</v>
      </c>
      <c r="D62" s="14" t="s">
        <v>32</v>
      </c>
      <c r="E62" s="14" t="s">
        <v>33</v>
      </c>
      <c r="F62" s="14" t="s">
        <v>208</v>
      </c>
      <c r="G62" s="14" t="s">
        <v>228</v>
      </c>
      <c r="H62" s="35">
        <v>123.33</v>
      </c>
      <c r="I62" s="35">
        <f t="shared" ref="I62:I69" si="0">H62/11</f>
        <v>11.211818181818181</v>
      </c>
      <c r="J62" s="14" t="s">
        <v>21</v>
      </c>
      <c r="K62" s="16" t="s">
        <v>0</v>
      </c>
      <c r="L62" s="14" t="s">
        <v>0</v>
      </c>
      <c r="M62" s="14" t="s">
        <v>440</v>
      </c>
      <c r="N62" s="14" t="s">
        <v>145</v>
      </c>
      <c r="O62" s="14" t="s">
        <v>146</v>
      </c>
      <c r="P62" s="14" t="s">
        <v>23</v>
      </c>
      <c r="Q62" s="14" t="s">
        <v>24</v>
      </c>
      <c r="R62" s="14" t="s">
        <v>25</v>
      </c>
      <c r="S62" s="14" t="s">
        <v>441</v>
      </c>
    </row>
    <row r="63" spans="1:19" ht="60" customHeight="1" x14ac:dyDescent="0.2">
      <c r="A63" s="13" t="s">
        <v>421</v>
      </c>
      <c r="B63" s="14" t="s">
        <v>421</v>
      </c>
      <c r="C63" s="14" t="s">
        <v>178</v>
      </c>
      <c r="D63" s="14" t="s">
        <v>169</v>
      </c>
      <c r="E63" s="14" t="s">
        <v>170</v>
      </c>
      <c r="F63" s="14" t="s">
        <v>208</v>
      </c>
      <c r="G63" s="14" t="s">
        <v>514</v>
      </c>
      <c r="H63" s="35">
        <v>29.5</v>
      </c>
      <c r="I63" s="35">
        <f t="shared" si="0"/>
        <v>2.6818181818181817</v>
      </c>
      <c r="J63" s="14" t="s">
        <v>21</v>
      </c>
      <c r="K63" s="16" t="s">
        <v>0</v>
      </c>
      <c r="L63" s="14" t="s">
        <v>0</v>
      </c>
      <c r="M63" s="14" t="s">
        <v>0</v>
      </c>
      <c r="N63" s="14" t="s">
        <v>178</v>
      </c>
      <c r="O63" s="14" t="s">
        <v>179</v>
      </c>
      <c r="P63" s="14" t="s">
        <v>180</v>
      </c>
      <c r="Q63" s="14" t="s">
        <v>181</v>
      </c>
      <c r="R63" s="14" t="s">
        <v>25</v>
      </c>
      <c r="S63" s="14" t="s">
        <v>473</v>
      </c>
    </row>
    <row r="64" spans="1:19" ht="60" customHeight="1" x14ac:dyDescent="0.2">
      <c r="A64" s="13" t="s">
        <v>355</v>
      </c>
      <c r="B64" s="14" t="s">
        <v>355</v>
      </c>
      <c r="C64" s="14" t="s">
        <v>356</v>
      </c>
      <c r="D64" s="14" t="s">
        <v>32</v>
      </c>
      <c r="E64" s="14" t="s">
        <v>33</v>
      </c>
      <c r="F64" s="14" t="s">
        <v>208</v>
      </c>
      <c r="G64" s="14" t="s">
        <v>507</v>
      </c>
      <c r="H64" s="35">
        <v>900</v>
      </c>
      <c r="I64" s="35">
        <f t="shared" si="0"/>
        <v>81.818181818181813</v>
      </c>
      <c r="J64" s="14" t="s">
        <v>21</v>
      </c>
      <c r="K64" s="16" t="s">
        <v>0</v>
      </c>
      <c r="L64" s="14" t="s">
        <v>0</v>
      </c>
      <c r="M64" s="14" t="s">
        <v>0</v>
      </c>
      <c r="N64" s="14" t="s">
        <v>356</v>
      </c>
      <c r="O64" s="14" t="s">
        <v>357</v>
      </c>
      <c r="P64" s="14" t="s">
        <v>23</v>
      </c>
      <c r="Q64" s="14" t="s">
        <v>24</v>
      </c>
      <c r="R64" s="14" t="s">
        <v>25</v>
      </c>
      <c r="S64" s="14" t="s">
        <v>358</v>
      </c>
    </row>
    <row r="65" spans="1:19" ht="60" customHeight="1" x14ac:dyDescent="0.2">
      <c r="A65" s="8">
        <v>45646</v>
      </c>
      <c r="B65" s="9"/>
      <c r="C65" s="10" t="s">
        <v>493</v>
      </c>
      <c r="D65" s="11">
        <v>465083897</v>
      </c>
      <c r="E65" s="11" t="s">
        <v>203</v>
      </c>
      <c r="F65" s="10" t="s">
        <v>208</v>
      </c>
      <c r="G65" s="10" t="s">
        <v>511</v>
      </c>
      <c r="H65" s="12">
        <v>417.73</v>
      </c>
      <c r="I65" s="35">
        <f t="shared" si="0"/>
        <v>37.975454545454546</v>
      </c>
      <c r="J65" s="10" t="s">
        <v>204</v>
      </c>
      <c r="K65" s="10">
        <v>22086.39</v>
      </c>
      <c r="L65" s="10" t="s">
        <v>205</v>
      </c>
      <c r="M65" s="10">
        <v>112879</v>
      </c>
      <c r="N65" s="10">
        <v>946</v>
      </c>
      <c r="O65" s="10"/>
      <c r="P65" s="10"/>
      <c r="Q65" s="10"/>
      <c r="R65" s="10"/>
      <c r="S65" s="10"/>
    </row>
    <row r="66" spans="1:19" ht="60" customHeight="1" x14ac:dyDescent="0.2">
      <c r="A66" s="8">
        <v>45646</v>
      </c>
      <c r="B66" s="9"/>
      <c r="C66" s="10" t="s">
        <v>494</v>
      </c>
      <c r="D66" s="11">
        <v>465083897</v>
      </c>
      <c r="E66" s="11" t="s">
        <v>203</v>
      </c>
      <c r="F66" s="10" t="s">
        <v>208</v>
      </c>
      <c r="G66" s="10" t="s">
        <v>223</v>
      </c>
      <c r="H66" s="12">
        <v>2662.61</v>
      </c>
      <c r="I66" s="35">
        <f t="shared" si="0"/>
        <v>242.05545454545455</v>
      </c>
      <c r="J66" s="10" t="s">
        <v>204</v>
      </c>
      <c r="K66" s="10">
        <v>19423.78</v>
      </c>
      <c r="L66" s="10" t="s">
        <v>205</v>
      </c>
      <c r="M66" s="10">
        <v>112879</v>
      </c>
      <c r="N66" s="10">
        <v>946</v>
      </c>
      <c r="O66" s="10"/>
      <c r="P66" s="10"/>
      <c r="Q66" s="10"/>
      <c r="R66" s="10"/>
      <c r="S66" s="10"/>
    </row>
    <row r="67" spans="1:19" ht="60" customHeight="1" x14ac:dyDescent="0.2">
      <c r="A67" s="8">
        <v>45646</v>
      </c>
      <c r="B67" s="9"/>
      <c r="C67" s="10" t="s">
        <v>495</v>
      </c>
      <c r="D67" s="11">
        <v>465083897</v>
      </c>
      <c r="E67" s="11" t="s">
        <v>203</v>
      </c>
      <c r="F67" s="10" t="s">
        <v>208</v>
      </c>
      <c r="G67" s="10" t="s">
        <v>224</v>
      </c>
      <c r="H67" s="12">
        <v>7001.5</v>
      </c>
      <c r="I67" s="35">
        <f t="shared" si="0"/>
        <v>636.5</v>
      </c>
      <c r="J67" s="10" t="s">
        <v>204</v>
      </c>
      <c r="K67" s="10">
        <v>12422.28</v>
      </c>
      <c r="L67" s="10" t="s">
        <v>205</v>
      </c>
      <c r="M67" s="10">
        <v>112879</v>
      </c>
      <c r="N67" s="10">
        <v>946</v>
      </c>
      <c r="O67" s="10"/>
      <c r="P67" s="10"/>
      <c r="Q67" s="10"/>
      <c r="R67" s="10"/>
      <c r="S67" s="10"/>
    </row>
    <row r="68" spans="1:19" ht="60" customHeight="1" x14ac:dyDescent="0.2">
      <c r="A68" s="13" t="s">
        <v>345</v>
      </c>
      <c r="B68" s="14" t="s">
        <v>345</v>
      </c>
      <c r="C68" s="14" t="s">
        <v>103</v>
      </c>
      <c r="D68" s="14" t="s">
        <v>104</v>
      </c>
      <c r="E68" s="14" t="s">
        <v>105</v>
      </c>
      <c r="F68" s="14" t="s">
        <v>208</v>
      </c>
      <c r="G68" s="14" t="s">
        <v>220</v>
      </c>
      <c r="H68" s="35">
        <v>33.700000000000003</v>
      </c>
      <c r="I68" s="35">
        <f t="shared" si="0"/>
        <v>3.0636363636363639</v>
      </c>
      <c r="J68" s="14" t="s">
        <v>21</v>
      </c>
      <c r="K68" s="16" t="s">
        <v>0</v>
      </c>
      <c r="L68" s="14" t="s">
        <v>0</v>
      </c>
      <c r="M68" s="14" t="s">
        <v>0</v>
      </c>
      <c r="N68" s="14" t="s">
        <v>103</v>
      </c>
      <c r="O68" s="14" t="s">
        <v>106</v>
      </c>
      <c r="P68" s="14" t="s">
        <v>23</v>
      </c>
      <c r="Q68" s="14" t="s">
        <v>24</v>
      </c>
      <c r="R68" s="14" t="s">
        <v>25</v>
      </c>
      <c r="S68" s="14" t="s">
        <v>347</v>
      </c>
    </row>
    <row r="69" spans="1:19" ht="60" customHeight="1" x14ac:dyDescent="0.2">
      <c r="A69" s="13" t="s">
        <v>293</v>
      </c>
      <c r="B69" s="14" t="s">
        <v>278</v>
      </c>
      <c r="C69" s="14" t="s">
        <v>294</v>
      </c>
      <c r="D69" s="14" t="s">
        <v>32</v>
      </c>
      <c r="E69" s="14" t="s">
        <v>33</v>
      </c>
      <c r="F69" s="14" t="s">
        <v>208</v>
      </c>
      <c r="G69" s="14" t="s">
        <v>226</v>
      </c>
      <c r="H69" s="35">
        <v>711.36</v>
      </c>
      <c r="I69" s="35">
        <f t="shared" si="0"/>
        <v>64.669090909090912</v>
      </c>
      <c r="J69" s="14" t="s">
        <v>21</v>
      </c>
      <c r="K69" s="16" t="s">
        <v>0</v>
      </c>
      <c r="L69" s="14" t="s">
        <v>0</v>
      </c>
      <c r="M69" s="14" t="s">
        <v>295</v>
      </c>
      <c r="N69" s="14" t="s">
        <v>294</v>
      </c>
      <c r="O69" s="14" t="s">
        <v>296</v>
      </c>
      <c r="P69" s="14" t="s">
        <v>23</v>
      </c>
      <c r="Q69" s="14" t="s">
        <v>24</v>
      </c>
      <c r="R69" s="14" t="s">
        <v>25</v>
      </c>
      <c r="S69" s="14" t="s">
        <v>297</v>
      </c>
    </row>
    <row r="70" spans="1:19" ht="60" customHeight="1" x14ac:dyDescent="0.2">
      <c r="A70" s="13" t="s">
        <v>421</v>
      </c>
      <c r="B70" s="14" t="s">
        <v>421</v>
      </c>
      <c r="C70" s="14" t="s">
        <v>136</v>
      </c>
      <c r="D70" s="14" t="s">
        <v>104</v>
      </c>
      <c r="E70" s="14" t="s">
        <v>105</v>
      </c>
      <c r="F70" s="14" t="s">
        <v>210</v>
      </c>
      <c r="G70" s="14"/>
      <c r="H70" s="35">
        <v>188.63</v>
      </c>
      <c r="I70" s="35"/>
      <c r="J70" s="14" t="s">
        <v>21</v>
      </c>
      <c r="K70" s="16" t="s">
        <v>0</v>
      </c>
      <c r="L70" s="14" t="s">
        <v>0</v>
      </c>
      <c r="M70" s="14" t="s">
        <v>0</v>
      </c>
      <c r="N70" s="14" t="s">
        <v>136</v>
      </c>
      <c r="O70" s="14" t="s">
        <v>137</v>
      </c>
      <c r="P70" s="14" t="s">
        <v>138</v>
      </c>
      <c r="Q70" s="14" t="s">
        <v>139</v>
      </c>
      <c r="R70" s="14" t="s">
        <v>25</v>
      </c>
      <c r="S70" s="14" t="s">
        <v>422</v>
      </c>
    </row>
    <row r="71" spans="1:19" x14ac:dyDescent="0.2">
      <c r="A71" s="8"/>
      <c r="B71" s="18"/>
      <c r="C71" s="10"/>
      <c r="D71" s="19"/>
      <c r="E71" s="19"/>
      <c r="F71" s="18"/>
      <c r="G71" s="18"/>
      <c r="H71" s="12"/>
      <c r="I71" s="34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x14ac:dyDescent="0.2">
      <c r="A72" s="13"/>
      <c r="B72" s="14"/>
      <c r="C72" s="14"/>
      <c r="D72" s="14"/>
      <c r="E72" s="14"/>
      <c r="F72" s="14"/>
      <c r="G72" s="14"/>
      <c r="H72" s="36"/>
      <c r="I72" s="34"/>
      <c r="J72" s="14"/>
      <c r="K72" s="17"/>
      <c r="L72" s="14"/>
      <c r="M72" s="14"/>
      <c r="N72" s="14"/>
      <c r="O72" s="14"/>
      <c r="P72" s="14"/>
      <c r="Q72" s="14"/>
      <c r="R72" s="14"/>
      <c r="S72" s="14"/>
    </row>
    <row r="73" spans="1:19" x14ac:dyDescent="0.2">
      <c r="A73" s="13"/>
      <c r="B73" s="14"/>
      <c r="C73" s="14"/>
      <c r="D73" s="14"/>
      <c r="E73" s="14"/>
      <c r="F73" s="14"/>
      <c r="G73" s="14"/>
      <c r="H73" s="36"/>
      <c r="I73" s="34"/>
      <c r="J73" s="14"/>
      <c r="K73" s="17"/>
      <c r="L73" s="14"/>
      <c r="M73" s="14"/>
      <c r="N73" s="14"/>
      <c r="O73" s="14"/>
      <c r="P73" s="14"/>
      <c r="Q73" s="14"/>
      <c r="R73" s="14"/>
      <c r="S73" s="14"/>
    </row>
    <row r="74" spans="1:19" x14ac:dyDescent="0.2">
      <c r="A74" s="13"/>
      <c r="B74" s="14"/>
      <c r="C74" s="14"/>
      <c r="D74" s="14"/>
      <c r="E74" s="14"/>
      <c r="F74" s="14"/>
      <c r="G74" s="14"/>
      <c r="H74" s="34"/>
      <c r="I74" s="34"/>
      <c r="J74" s="14"/>
      <c r="K74" s="15"/>
      <c r="L74" s="14"/>
      <c r="M74" s="14"/>
      <c r="N74" s="14"/>
      <c r="O74" s="14"/>
      <c r="P74" s="14"/>
      <c r="Q74" s="14"/>
      <c r="R74" s="14"/>
      <c r="S74" s="14"/>
    </row>
    <row r="75" spans="1:19" x14ac:dyDescent="0.2">
      <c r="A75" s="13"/>
      <c r="B75" s="14"/>
      <c r="C75" s="14"/>
      <c r="D75" s="14"/>
      <c r="E75" s="14"/>
      <c r="F75" s="14"/>
      <c r="G75" s="14"/>
      <c r="H75" s="36"/>
      <c r="I75" s="34"/>
      <c r="J75" s="14"/>
      <c r="K75" s="17"/>
      <c r="L75" s="14"/>
      <c r="M75" s="14"/>
      <c r="N75" s="14"/>
      <c r="O75" s="14"/>
      <c r="P75" s="14"/>
      <c r="Q75" s="14"/>
      <c r="R75" s="14"/>
      <c r="S75" s="14"/>
    </row>
    <row r="76" spans="1:19" x14ac:dyDescent="0.2">
      <c r="A76" s="13"/>
      <c r="B76" s="14"/>
      <c r="C76" s="14"/>
      <c r="D76" s="14"/>
      <c r="E76" s="14"/>
      <c r="F76" s="14"/>
      <c r="G76" s="14"/>
      <c r="H76" s="36"/>
      <c r="I76" s="34"/>
      <c r="J76" s="14"/>
      <c r="K76" s="17"/>
      <c r="L76" s="14"/>
      <c r="M76" s="14"/>
      <c r="N76" s="14"/>
      <c r="O76" s="14"/>
      <c r="P76" s="14"/>
      <c r="Q76" s="14"/>
      <c r="R76" s="14"/>
      <c r="S76" s="14"/>
    </row>
    <row r="77" spans="1:19" x14ac:dyDescent="0.2">
      <c r="A77" s="13"/>
      <c r="B77" s="14"/>
      <c r="C77" s="14"/>
      <c r="D77" s="14"/>
      <c r="E77" s="14"/>
      <c r="F77" s="14"/>
      <c r="G77" s="14"/>
      <c r="H77" s="34"/>
      <c r="I77" s="34"/>
      <c r="J77" s="14"/>
      <c r="K77" s="15"/>
      <c r="L77" s="14"/>
      <c r="M77" s="14"/>
      <c r="N77" s="14"/>
      <c r="O77" s="14"/>
      <c r="P77" s="14"/>
      <c r="Q77" s="14"/>
      <c r="R77" s="14"/>
      <c r="S77" s="14"/>
    </row>
    <row r="78" spans="1:19" x14ac:dyDescent="0.2">
      <c r="A78" s="8"/>
      <c r="B78" s="18"/>
      <c r="C78" s="10"/>
      <c r="D78" s="19"/>
      <c r="E78" s="19"/>
      <c r="F78" s="18"/>
      <c r="G78" s="18"/>
      <c r="H78" s="12"/>
      <c r="I78" s="34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x14ac:dyDescent="0.2">
      <c r="A79" s="8"/>
      <c r="B79" s="10"/>
      <c r="C79" s="10"/>
      <c r="D79" s="11"/>
      <c r="E79" s="11"/>
      <c r="F79" s="12"/>
      <c r="G79" s="18"/>
      <c r="H79" s="12"/>
      <c r="I79" s="34"/>
      <c r="J79" s="10"/>
      <c r="K79" s="10"/>
      <c r="L79" s="10"/>
      <c r="M79" s="10"/>
      <c r="N79" s="10"/>
      <c r="O79" s="10"/>
      <c r="P79" s="10"/>
      <c r="Q79" s="10"/>
      <c r="R79" s="10"/>
      <c r="S79" s="10"/>
    </row>
  </sheetData>
  <sortState xmlns:xlrd2="http://schemas.microsoft.com/office/spreadsheetml/2017/richdata2" ref="A2:S80">
    <sortCondition ref="G2:G80"/>
    <sortCondition ref="A2:A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3"/>
  <sheetViews>
    <sheetView workbookViewId="0">
      <pane ySplit="1" topLeftCell="A2" activePane="bottomLeft" state="frozen"/>
      <selection pane="bottomLeft" activeCell="D1" sqref="D1:D1048576"/>
    </sheetView>
  </sheetViews>
  <sheetFormatPr baseColWidth="10" defaultColWidth="25.83203125" defaultRowHeight="15" x14ac:dyDescent="0.2"/>
  <cols>
    <col min="1" max="1" width="25.83203125" style="25"/>
    <col min="3" max="3" width="60.1640625" bestFit="1" customWidth="1"/>
    <col min="4" max="4" width="25.83203125" style="7"/>
    <col min="6" max="6" width="12.6640625" customWidth="1"/>
    <col min="7" max="7" width="38" customWidth="1"/>
    <col min="8" max="9" width="25.83203125" style="4"/>
  </cols>
  <sheetData>
    <row r="1" spans="1:19" s="31" customFormat="1" ht="16" x14ac:dyDescent="0.2">
      <c r="A1" s="27" t="s">
        <v>2</v>
      </c>
      <c r="B1" s="28" t="s">
        <v>3</v>
      </c>
      <c r="C1" s="28" t="s">
        <v>4</v>
      </c>
      <c r="D1" s="29" t="s">
        <v>5</v>
      </c>
      <c r="E1" s="28" t="s">
        <v>6</v>
      </c>
      <c r="F1" s="30" t="s">
        <v>182</v>
      </c>
      <c r="G1" s="30" t="s">
        <v>183</v>
      </c>
      <c r="H1" s="32" t="s">
        <v>7</v>
      </c>
      <c r="I1" s="33" t="s">
        <v>184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</row>
    <row r="2" spans="1:19" ht="60" customHeight="1" x14ac:dyDescent="0.2">
      <c r="A2" s="13" t="s">
        <v>18</v>
      </c>
      <c r="B2" s="14" t="s">
        <v>421</v>
      </c>
      <c r="C2" s="14" t="s">
        <v>436</v>
      </c>
      <c r="D2" s="14" t="s">
        <v>32</v>
      </c>
      <c r="E2" s="14" t="s">
        <v>33</v>
      </c>
      <c r="F2" s="14" t="s">
        <v>208</v>
      </c>
      <c r="G2" s="14" t="s">
        <v>219</v>
      </c>
      <c r="H2" s="35">
        <v>343.2</v>
      </c>
      <c r="I2" s="35">
        <f>H2/11</f>
        <v>31.2</v>
      </c>
      <c r="J2" s="14" t="s">
        <v>21</v>
      </c>
      <c r="K2" s="16" t="s">
        <v>0</v>
      </c>
      <c r="L2" s="14" t="s">
        <v>0</v>
      </c>
      <c r="M2" s="14" t="s">
        <v>0</v>
      </c>
      <c r="N2" s="14" t="s">
        <v>436</v>
      </c>
      <c r="O2" s="14" t="s">
        <v>126</v>
      </c>
      <c r="P2" s="14" t="s">
        <v>127</v>
      </c>
      <c r="Q2" s="14" t="s">
        <v>128</v>
      </c>
      <c r="R2" s="14" t="s">
        <v>25</v>
      </c>
      <c r="S2" s="14" t="s">
        <v>437</v>
      </c>
    </row>
    <row r="3" spans="1:19" ht="60" customHeight="1" x14ac:dyDescent="0.2">
      <c r="A3" s="13" t="s">
        <v>18</v>
      </c>
      <c r="B3" s="14" t="s">
        <v>18</v>
      </c>
      <c r="C3" s="14" t="s">
        <v>145</v>
      </c>
      <c r="D3" s="14" t="s">
        <v>32</v>
      </c>
      <c r="E3" s="14" t="s">
        <v>33</v>
      </c>
      <c r="F3" s="14" t="s">
        <v>208</v>
      </c>
      <c r="G3" s="14" t="s">
        <v>228</v>
      </c>
      <c r="H3" s="35">
        <v>123.33</v>
      </c>
      <c r="I3" s="35">
        <f>H3/11</f>
        <v>11.211818181818181</v>
      </c>
      <c r="J3" s="14" t="s">
        <v>21</v>
      </c>
      <c r="K3" s="16" t="s">
        <v>0</v>
      </c>
      <c r="L3" s="14" t="s">
        <v>0</v>
      </c>
      <c r="M3" s="14" t="s">
        <v>440</v>
      </c>
      <c r="N3" s="14" t="s">
        <v>145</v>
      </c>
      <c r="O3" s="14" t="s">
        <v>146</v>
      </c>
      <c r="P3" s="14" t="s">
        <v>23</v>
      </c>
      <c r="Q3" s="14" t="s">
        <v>24</v>
      </c>
      <c r="R3" s="14" t="s">
        <v>25</v>
      </c>
      <c r="S3" s="14" t="s">
        <v>441</v>
      </c>
    </row>
    <row r="4" spans="1:19" ht="60" customHeight="1" x14ac:dyDescent="0.2">
      <c r="A4" s="13" t="s">
        <v>421</v>
      </c>
      <c r="B4" s="14" t="s">
        <v>421</v>
      </c>
      <c r="C4" s="14" t="s">
        <v>178</v>
      </c>
      <c r="D4" s="14" t="s">
        <v>169</v>
      </c>
      <c r="E4" s="14" t="s">
        <v>170</v>
      </c>
      <c r="F4" s="14" t="s">
        <v>208</v>
      </c>
      <c r="G4" s="14" t="s">
        <v>514</v>
      </c>
      <c r="H4" s="35">
        <v>29.5</v>
      </c>
      <c r="I4" s="35">
        <f>H4/11</f>
        <v>2.6818181818181817</v>
      </c>
      <c r="J4" s="14" t="s">
        <v>21</v>
      </c>
      <c r="K4" s="16" t="s">
        <v>0</v>
      </c>
      <c r="L4" s="14" t="s">
        <v>0</v>
      </c>
      <c r="M4" s="14" t="s">
        <v>0</v>
      </c>
      <c r="N4" s="14" t="s">
        <v>178</v>
      </c>
      <c r="O4" s="14" t="s">
        <v>179</v>
      </c>
      <c r="P4" s="14" t="s">
        <v>180</v>
      </c>
      <c r="Q4" s="14" t="s">
        <v>181</v>
      </c>
      <c r="R4" s="14" t="s">
        <v>25</v>
      </c>
      <c r="S4" s="14" t="s">
        <v>473</v>
      </c>
    </row>
    <row r="5" spans="1:19" ht="60" customHeight="1" x14ac:dyDescent="0.2">
      <c r="A5" s="13" t="s">
        <v>39</v>
      </c>
      <c r="B5" s="14" t="s">
        <v>39</v>
      </c>
      <c r="C5" s="14" t="s">
        <v>141</v>
      </c>
      <c r="D5" s="14" t="s">
        <v>1</v>
      </c>
      <c r="E5" s="14" t="s">
        <v>20</v>
      </c>
      <c r="F5" s="14" t="s">
        <v>208</v>
      </c>
      <c r="G5" s="14" t="s">
        <v>508</v>
      </c>
      <c r="H5" s="35">
        <v>35</v>
      </c>
      <c r="I5" s="35">
        <f>H5/11</f>
        <v>3.1818181818181817</v>
      </c>
      <c r="J5" s="14" t="s">
        <v>21</v>
      </c>
      <c r="K5" s="16" t="s">
        <v>0</v>
      </c>
      <c r="L5" s="14" t="s">
        <v>0</v>
      </c>
      <c r="M5" s="14" t="s">
        <v>0</v>
      </c>
      <c r="N5" s="14" t="s">
        <v>141</v>
      </c>
      <c r="O5" s="14" t="s">
        <v>142</v>
      </c>
      <c r="P5" s="14" t="s">
        <v>114</v>
      </c>
      <c r="Q5" s="14" t="s">
        <v>115</v>
      </c>
      <c r="R5" s="14" t="s">
        <v>25</v>
      </c>
      <c r="S5" s="14" t="s">
        <v>417</v>
      </c>
    </row>
    <row r="6" spans="1:19" ht="60" customHeight="1" x14ac:dyDescent="0.2">
      <c r="A6" s="13" t="s">
        <v>388</v>
      </c>
      <c r="B6" s="14" t="s">
        <v>388</v>
      </c>
      <c r="C6" s="14" t="s">
        <v>389</v>
      </c>
      <c r="D6" s="14" t="s">
        <v>32</v>
      </c>
      <c r="E6" s="14" t="s">
        <v>33</v>
      </c>
      <c r="F6" s="14" t="s">
        <v>208</v>
      </c>
      <c r="G6" s="14" t="s">
        <v>505</v>
      </c>
      <c r="H6" s="35">
        <v>460</v>
      </c>
      <c r="I6" s="35"/>
      <c r="J6" s="14" t="s">
        <v>21</v>
      </c>
      <c r="K6" s="16" t="s">
        <v>0</v>
      </c>
      <c r="L6" s="14" t="s">
        <v>0</v>
      </c>
      <c r="M6" s="14" t="s">
        <v>0</v>
      </c>
      <c r="N6" s="14" t="s">
        <v>389</v>
      </c>
      <c r="O6" s="14" t="s">
        <v>390</v>
      </c>
      <c r="P6" s="14" t="s">
        <v>23</v>
      </c>
      <c r="Q6" s="14" t="s">
        <v>24</v>
      </c>
      <c r="R6" s="14" t="s">
        <v>25</v>
      </c>
      <c r="S6" s="14" t="s">
        <v>391</v>
      </c>
    </row>
    <row r="7" spans="1:19" ht="60" customHeight="1" x14ac:dyDescent="0.2">
      <c r="A7" s="13" t="s">
        <v>386</v>
      </c>
      <c r="B7" s="14" t="s">
        <v>386</v>
      </c>
      <c r="C7" s="14" t="s">
        <v>174</v>
      </c>
      <c r="D7" s="14" t="s">
        <v>1</v>
      </c>
      <c r="E7" s="14" t="s">
        <v>147</v>
      </c>
      <c r="F7" s="14" t="s">
        <v>208</v>
      </c>
      <c r="G7" s="14" t="s">
        <v>214</v>
      </c>
      <c r="H7" s="35">
        <v>175.61</v>
      </c>
      <c r="I7" s="35">
        <f t="shared" ref="I7:I42" si="0">H7/11</f>
        <v>15.964545454545457</v>
      </c>
      <c r="J7" s="14" t="s">
        <v>21</v>
      </c>
      <c r="K7" s="16" t="s">
        <v>0</v>
      </c>
      <c r="L7" s="14" t="s">
        <v>0</v>
      </c>
      <c r="M7" s="14" t="s">
        <v>0</v>
      </c>
      <c r="N7" s="14" t="s">
        <v>174</v>
      </c>
      <c r="O7" s="14" t="s">
        <v>175</v>
      </c>
      <c r="P7" s="14" t="s">
        <v>176</v>
      </c>
      <c r="Q7" s="14" t="s">
        <v>177</v>
      </c>
      <c r="R7" s="14" t="s">
        <v>25</v>
      </c>
      <c r="S7" s="14" t="s">
        <v>472</v>
      </c>
    </row>
    <row r="8" spans="1:19" ht="60" customHeight="1" x14ac:dyDescent="0.2">
      <c r="A8" s="13" t="s">
        <v>383</v>
      </c>
      <c r="B8" s="14" t="s">
        <v>383</v>
      </c>
      <c r="C8" s="14" t="s">
        <v>129</v>
      </c>
      <c r="D8" s="14" t="s">
        <v>32</v>
      </c>
      <c r="E8" s="14" t="s">
        <v>33</v>
      </c>
      <c r="F8" s="14" t="s">
        <v>208</v>
      </c>
      <c r="G8" s="14" t="s">
        <v>508</v>
      </c>
      <c r="H8" s="35">
        <v>64.989999999999995</v>
      </c>
      <c r="I8" s="35">
        <f t="shared" si="0"/>
        <v>5.9081818181818173</v>
      </c>
      <c r="J8" s="14" t="s">
        <v>21</v>
      </c>
      <c r="K8" s="16" t="s">
        <v>0</v>
      </c>
      <c r="L8" s="14" t="s">
        <v>0</v>
      </c>
      <c r="M8" s="14" t="s">
        <v>0</v>
      </c>
      <c r="N8" s="14" t="s">
        <v>129</v>
      </c>
      <c r="O8" s="14" t="s">
        <v>130</v>
      </c>
      <c r="P8" s="14" t="s">
        <v>127</v>
      </c>
      <c r="Q8" s="14" t="s">
        <v>128</v>
      </c>
      <c r="R8" s="14" t="s">
        <v>25</v>
      </c>
      <c r="S8" s="14" t="s">
        <v>384</v>
      </c>
    </row>
    <row r="9" spans="1:19" ht="60" customHeight="1" x14ac:dyDescent="0.2">
      <c r="A9" s="13" t="s">
        <v>383</v>
      </c>
      <c r="B9" s="14" t="s">
        <v>378</v>
      </c>
      <c r="C9" s="14" t="s">
        <v>468</v>
      </c>
      <c r="D9" s="14" t="s">
        <v>169</v>
      </c>
      <c r="E9" s="14" t="s">
        <v>170</v>
      </c>
      <c r="F9" s="14" t="s">
        <v>208</v>
      </c>
      <c r="G9" s="14" t="s">
        <v>213</v>
      </c>
      <c r="H9" s="35">
        <v>39.99</v>
      </c>
      <c r="I9" s="35">
        <f t="shared" si="0"/>
        <v>3.6354545454545457</v>
      </c>
      <c r="J9" s="14" t="s">
        <v>21</v>
      </c>
      <c r="K9" s="16" t="s">
        <v>0</v>
      </c>
      <c r="L9" s="14" t="s">
        <v>0</v>
      </c>
      <c r="M9" s="14" t="s">
        <v>0</v>
      </c>
      <c r="N9" s="14" t="s">
        <v>468</v>
      </c>
      <c r="O9" s="14" t="s">
        <v>171</v>
      </c>
      <c r="P9" s="14" t="s">
        <v>172</v>
      </c>
      <c r="Q9" s="14" t="s">
        <v>173</v>
      </c>
      <c r="R9" s="14" t="s">
        <v>25</v>
      </c>
      <c r="S9" s="14" t="s">
        <v>469</v>
      </c>
    </row>
    <row r="10" spans="1:19" ht="60" customHeight="1" x14ac:dyDescent="0.2">
      <c r="A10" s="13" t="s">
        <v>378</v>
      </c>
      <c r="B10" s="14" t="s">
        <v>369</v>
      </c>
      <c r="C10" s="14" t="s">
        <v>19</v>
      </c>
      <c r="D10" s="14" t="s">
        <v>1</v>
      </c>
      <c r="E10" s="14" t="s">
        <v>20</v>
      </c>
      <c r="F10" s="14" t="s">
        <v>208</v>
      </c>
      <c r="G10" s="14" t="s">
        <v>217</v>
      </c>
      <c r="H10" s="35">
        <v>15.98</v>
      </c>
      <c r="I10" s="35">
        <f t="shared" si="0"/>
        <v>1.4527272727272729</v>
      </c>
      <c r="J10" s="14" t="s">
        <v>21</v>
      </c>
      <c r="K10" s="16" t="s">
        <v>0</v>
      </c>
      <c r="L10" s="14" t="s">
        <v>0</v>
      </c>
      <c r="M10" s="14" t="s">
        <v>0</v>
      </c>
      <c r="N10" s="14" t="s">
        <v>19</v>
      </c>
      <c r="O10" s="14" t="s">
        <v>22</v>
      </c>
      <c r="P10" s="14" t="s">
        <v>23</v>
      </c>
      <c r="Q10" s="14" t="s">
        <v>24</v>
      </c>
      <c r="R10" s="14" t="s">
        <v>25</v>
      </c>
      <c r="S10" s="14" t="s">
        <v>379</v>
      </c>
    </row>
    <row r="11" spans="1:19" ht="60" customHeight="1" x14ac:dyDescent="0.2">
      <c r="A11" s="13" t="s">
        <v>378</v>
      </c>
      <c r="B11" s="14" t="s">
        <v>378</v>
      </c>
      <c r="C11" s="14" t="s">
        <v>141</v>
      </c>
      <c r="D11" s="14" t="s">
        <v>1</v>
      </c>
      <c r="E11" s="14" t="s">
        <v>147</v>
      </c>
      <c r="F11" s="14" t="s">
        <v>208</v>
      </c>
      <c r="G11" s="14" t="s">
        <v>508</v>
      </c>
      <c r="H11" s="35">
        <v>44</v>
      </c>
      <c r="I11" s="35">
        <f t="shared" si="0"/>
        <v>4</v>
      </c>
      <c r="J11" s="14" t="s">
        <v>21</v>
      </c>
      <c r="K11" s="16" t="s">
        <v>0</v>
      </c>
      <c r="L11" s="14" t="s">
        <v>0</v>
      </c>
      <c r="M11" s="14" t="s">
        <v>0</v>
      </c>
      <c r="N11" s="14" t="s">
        <v>141</v>
      </c>
      <c r="O11" s="14" t="s">
        <v>142</v>
      </c>
      <c r="P11" s="14" t="s">
        <v>114</v>
      </c>
      <c r="Q11" s="14" t="s">
        <v>115</v>
      </c>
      <c r="R11" s="14" t="s">
        <v>25</v>
      </c>
      <c r="S11" s="14" t="s">
        <v>467</v>
      </c>
    </row>
    <row r="12" spans="1:19" ht="60" customHeight="1" x14ac:dyDescent="0.2">
      <c r="A12" s="13" t="s">
        <v>371</v>
      </c>
      <c r="B12" s="14" t="s">
        <v>371</v>
      </c>
      <c r="C12" s="14" t="s">
        <v>373</v>
      </c>
      <c r="D12" s="14" t="s">
        <v>104</v>
      </c>
      <c r="E12" s="14" t="s">
        <v>105</v>
      </c>
      <c r="F12" s="14" t="s">
        <v>208</v>
      </c>
      <c r="G12" s="14" t="s">
        <v>509</v>
      </c>
      <c r="H12" s="35">
        <v>1106.4000000000001</v>
      </c>
      <c r="I12" s="35">
        <f t="shared" si="0"/>
        <v>100.58181818181819</v>
      </c>
      <c r="J12" s="14" t="s">
        <v>21</v>
      </c>
      <c r="K12" s="16" t="s">
        <v>0</v>
      </c>
      <c r="L12" s="14" t="s">
        <v>0</v>
      </c>
      <c r="M12" s="14" t="s">
        <v>92</v>
      </c>
      <c r="N12" s="14" t="s">
        <v>373</v>
      </c>
      <c r="O12" s="14" t="s">
        <v>374</v>
      </c>
      <c r="P12" s="14" t="s">
        <v>287</v>
      </c>
      <c r="Q12" s="14" t="s">
        <v>375</v>
      </c>
      <c r="R12" s="14" t="s">
        <v>25</v>
      </c>
      <c r="S12" s="14" t="s">
        <v>376</v>
      </c>
    </row>
    <row r="13" spans="1:19" ht="60" customHeight="1" x14ac:dyDescent="0.2">
      <c r="A13" s="13" t="s">
        <v>365</v>
      </c>
      <c r="B13" s="14" t="s">
        <v>362</v>
      </c>
      <c r="C13" s="14" t="s">
        <v>367</v>
      </c>
      <c r="D13" s="14" t="s">
        <v>32</v>
      </c>
      <c r="E13" s="14" t="s">
        <v>33</v>
      </c>
      <c r="F13" s="14" t="s">
        <v>208</v>
      </c>
      <c r="G13" s="14" t="s">
        <v>219</v>
      </c>
      <c r="H13" s="35">
        <v>20.82</v>
      </c>
      <c r="I13" s="35">
        <f t="shared" si="0"/>
        <v>1.8927272727272728</v>
      </c>
      <c r="J13" s="14" t="s">
        <v>21</v>
      </c>
      <c r="K13" s="16" t="s">
        <v>0</v>
      </c>
      <c r="L13" s="14" t="s">
        <v>0</v>
      </c>
      <c r="M13" s="14" t="s">
        <v>0</v>
      </c>
      <c r="N13" s="14" t="s">
        <v>367</v>
      </c>
      <c r="O13" s="14" t="s">
        <v>126</v>
      </c>
      <c r="P13" s="14" t="s">
        <v>127</v>
      </c>
      <c r="Q13" s="14" t="s">
        <v>128</v>
      </c>
      <c r="R13" s="14" t="s">
        <v>25</v>
      </c>
      <c r="S13" s="14" t="s">
        <v>368</v>
      </c>
    </row>
    <row r="14" spans="1:19" ht="60" customHeight="1" x14ac:dyDescent="0.2">
      <c r="A14" s="13" t="s">
        <v>355</v>
      </c>
      <c r="B14" s="14" t="s">
        <v>355</v>
      </c>
      <c r="C14" s="14" t="s">
        <v>356</v>
      </c>
      <c r="D14" s="14" t="s">
        <v>32</v>
      </c>
      <c r="E14" s="14" t="s">
        <v>33</v>
      </c>
      <c r="F14" s="14" t="s">
        <v>208</v>
      </c>
      <c r="G14" s="14" t="s">
        <v>507</v>
      </c>
      <c r="H14" s="35">
        <v>900</v>
      </c>
      <c r="I14" s="35">
        <f t="shared" si="0"/>
        <v>81.818181818181813</v>
      </c>
      <c r="J14" s="14" t="s">
        <v>21</v>
      </c>
      <c r="K14" s="16" t="s">
        <v>0</v>
      </c>
      <c r="L14" s="14" t="s">
        <v>0</v>
      </c>
      <c r="M14" s="14" t="s">
        <v>0</v>
      </c>
      <c r="N14" s="14" t="s">
        <v>356</v>
      </c>
      <c r="O14" s="14" t="s">
        <v>357</v>
      </c>
      <c r="P14" s="14" t="s">
        <v>23</v>
      </c>
      <c r="Q14" s="14" t="s">
        <v>24</v>
      </c>
      <c r="R14" s="14" t="s">
        <v>25</v>
      </c>
      <c r="S14" s="14" t="s">
        <v>358</v>
      </c>
    </row>
    <row r="15" spans="1:19" ht="60" customHeight="1" x14ac:dyDescent="0.2">
      <c r="A15" s="13" t="s">
        <v>348</v>
      </c>
      <c r="B15" s="14" t="s">
        <v>345</v>
      </c>
      <c r="C15" s="14" t="s">
        <v>19</v>
      </c>
      <c r="D15" s="14" t="s">
        <v>1</v>
      </c>
      <c r="E15" s="14" t="s">
        <v>20</v>
      </c>
      <c r="F15" s="14" t="s">
        <v>208</v>
      </c>
      <c r="G15" s="14" t="s">
        <v>217</v>
      </c>
      <c r="H15" s="35">
        <v>7.99</v>
      </c>
      <c r="I15" s="35">
        <f t="shared" si="0"/>
        <v>0.72636363636363643</v>
      </c>
      <c r="J15" s="14" t="s">
        <v>215</v>
      </c>
      <c r="K15" s="16" t="s">
        <v>0</v>
      </c>
      <c r="L15" s="14" t="s">
        <v>0</v>
      </c>
      <c r="M15" s="14" t="s">
        <v>0</v>
      </c>
      <c r="N15" s="14" t="s">
        <v>19</v>
      </c>
      <c r="O15" s="14" t="s">
        <v>22</v>
      </c>
      <c r="P15" s="14" t="s">
        <v>23</v>
      </c>
      <c r="Q15" s="14" t="s">
        <v>24</v>
      </c>
      <c r="R15" s="14" t="s">
        <v>25</v>
      </c>
      <c r="S15" s="14" t="s">
        <v>349</v>
      </c>
    </row>
    <row r="16" spans="1:19" ht="60" customHeight="1" x14ac:dyDescent="0.2">
      <c r="A16" s="13" t="s">
        <v>348</v>
      </c>
      <c r="B16" s="14" t="s">
        <v>348</v>
      </c>
      <c r="C16" s="14" t="s">
        <v>108</v>
      </c>
      <c r="D16" s="14" t="s">
        <v>32</v>
      </c>
      <c r="E16" s="14" t="s">
        <v>33</v>
      </c>
      <c r="F16" s="14" t="s">
        <v>208</v>
      </c>
      <c r="G16" s="14" t="s">
        <v>213</v>
      </c>
      <c r="H16" s="35">
        <v>108.9</v>
      </c>
      <c r="I16" s="35">
        <f t="shared" si="0"/>
        <v>9.9</v>
      </c>
      <c r="J16" s="14" t="s">
        <v>21</v>
      </c>
      <c r="K16" s="16" t="s">
        <v>0</v>
      </c>
      <c r="L16" s="14" t="s">
        <v>0</v>
      </c>
      <c r="M16" s="14" t="s">
        <v>0</v>
      </c>
      <c r="N16" s="14" t="s">
        <v>108</v>
      </c>
      <c r="O16" s="14" t="s">
        <v>109</v>
      </c>
      <c r="P16" s="14" t="s">
        <v>86</v>
      </c>
      <c r="Q16" s="14" t="s">
        <v>87</v>
      </c>
      <c r="R16" s="14" t="s">
        <v>25</v>
      </c>
      <c r="S16" s="14" t="s">
        <v>350</v>
      </c>
    </row>
    <row r="17" spans="1:19" ht="60" customHeight="1" x14ac:dyDescent="0.2">
      <c r="A17" s="13" t="s">
        <v>345</v>
      </c>
      <c r="B17" s="14" t="s">
        <v>343</v>
      </c>
      <c r="C17" s="14" t="s">
        <v>155</v>
      </c>
      <c r="D17" s="14" t="s">
        <v>1</v>
      </c>
      <c r="E17" s="14" t="s">
        <v>147</v>
      </c>
      <c r="F17" s="40" t="s">
        <v>208</v>
      </c>
      <c r="G17" s="14" t="s">
        <v>214</v>
      </c>
      <c r="H17" s="35">
        <v>30</v>
      </c>
      <c r="I17" s="35">
        <f t="shared" si="0"/>
        <v>2.7272727272727271</v>
      </c>
      <c r="J17" s="14" t="s">
        <v>21</v>
      </c>
      <c r="K17" s="16" t="s">
        <v>0</v>
      </c>
      <c r="L17" s="14" t="s">
        <v>0</v>
      </c>
      <c r="M17" s="14" t="s">
        <v>0</v>
      </c>
      <c r="N17" s="14" t="s">
        <v>155</v>
      </c>
      <c r="O17" s="14" t="s">
        <v>156</v>
      </c>
      <c r="P17" s="14" t="s">
        <v>23</v>
      </c>
      <c r="Q17" s="14" t="s">
        <v>24</v>
      </c>
      <c r="R17" s="14" t="s">
        <v>25</v>
      </c>
      <c r="S17" s="14" t="s">
        <v>450</v>
      </c>
    </row>
    <row r="18" spans="1:19" ht="60" customHeight="1" x14ac:dyDescent="0.2">
      <c r="A18" s="13" t="s">
        <v>345</v>
      </c>
      <c r="B18" s="14" t="s">
        <v>345</v>
      </c>
      <c r="C18" s="14" t="s">
        <v>103</v>
      </c>
      <c r="D18" s="14" t="s">
        <v>104</v>
      </c>
      <c r="E18" s="14" t="s">
        <v>105</v>
      </c>
      <c r="F18" s="14" t="s">
        <v>208</v>
      </c>
      <c r="G18" s="14" t="s">
        <v>220</v>
      </c>
      <c r="H18" s="35">
        <v>33.700000000000003</v>
      </c>
      <c r="I18" s="35">
        <f t="shared" si="0"/>
        <v>3.0636363636363639</v>
      </c>
      <c r="J18" s="14" t="s">
        <v>21</v>
      </c>
      <c r="K18" s="16" t="s">
        <v>0</v>
      </c>
      <c r="L18" s="14" t="s">
        <v>0</v>
      </c>
      <c r="M18" s="14" t="s">
        <v>0</v>
      </c>
      <c r="N18" s="14" t="s">
        <v>103</v>
      </c>
      <c r="O18" s="14" t="s">
        <v>106</v>
      </c>
      <c r="P18" s="14" t="s">
        <v>23</v>
      </c>
      <c r="Q18" s="14" t="s">
        <v>24</v>
      </c>
      <c r="R18" s="14" t="s">
        <v>25</v>
      </c>
      <c r="S18" s="14" t="s">
        <v>347</v>
      </c>
    </row>
    <row r="19" spans="1:19" ht="60" customHeight="1" x14ac:dyDescent="0.2">
      <c r="A19" s="41">
        <v>45642</v>
      </c>
      <c r="B19" s="10"/>
      <c r="C19" s="10" t="s">
        <v>502</v>
      </c>
      <c r="D19" s="11" t="s">
        <v>503</v>
      </c>
      <c r="E19" s="10" t="s">
        <v>475</v>
      </c>
      <c r="F19" s="10" t="s">
        <v>208</v>
      </c>
      <c r="G19" s="10" t="s">
        <v>504</v>
      </c>
      <c r="H19" s="35">
        <v>0.11</v>
      </c>
      <c r="I19" s="35">
        <f t="shared" si="0"/>
        <v>0.01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60" customHeight="1" x14ac:dyDescent="0.2">
      <c r="A20" s="13" t="s">
        <v>326</v>
      </c>
      <c r="B20" s="14" t="s">
        <v>323</v>
      </c>
      <c r="C20" s="14" t="s">
        <v>19</v>
      </c>
      <c r="D20" s="14" t="s">
        <v>1</v>
      </c>
      <c r="E20" s="14" t="s">
        <v>20</v>
      </c>
      <c r="F20" s="14" t="s">
        <v>208</v>
      </c>
      <c r="G20" s="14" t="s">
        <v>213</v>
      </c>
      <c r="H20" s="35">
        <v>45.97</v>
      </c>
      <c r="I20" s="35">
        <f t="shared" si="0"/>
        <v>4.1790909090909087</v>
      </c>
      <c r="J20" s="14" t="s">
        <v>21</v>
      </c>
      <c r="K20" s="16" t="s">
        <v>0</v>
      </c>
      <c r="L20" s="14" t="s">
        <v>0</v>
      </c>
      <c r="M20" s="14" t="s">
        <v>0</v>
      </c>
      <c r="N20" s="14" t="s">
        <v>19</v>
      </c>
      <c r="O20" s="14" t="s">
        <v>22</v>
      </c>
      <c r="P20" s="14" t="s">
        <v>23</v>
      </c>
      <c r="Q20" s="14" t="s">
        <v>24</v>
      </c>
      <c r="R20" s="14" t="s">
        <v>25</v>
      </c>
      <c r="S20" s="14" t="s">
        <v>327</v>
      </c>
    </row>
    <row r="21" spans="1:19" ht="60" customHeight="1" x14ac:dyDescent="0.2">
      <c r="A21" s="8">
        <v>45645</v>
      </c>
      <c r="B21" s="9"/>
      <c r="C21" s="10" t="s">
        <v>492</v>
      </c>
      <c r="D21" s="11">
        <v>465083897</v>
      </c>
      <c r="E21" s="10" t="s">
        <v>203</v>
      </c>
      <c r="F21" s="14" t="s">
        <v>208</v>
      </c>
      <c r="G21" s="10" t="s">
        <v>213</v>
      </c>
      <c r="H21" s="12">
        <v>264.88</v>
      </c>
      <c r="I21" s="35">
        <f t="shared" si="0"/>
        <v>24.08</v>
      </c>
      <c r="J21" s="10" t="s">
        <v>204</v>
      </c>
      <c r="K21" s="10">
        <v>14064.2</v>
      </c>
      <c r="L21" s="10" t="s">
        <v>205</v>
      </c>
      <c r="M21" s="10">
        <v>112879</v>
      </c>
      <c r="N21" s="10">
        <v>908</v>
      </c>
      <c r="O21" s="10"/>
      <c r="P21" s="10"/>
      <c r="Q21" s="10"/>
      <c r="R21" s="10"/>
      <c r="S21" s="10"/>
    </row>
    <row r="22" spans="1:19" ht="60" customHeight="1" x14ac:dyDescent="0.2">
      <c r="A22" s="8">
        <v>45646</v>
      </c>
      <c r="B22" s="9"/>
      <c r="C22" s="10" t="s">
        <v>493</v>
      </c>
      <c r="D22" s="11">
        <v>465083897</v>
      </c>
      <c r="E22" s="10" t="s">
        <v>203</v>
      </c>
      <c r="F22" s="10" t="s">
        <v>208</v>
      </c>
      <c r="G22" s="10" t="s">
        <v>511</v>
      </c>
      <c r="H22" s="12">
        <v>417.73</v>
      </c>
      <c r="I22" s="35">
        <f t="shared" si="0"/>
        <v>37.975454545454546</v>
      </c>
      <c r="J22" s="10" t="s">
        <v>204</v>
      </c>
      <c r="K22" s="10">
        <v>22086.39</v>
      </c>
      <c r="L22" s="10" t="s">
        <v>205</v>
      </c>
      <c r="M22" s="10">
        <v>112879</v>
      </c>
      <c r="N22" s="10">
        <v>946</v>
      </c>
      <c r="O22" s="10"/>
      <c r="P22" s="10"/>
      <c r="Q22" s="10"/>
      <c r="R22" s="10"/>
      <c r="S22" s="10"/>
    </row>
    <row r="23" spans="1:19" ht="60" customHeight="1" x14ac:dyDescent="0.2">
      <c r="A23" s="8">
        <v>45646</v>
      </c>
      <c r="B23" s="9"/>
      <c r="C23" s="10" t="s">
        <v>494</v>
      </c>
      <c r="D23" s="11">
        <v>465083897</v>
      </c>
      <c r="E23" s="10" t="s">
        <v>203</v>
      </c>
      <c r="F23" s="10" t="s">
        <v>208</v>
      </c>
      <c r="G23" s="10" t="s">
        <v>223</v>
      </c>
      <c r="H23" s="12">
        <v>2662.61</v>
      </c>
      <c r="I23" s="35">
        <f t="shared" si="0"/>
        <v>242.05545454545455</v>
      </c>
      <c r="J23" s="10" t="s">
        <v>204</v>
      </c>
      <c r="K23" s="10">
        <v>19423.78</v>
      </c>
      <c r="L23" s="10" t="s">
        <v>205</v>
      </c>
      <c r="M23" s="10">
        <v>112879</v>
      </c>
      <c r="N23" s="10">
        <v>946</v>
      </c>
      <c r="O23" s="10"/>
      <c r="P23" s="10"/>
      <c r="Q23" s="10"/>
      <c r="R23" s="10"/>
      <c r="S23" s="10"/>
    </row>
    <row r="24" spans="1:19" ht="60" customHeight="1" x14ac:dyDescent="0.2">
      <c r="A24" s="8">
        <v>45646</v>
      </c>
      <c r="B24" s="9"/>
      <c r="C24" s="10" t="s">
        <v>495</v>
      </c>
      <c r="D24" s="11">
        <v>465083897</v>
      </c>
      <c r="E24" s="10" t="s">
        <v>203</v>
      </c>
      <c r="F24" s="10" t="s">
        <v>208</v>
      </c>
      <c r="G24" s="10" t="s">
        <v>224</v>
      </c>
      <c r="H24" s="12">
        <v>7001.5</v>
      </c>
      <c r="I24" s="35">
        <f t="shared" si="0"/>
        <v>636.5</v>
      </c>
      <c r="J24" s="10" t="s">
        <v>204</v>
      </c>
      <c r="K24" s="10">
        <v>12422.28</v>
      </c>
      <c r="L24" s="10" t="s">
        <v>205</v>
      </c>
      <c r="M24" s="10">
        <v>112879</v>
      </c>
      <c r="N24" s="10">
        <v>946</v>
      </c>
      <c r="O24" s="10"/>
      <c r="P24" s="10"/>
      <c r="Q24" s="10"/>
      <c r="R24" s="10"/>
      <c r="S24" s="10"/>
    </row>
    <row r="25" spans="1:19" ht="60" customHeight="1" x14ac:dyDescent="0.2">
      <c r="A25" s="13" t="s">
        <v>311</v>
      </c>
      <c r="B25" s="14" t="s">
        <v>311</v>
      </c>
      <c r="C25" s="14" t="s">
        <v>19</v>
      </c>
      <c r="D25" s="14" t="s">
        <v>1</v>
      </c>
      <c r="E25" s="14" t="s">
        <v>20</v>
      </c>
      <c r="F25" s="14" t="s">
        <v>208</v>
      </c>
      <c r="G25" s="14" t="s">
        <v>213</v>
      </c>
      <c r="H25" s="35">
        <v>4.49</v>
      </c>
      <c r="I25" s="35">
        <f t="shared" si="0"/>
        <v>0.4081818181818182</v>
      </c>
      <c r="J25" s="14" t="s">
        <v>21</v>
      </c>
      <c r="K25" s="16" t="s">
        <v>0</v>
      </c>
      <c r="L25" s="14" t="s">
        <v>0</v>
      </c>
      <c r="M25" s="14" t="s">
        <v>0</v>
      </c>
      <c r="N25" s="14" t="s">
        <v>19</v>
      </c>
      <c r="O25" s="14" t="s">
        <v>22</v>
      </c>
      <c r="P25" s="14" t="s">
        <v>23</v>
      </c>
      <c r="Q25" s="14" t="s">
        <v>24</v>
      </c>
      <c r="R25" s="14" t="s">
        <v>25</v>
      </c>
      <c r="S25" s="14" t="s">
        <v>314</v>
      </c>
    </row>
    <row r="26" spans="1:19" ht="60" customHeight="1" x14ac:dyDescent="0.2">
      <c r="A26" s="13" t="s">
        <v>311</v>
      </c>
      <c r="B26" s="14" t="s">
        <v>311</v>
      </c>
      <c r="C26" s="14" t="s">
        <v>19</v>
      </c>
      <c r="D26" s="14" t="s">
        <v>1</v>
      </c>
      <c r="E26" s="14" t="s">
        <v>20</v>
      </c>
      <c r="F26" s="14" t="s">
        <v>208</v>
      </c>
      <c r="G26" s="14" t="s">
        <v>213</v>
      </c>
      <c r="H26" s="35">
        <v>14.99</v>
      </c>
      <c r="I26" s="35">
        <f t="shared" si="0"/>
        <v>1.3627272727272728</v>
      </c>
      <c r="J26" s="14" t="s">
        <v>21</v>
      </c>
      <c r="K26" s="16" t="s">
        <v>0</v>
      </c>
      <c r="L26" s="14" t="s">
        <v>0</v>
      </c>
      <c r="M26" s="14" t="s">
        <v>0</v>
      </c>
      <c r="N26" s="14" t="s">
        <v>19</v>
      </c>
      <c r="O26" s="14" t="s">
        <v>22</v>
      </c>
      <c r="P26" s="14" t="s">
        <v>23</v>
      </c>
      <c r="Q26" s="14" t="s">
        <v>24</v>
      </c>
      <c r="R26" s="14" t="s">
        <v>25</v>
      </c>
      <c r="S26" s="14" t="s">
        <v>315</v>
      </c>
    </row>
    <row r="27" spans="1:19" ht="60" customHeight="1" x14ac:dyDescent="0.2">
      <c r="A27" s="13" t="s">
        <v>311</v>
      </c>
      <c r="B27" s="14" t="s">
        <v>312</v>
      </c>
      <c r="C27" s="14" t="s">
        <v>19</v>
      </c>
      <c r="D27" s="14" t="s">
        <v>1</v>
      </c>
      <c r="E27" s="14" t="s">
        <v>20</v>
      </c>
      <c r="F27" s="14" t="s">
        <v>208</v>
      </c>
      <c r="G27" s="14" t="s">
        <v>213</v>
      </c>
      <c r="H27" s="35">
        <v>20.49</v>
      </c>
      <c r="I27" s="35">
        <f t="shared" si="0"/>
        <v>1.8627272727272726</v>
      </c>
      <c r="J27" s="14" t="s">
        <v>21</v>
      </c>
      <c r="K27" s="16" t="s">
        <v>0</v>
      </c>
      <c r="L27" s="14" t="s">
        <v>0</v>
      </c>
      <c r="M27" s="14" t="s">
        <v>0</v>
      </c>
      <c r="N27" s="14" t="s">
        <v>19</v>
      </c>
      <c r="O27" s="14" t="s">
        <v>22</v>
      </c>
      <c r="P27" s="14" t="s">
        <v>23</v>
      </c>
      <c r="Q27" s="14" t="s">
        <v>24</v>
      </c>
      <c r="R27" s="14" t="s">
        <v>25</v>
      </c>
      <c r="S27" s="14" t="s">
        <v>316</v>
      </c>
    </row>
    <row r="28" spans="1:19" ht="60" customHeight="1" x14ac:dyDescent="0.2">
      <c r="A28" s="13" t="s">
        <v>312</v>
      </c>
      <c r="B28" s="14" t="s">
        <v>293</v>
      </c>
      <c r="C28" s="14" t="s">
        <v>155</v>
      </c>
      <c r="D28" s="14" t="s">
        <v>1</v>
      </c>
      <c r="E28" s="14" t="s">
        <v>147</v>
      </c>
      <c r="F28" s="14" t="s">
        <v>208</v>
      </c>
      <c r="G28" s="14" t="s">
        <v>214</v>
      </c>
      <c r="H28" s="35">
        <v>30</v>
      </c>
      <c r="I28" s="35">
        <f t="shared" si="0"/>
        <v>2.7272727272727271</v>
      </c>
      <c r="J28" s="14" t="s">
        <v>21</v>
      </c>
      <c r="K28" s="16" t="s">
        <v>0</v>
      </c>
      <c r="L28" s="14" t="s">
        <v>0</v>
      </c>
      <c r="M28" s="14" t="s">
        <v>0</v>
      </c>
      <c r="N28" s="14" t="s">
        <v>155</v>
      </c>
      <c r="O28" s="14" t="s">
        <v>156</v>
      </c>
      <c r="P28" s="14" t="s">
        <v>23</v>
      </c>
      <c r="Q28" s="14" t="s">
        <v>24</v>
      </c>
      <c r="R28" s="14" t="s">
        <v>25</v>
      </c>
      <c r="S28" s="14" t="s">
        <v>446</v>
      </c>
    </row>
    <row r="29" spans="1:19" ht="60" customHeight="1" x14ac:dyDescent="0.2">
      <c r="A29" s="13" t="s">
        <v>312</v>
      </c>
      <c r="B29" s="14" t="s">
        <v>312</v>
      </c>
      <c r="C29" s="14" t="s">
        <v>157</v>
      </c>
      <c r="D29" s="14" t="s">
        <v>1</v>
      </c>
      <c r="E29" s="14" t="s">
        <v>147</v>
      </c>
      <c r="F29" s="14" t="s">
        <v>208</v>
      </c>
      <c r="G29" s="14" t="s">
        <v>213</v>
      </c>
      <c r="H29" s="35">
        <v>89.95</v>
      </c>
      <c r="I29" s="35">
        <f t="shared" si="0"/>
        <v>8.1772727272727277</v>
      </c>
      <c r="J29" s="14" t="s">
        <v>21</v>
      </c>
      <c r="K29" s="16" t="s">
        <v>0</v>
      </c>
      <c r="L29" s="14" t="s">
        <v>0</v>
      </c>
      <c r="M29" s="14" t="s">
        <v>0</v>
      </c>
      <c r="N29" s="14" t="s">
        <v>157</v>
      </c>
      <c r="O29" s="14" t="s">
        <v>158</v>
      </c>
      <c r="P29" s="14" t="s">
        <v>159</v>
      </c>
      <c r="Q29" s="14" t="s">
        <v>160</v>
      </c>
      <c r="R29" s="14" t="s">
        <v>25</v>
      </c>
      <c r="S29" s="14" t="s">
        <v>447</v>
      </c>
    </row>
    <row r="30" spans="1:19" ht="60" customHeight="1" x14ac:dyDescent="0.2">
      <c r="A30" s="13" t="s">
        <v>293</v>
      </c>
      <c r="B30" s="14" t="s">
        <v>278</v>
      </c>
      <c r="C30" s="14" t="s">
        <v>294</v>
      </c>
      <c r="D30" s="14" t="s">
        <v>32</v>
      </c>
      <c r="E30" s="14" t="s">
        <v>33</v>
      </c>
      <c r="F30" s="14" t="s">
        <v>208</v>
      </c>
      <c r="G30" s="14" t="s">
        <v>226</v>
      </c>
      <c r="H30" s="35">
        <v>711.36</v>
      </c>
      <c r="I30" s="35">
        <f t="shared" si="0"/>
        <v>64.669090909090912</v>
      </c>
      <c r="J30" s="14" t="s">
        <v>21</v>
      </c>
      <c r="K30" s="16" t="s">
        <v>0</v>
      </c>
      <c r="L30" s="14" t="s">
        <v>0</v>
      </c>
      <c r="M30" s="14" t="s">
        <v>295</v>
      </c>
      <c r="N30" s="14" t="s">
        <v>294</v>
      </c>
      <c r="O30" s="14" t="s">
        <v>296</v>
      </c>
      <c r="P30" s="14" t="s">
        <v>23</v>
      </c>
      <c r="Q30" s="14" t="s">
        <v>24</v>
      </c>
      <c r="R30" s="14" t="s">
        <v>25</v>
      </c>
      <c r="S30" s="14" t="s">
        <v>297</v>
      </c>
    </row>
    <row r="31" spans="1:19" ht="60" customHeight="1" x14ac:dyDescent="0.2">
      <c r="A31" s="13" t="s">
        <v>293</v>
      </c>
      <c r="B31" s="14" t="s">
        <v>278</v>
      </c>
      <c r="C31" s="14" t="s">
        <v>19</v>
      </c>
      <c r="D31" s="14" t="s">
        <v>1</v>
      </c>
      <c r="E31" s="14" t="s">
        <v>20</v>
      </c>
      <c r="F31" s="14" t="s">
        <v>208</v>
      </c>
      <c r="G31" s="14" t="s">
        <v>213</v>
      </c>
      <c r="H31" s="35">
        <v>4.49</v>
      </c>
      <c r="I31" s="35">
        <f t="shared" si="0"/>
        <v>0.4081818181818182</v>
      </c>
      <c r="J31" s="14" t="s">
        <v>21</v>
      </c>
      <c r="K31" s="16" t="s">
        <v>0</v>
      </c>
      <c r="L31" s="14" t="s">
        <v>0</v>
      </c>
      <c r="M31" s="14" t="s">
        <v>0</v>
      </c>
      <c r="N31" s="14" t="s">
        <v>19</v>
      </c>
      <c r="O31" s="14" t="s">
        <v>22</v>
      </c>
      <c r="P31" s="14" t="s">
        <v>23</v>
      </c>
      <c r="Q31" s="14" t="s">
        <v>24</v>
      </c>
      <c r="R31" s="14" t="s">
        <v>25</v>
      </c>
      <c r="S31" s="14" t="s">
        <v>298</v>
      </c>
    </row>
    <row r="32" spans="1:19" ht="60" customHeight="1" x14ac:dyDescent="0.2">
      <c r="A32" s="13" t="s">
        <v>293</v>
      </c>
      <c r="B32" s="14" t="s">
        <v>278</v>
      </c>
      <c r="C32" s="14" t="s">
        <v>300</v>
      </c>
      <c r="D32" s="14" t="s">
        <v>32</v>
      </c>
      <c r="E32" s="14" t="s">
        <v>33</v>
      </c>
      <c r="F32" s="14" t="s">
        <v>208</v>
      </c>
      <c r="G32" s="14" t="s">
        <v>516</v>
      </c>
      <c r="H32" s="35">
        <v>30</v>
      </c>
      <c r="I32" s="35">
        <f t="shared" si="0"/>
        <v>2.7272727272727271</v>
      </c>
      <c r="J32" s="14" t="s">
        <v>21</v>
      </c>
      <c r="K32" s="16" t="s">
        <v>0</v>
      </c>
      <c r="L32" s="14" t="s">
        <v>0</v>
      </c>
      <c r="M32" s="14" t="s">
        <v>301</v>
      </c>
      <c r="N32" s="14" t="s">
        <v>300</v>
      </c>
      <c r="O32" s="14" t="s">
        <v>302</v>
      </c>
      <c r="P32" s="14" t="s">
        <v>303</v>
      </c>
      <c r="Q32" s="14" t="s">
        <v>304</v>
      </c>
      <c r="R32" s="14" t="s">
        <v>25</v>
      </c>
      <c r="S32" s="14" t="s">
        <v>305</v>
      </c>
    </row>
    <row r="33" spans="1:19" ht="60" customHeight="1" x14ac:dyDescent="0.2">
      <c r="A33" s="13" t="s">
        <v>293</v>
      </c>
      <c r="B33" s="14" t="s">
        <v>278</v>
      </c>
      <c r="C33" s="14" t="s">
        <v>306</v>
      </c>
      <c r="D33" s="14" t="s">
        <v>32</v>
      </c>
      <c r="E33" s="14" t="s">
        <v>33</v>
      </c>
      <c r="F33" s="14" t="s">
        <v>208</v>
      </c>
      <c r="G33" s="14" t="s">
        <v>516</v>
      </c>
      <c r="H33" s="35">
        <v>3.93</v>
      </c>
      <c r="I33" s="35">
        <f t="shared" si="0"/>
        <v>0.3572727272727273</v>
      </c>
      <c r="J33" s="14" t="s">
        <v>21</v>
      </c>
      <c r="K33" s="16" t="s">
        <v>0</v>
      </c>
      <c r="L33" s="14" t="s">
        <v>0</v>
      </c>
      <c r="M33" s="14" t="s">
        <v>307</v>
      </c>
      <c r="N33" s="14" t="s">
        <v>306</v>
      </c>
      <c r="O33" s="14" t="s">
        <v>302</v>
      </c>
      <c r="P33" s="14" t="s">
        <v>303</v>
      </c>
      <c r="Q33" s="14" t="s">
        <v>304</v>
      </c>
      <c r="R33" s="14" t="s">
        <v>25</v>
      </c>
      <c r="S33" s="14" t="s">
        <v>308</v>
      </c>
    </row>
    <row r="34" spans="1:19" ht="60" customHeight="1" x14ac:dyDescent="0.2">
      <c r="A34" s="13" t="s">
        <v>293</v>
      </c>
      <c r="B34" s="14" t="s">
        <v>278</v>
      </c>
      <c r="C34" s="14" t="s">
        <v>306</v>
      </c>
      <c r="D34" s="14" t="s">
        <v>32</v>
      </c>
      <c r="E34" s="14" t="s">
        <v>33</v>
      </c>
      <c r="F34" s="14" t="s">
        <v>208</v>
      </c>
      <c r="G34" s="14" t="s">
        <v>516</v>
      </c>
      <c r="H34" s="35">
        <v>397.01</v>
      </c>
      <c r="I34" s="35">
        <f t="shared" si="0"/>
        <v>36.091818181818184</v>
      </c>
      <c r="J34" s="14" t="s">
        <v>21</v>
      </c>
      <c r="K34" s="16" t="s">
        <v>0</v>
      </c>
      <c r="L34" s="14" t="s">
        <v>0</v>
      </c>
      <c r="M34" s="14" t="s">
        <v>309</v>
      </c>
      <c r="N34" s="14" t="s">
        <v>306</v>
      </c>
      <c r="O34" s="14" t="s">
        <v>302</v>
      </c>
      <c r="P34" s="14" t="s">
        <v>303</v>
      </c>
      <c r="Q34" s="14" t="s">
        <v>304</v>
      </c>
      <c r="R34" s="14" t="s">
        <v>25</v>
      </c>
      <c r="S34" s="14" t="s">
        <v>310</v>
      </c>
    </row>
    <row r="35" spans="1:19" ht="60" customHeight="1" x14ac:dyDescent="0.2">
      <c r="A35" s="13" t="s">
        <v>278</v>
      </c>
      <c r="B35" s="14" t="s">
        <v>276</v>
      </c>
      <c r="C35" s="14" t="s">
        <v>19</v>
      </c>
      <c r="D35" s="14" t="s">
        <v>32</v>
      </c>
      <c r="E35" s="14" t="s">
        <v>33</v>
      </c>
      <c r="F35" s="14" t="s">
        <v>208</v>
      </c>
      <c r="G35" s="14" t="s">
        <v>213</v>
      </c>
      <c r="H35" s="35">
        <v>1.49</v>
      </c>
      <c r="I35" s="35">
        <f t="shared" si="0"/>
        <v>0.13545454545454547</v>
      </c>
      <c r="J35" s="14" t="s">
        <v>21</v>
      </c>
      <c r="K35" s="16" t="s">
        <v>0</v>
      </c>
      <c r="L35" s="14" t="s">
        <v>0</v>
      </c>
      <c r="M35" s="14" t="s">
        <v>0</v>
      </c>
      <c r="N35" s="14" t="s">
        <v>19</v>
      </c>
      <c r="O35" s="14" t="s">
        <v>22</v>
      </c>
      <c r="P35" s="14" t="s">
        <v>23</v>
      </c>
      <c r="Q35" s="14" t="s">
        <v>24</v>
      </c>
      <c r="R35" s="14" t="s">
        <v>25</v>
      </c>
      <c r="S35" s="14" t="s">
        <v>279</v>
      </c>
    </row>
    <row r="36" spans="1:19" ht="60" customHeight="1" x14ac:dyDescent="0.2">
      <c r="A36" s="13" t="s">
        <v>278</v>
      </c>
      <c r="B36" s="14" t="s">
        <v>278</v>
      </c>
      <c r="C36" s="14" t="s">
        <v>285</v>
      </c>
      <c r="D36" s="14" t="s">
        <v>32</v>
      </c>
      <c r="E36" s="14" t="s">
        <v>33</v>
      </c>
      <c r="F36" s="14" t="s">
        <v>208</v>
      </c>
      <c r="G36" s="14" t="s">
        <v>505</v>
      </c>
      <c r="H36" s="35">
        <v>2184.9</v>
      </c>
      <c r="I36" s="35">
        <f t="shared" si="0"/>
        <v>198.62727272727273</v>
      </c>
      <c r="J36" s="14" t="s">
        <v>21</v>
      </c>
      <c r="K36" s="16" t="s">
        <v>0</v>
      </c>
      <c r="L36" s="14" t="s">
        <v>0</v>
      </c>
      <c r="M36" s="14" t="s">
        <v>0</v>
      </c>
      <c r="N36" s="14" t="s">
        <v>285</v>
      </c>
      <c r="O36" s="14" t="s">
        <v>286</v>
      </c>
      <c r="P36" s="14" t="s">
        <v>287</v>
      </c>
      <c r="Q36" s="14" t="s">
        <v>288</v>
      </c>
      <c r="R36" s="14" t="s">
        <v>25</v>
      </c>
      <c r="S36" s="14" t="s">
        <v>289</v>
      </c>
    </row>
    <row r="37" spans="1:19" ht="60" customHeight="1" x14ac:dyDescent="0.2">
      <c r="A37" s="13" t="s">
        <v>276</v>
      </c>
      <c r="B37" s="14" t="s">
        <v>268</v>
      </c>
      <c r="C37" s="14" t="s">
        <v>19</v>
      </c>
      <c r="D37" s="14" t="s">
        <v>1</v>
      </c>
      <c r="E37" s="14" t="s">
        <v>20</v>
      </c>
      <c r="F37" s="14" t="s">
        <v>208</v>
      </c>
      <c r="G37" s="14" t="s">
        <v>213</v>
      </c>
      <c r="H37" s="35">
        <v>19</v>
      </c>
      <c r="I37" s="35">
        <f t="shared" si="0"/>
        <v>1.7272727272727273</v>
      </c>
      <c r="J37" s="14" t="s">
        <v>215</v>
      </c>
      <c r="K37" s="16" t="s">
        <v>0</v>
      </c>
      <c r="L37" s="14" t="s">
        <v>0</v>
      </c>
      <c r="M37" s="14" t="s">
        <v>0</v>
      </c>
      <c r="N37" s="14" t="s">
        <v>19</v>
      </c>
      <c r="O37" s="14" t="s">
        <v>22</v>
      </c>
      <c r="P37" s="14" t="s">
        <v>23</v>
      </c>
      <c r="Q37" s="14" t="s">
        <v>24</v>
      </c>
      <c r="R37" s="14" t="s">
        <v>25</v>
      </c>
      <c r="S37" s="14" t="s">
        <v>277</v>
      </c>
    </row>
    <row r="38" spans="1:19" ht="60" customHeight="1" x14ac:dyDescent="0.2">
      <c r="A38" s="13" t="s">
        <v>268</v>
      </c>
      <c r="B38" s="14" t="s">
        <v>261</v>
      </c>
      <c r="C38" s="14" t="s">
        <v>269</v>
      </c>
      <c r="D38" s="14" t="s">
        <v>32</v>
      </c>
      <c r="E38" s="14" t="s">
        <v>33</v>
      </c>
      <c r="F38" s="14" t="s">
        <v>208</v>
      </c>
      <c r="G38" s="14" t="s">
        <v>508</v>
      </c>
      <c r="H38" s="35">
        <v>438.9</v>
      </c>
      <c r="I38" s="35">
        <f t="shared" si="0"/>
        <v>39.9</v>
      </c>
      <c r="J38" s="14" t="s">
        <v>21</v>
      </c>
      <c r="K38" s="16" t="s">
        <v>0</v>
      </c>
      <c r="L38" s="14" t="s">
        <v>0</v>
      </c>
      <c r="M38" s="14" t="s">
        <v>0</v>
      </c>
      <c r="N38" s="14" t="s">
        <v>269</v>
      </c>
      <c r="O38" s="14" t="s">
        <v>270</v>
      </c>
      <c r="P38" s="14" t="s">
        <v>271</v>
      </c>
      <c r="Q38" s="14" t="s">
        <v>272</v>
      </c>
      <c r="R38" s="14" t="s">
        <v>25</v>
      </c>
      <c r="S38" s="14" t="s">
        <v>273</v>
      </c>
    </row>
    <row r="39" spans="1:19" ht="60" customHeight="1" x14ac:dyDescent="0.2">
      <c r="A39" s="13" t="s">
        <v>261</v>
      </c>
      <c r="B39" s="14" t="s">
        <v>249</v>
      </c>
      <c r="C39" s="14" t="s">
        <v>19</v>
      </c>
      <c r="D39" s="14" t="s">
        <v>32</v>
      </c>
      <c r="E39" s="14" t="s">
        <v>33</v>
      </c>
      <c r="F39" s="14" t="s">
        <v>208</v>
      </c>
      <c r="G39" s="14" t="s">
        <v>213</v>
      </c>
      <c r="H39" s="35">
        <v>39.99</v>
      </c>
      <c r="I39" s="35">
        <f t="shared" si="0"/>
        <v>3.6354545454545457</v>
      </c>
      <c r="J39" s="14" t="s">
        <v>21</v>
      </c>
      <c r="K39" s="16" t="s">
        <v>0</v>
      </c>
      <c r="L39" s="14" t="s">
        <v>0</v>
      </c>
      <c r="M39" s="14" t="s">
        <v>0</v>
      </c>
      <c r="N39" s="14" t="s">
        <v>19</v>
      </c>
      <c r="O39" s="14" t="s">
        <v>22</v>
      </c>
      <c r="P39" s="14" t="s">
        <v>23</v>
      </c>
      <c r="Q39" s="14" t="s">
        <v>24</v>
      </c>
      <c r="R39" s="14" t="s">
        <v>25</v>
      </c>
      <c r="S39" s="14" t="s">
        <v>263</v>
      </c>
    </row>
    <row r="40" spans="1:19" ht="60" customHeight="1" x14ac:dyDescent="0.2">
      <c r="A40" s="13" t="s">
        <v>249</v>
      </c>
      <c r="B40" s="14" t="s">
        <v>246</v>
      </c>
      <c r="C40" s="14" t="s">
        <v>19</v>
      </c>
      <c r="D40" s="14" t="s">
        <v>1</v>
      </c>
      <c r="E40" s="14" t="s">
        <v>20</v>
      </c>
      <c r="F40" s="14" t="s">
        <v>208</v>
      </c>
      <c r="G40" s="14" t="s">
        <v>213</v>
      </c>
      <c r="H40" s="35">
        <v>22.98</v>
      </c>
      <c r="I40" s="35">
        <f t="shared" si="0"/>
        <v>2.0890909090909093</v>
      </c>
      <c r="J40" s="14" t="s">
        <v>21</v>
      </c>
      <c r="K40" s="16" t="s">
        <v>0</v>
      </c>
      <c r="L40" s="14" t="s">
        <v>0</v>
      </c>
      <c r="M40" s="14" t="s">
        <v>0</v>
      </c>
      <c r="N40" s="14" t="s">
        <v>19</v>
      </c>
      <c r="O40" s="14" t="s">
        <v>22</v>
      </c>
      <c r="P40" s="14" t="s">
        <v>23</v>
      </c>
      <c r="Q40" s="14" t="s">
        <v>24</v>
      </c>
      <c r="R40" s="14" t="s">
        <v>25</v>
      </c>
      <c r="S40" s="14" t="s">
        <v>250</v>
      </c>
    </row>
    <row r="41" spans="1:19" ht="60" customHeight="1" x14ac:dyDescent="0.2">
      <c r="A41" s="13" t="s">
        <v>249</v>
      </c>
      <c r="B41" s="14" t="s">
        <v>246</v>
      </c>
      <c r="C41" s="14" t="s">
        <v>442</v>
      </c>
      <c r="D41" s="14" t="s">
        <v>1</v>
      </c>
      <c r="E41" s="14" t="s">
        <v>147</v>
      </c>
      <c r="F41" s="14" t="s">
        <v>208</v>
      </c>
      <c r="G41" s="14" t="s">
        <v>219</v>
      </c>
      <c r="H41" s="35">
        <v>108.96</v>
      </c>
      <c r="I41" s="35">
        <f t="shared" si="0"/>
        <v>9.9054545454545444</v>
      </c>
      <c r="J41" s="14" t="s">
        <v>21</v>
      </c>
      <c r="K41" s="16" t="s">
        <v>0</v>
      </c>
      <c r="L41" s="14" t="s">
        <v>0</v>
      </c>
      <c r="M41" s="14" t="s">
        <v>0</v>
      </c>
      <c r="N41" s="14" t="s">
        <v>442</v>
      </c>
      <c r="O41" s="14" t="s">
        <v>126</v>
      </c>
      <c r="P41" s="14" t="s">
        <v>127</v>
      </c>
      <c r="Q41" s="14" t="s">
        <v>128</v>
      </c>
      <c r="R41" s="14" t="s">
        <v>25</v>
      </c>
      <c r="S41" s="14" t="s">
        <v>443</v>
      </c>
    </row>
    <row r="42" spans="1:19" ht="60" customHeight="1" x14ac:dyDescent="0.2">
      <c r="A42" s="13" t="s">
        <v>239</v>
      </c>
      <c r="B42" s="14" t="s">
        <v>239</v>
      </c>
      <c r="C42" s="14" t="s">
        <v>19</v>
      </c>
      <c r="D42" s="14" t="s">
        <v>1</v>
      </c>
      <c r="E42" s="14" t="s">
        <v>20</v>
      </c>
      <c r="F42" s="14" t="s">
        <v>208</v>
      </c>
      <c r="G42" s="14" t="s">
        <v>213</v>
      </c>
      <c r="H42" s="35">
        <v>1.49</v>
      </c>
      <c r="I42" s="35">
        <f t="shared" si="0"/>
        <v>0.13545454545454547</v>
      </c>
      <c r="J42" s="14" t="s">
        <v>21</v>
      </c>
      <c r="K42" s="16" t="s">
        <v>0</v>
      </c>
      <c r="L42" s="14" t="s">
        <v>0</v>
      </c>
      <c r="M42" s="14" t="s">
        <v>0</v>
      </c>
      <c r="N42" s="14" t="s">
        <v>19</v>
      </c>
      <c r="O42" s="14" t="s">
        <v>22</v>
      </c>
      <c r="P42" s="14" t="s">
        <v>23</v>
      </c>
      <c r="Q42" s="14" t="s">
        <v>24</v>
      </c>
      <c r="R42" s="14" t="s">
        <v>25</v>
      </c>
      <c r="S42" s="14" t="s">
        <v>240</v>
      </c>
    </row>
    <row r="43" spans="1:19" ht="60" customHeight="1" x14ac:dyDescent="0.2">
      <c r="A43" s="13" t="s">
        <v>18</v>
      </c>
      <c r="B43" s="14" t="s">
        <v>421</v>
      </c>
      <c r="C43" s="14" t="s">
        <v>133</v>
      </c>
      <c r="D43" s="14" t="s">
        <v>32</v>
      </c>
      <c r="E43" s="14" t="s">
        <v>33</v>
      </c>
      <c r="F43" s="14" t="s">
        <v>210</v>
      </c>
      <c r="G43" s="14" t="s">
        <v>213</v>
      </c>
      <c r="H43" s="35">
        <v>24.83</v>
      </c>
      <c r="I43" s="35"/>
      <c r="J43" s="14" t="s">
        <v>21</v>
      </c>
      <c r="K43" s="16" t="s">
        <v>0</v>
      </c>
      <c r="L43" s="14" t="s">
        <v>0</v>
      </c>
      <c r="M43" s="14" t="s">
        <v>0</v>
      </c>
      <c r="N43" s="14" t="s">
        <v>133</v>
      </c>
      <c r="O43" s="14" t="s">
        <v>134</v>
      </c>
      <c r="P43" s="14" t="s">
        <v>100</v>
      </c>
      <c r="Q43" s="14" t="s">
        <v>135</v>
      </c>
      <c r="R43" s="14" t="s">
        <v>102</v>
      </c>
      <c r="S43" s="14" t="s">
        <v>438</v>
      </c>
    </row>
    <row r="44" spans="1:19" ht="60" customHeight="1" x14ac:dyDescent="0.2">
      <c r="A44" s="13" t="s">
        <v>421</v>
      </c>
      <c r="B44" s="14" t="s">
        <v>421</v>
      </c>
      <c r="C44" s="14" t="s">
        <v>136</v>
      </c>
      <c r="D44" s="14" t="s">
        <v>104</v>
      </c>
      <c r="E44" s="14" t="s">
        <v>105</v>
      </c>
      <c r="F44" s="14" t="s">
        <v>210</v>
      </c>
      <c r="G44" s="14"/>
      <c r="H44" s="35">
        <v>188.63</v>
      </c>
      <c r="I44" s="35"/>
      <c r="J44" s="14" t="s">
        <v>21</v>
      </c>
      <c r="K44" s="16" t="s">
        <v>0</v>
      </c>
      <c r="L44" s="14" t="s">
        <v>0</v>
      </c>
      <c r="M44" s="14" t="s">
        <v>0</v>
      </c>
      <c r="N44" s="14" t="s">
        <v>136</v>
      </c>
      <c r="O44" s="14" t="s">
        <v>137</v>
      </c>
      <c r="P44" s="14" t="s">
        <v>138</v>
      </c>
      <c r="Q44" s="14" t="s">
        <v>139</v>
      </c>
      <c r="R44" s="14" t="s">
        <v>25</v>
      </c>
      <c r="S44" s="14" t="s">
        <v>422</v>
      </c>
    </row>
    <row r="45" spans="1:19" ht="60" customHeight="1" x14ac:dyDescent="0.2">
      <c r="A45" s="13" t="s">
        <v>421</v>
      </c>
      <c r="B45" s="14" t="s">
        <v>421</v>
      </c>
      <c r="C45" s="14" t="s">
        <v>136</v>
      </c>
      <c r="D45" s="14" t="s">
        <v>104</v>
      </c>
      <c r="E45" s="14" t="s">
        <v>105</v>
      </c>
      <c r="F45" s="14" t="s">
        <v>210</v>
      </c>
      <c r="G45" s="14" t="s">
        <v>221</v>
      </c>
      <c r="H45" s="35">
        <v>620.05999999999995</v>
      </c>
      <c r="I45" s="35"/>
      <c r="J45" s="14" t="s">
        <v>21</v>
      </c>
      <c r="K45" s="16" t="s">
        <v>0</v>
      </c>
      <c r="L45" s="14" t="s">
        <v>0</v>
      </c>
      <c r="M45" s="14" t="s">
        <v>0</v>
      </c>
      <c r="N45" s="14" t="s">
        <v>136</v>
      </c>
      <c r="O45" s="14" t="s">
        <v>137</v>
      </c>
      <c r="P45" s="14" t="s">
        <v>138</v>
      </c>
      <c r="Q45" s="14" t="s">
        <v>139</v>
      </c>
      <c r="R45" s="14" t="s">
        <v>25</v>
      </c>
      <c r="S45" s="14" t="s">
        <v>423</v>
      </c>
    </row>
    <row r="46" spans="1:19" ht="60" customHeight="1" x14ac:dyDescent="0.2">
      <c r="A46" s="13" t="s">
        <v>39</v>
      </c>
      <c r="B46" s="14" t="s">
        <v>401</v>
      </c>
      <c r="C46" s="14" t="s">
        <v>404</v>
      </c>
      <c r="D46" s="14" t="s">
        <v>32</v>
      </c>
      <c r="E46" s="14" t="s">
        <v>33</v>
      </c>
      <c r="F46" s="14" t="s">
        <v>210</v>
      </c>
      <c r="G46" s="14" t="s">
        <v>213</v>
      </c>
      <c r="H46" s="35">
        <v>35.11</v>
      </c>
      <c r="I46" s="35"/>
      <c r="J46" s="14" t="s">
        <v>21</v>
      </c>
      <c r="K46" s="16" t="s">
        <v>0</v>
      </c>
      <c r="L46" s="14" t="s">
        <v>0</v>
      </c>
      <c r="M46" s="14" t="s">
        <v>0</v>
      </c>
      <c r="N46" s="14" t="s">
        <v>404</v>
      </c>
      <c r="O46" s="14" t="s">
        <v>123</v>
      </c>
      <c r="P46" s="14" t="s">
        <v>0</v>
      </c>
      <c r="Q46" s="14" t="s">
        <v>124</v>
      </c>
      <c r="R46" s="14" t="s">
        <v>125</v>
      </c>
      <c r="S46" s="14" t="s">
        <v>405</v>
      </c>
    </row>
    <row r="47" spans="1:19" ht="60" customHeight="1" x14ac:dyDescent="0.2">
      <c r="A47" s="13" t="s">
        <v>39</v>
      </c>
      <c r="B47" s="14" t="s">
        <v>401</v>
      </c>
      <c r="C47" s="14" t="s">
        <v>406</v>
      </c>
      <c r="D47" s="14" t="s">
        <v>32</v>
      </c>
      <c r="E47" s="14" t="s">
        <v>33</v>
      </c>
      <c r="F47" s="14" t="s">
        <v>210</v>
      </c>
      <c r="G47" s="14" t="s">
        <v>213</v>
      </c>
      <c r="H47" s="35">
        <v>78.5</v>
      </c>
      <c r="I47" s="35"/>
      <c r="J47" s="14" t="s">
        <v>21</v>
      </c>
      <c r="K47" s="16" t="s">
        <v>0</v>
      </c>
      <c r="L47" s="14" t="s">
        <v>0</v>
      </c>
      <c r="M47" s="14" t="s">
        <v>0</v>
      </c>
      <c r="N47" s="14" t="s">
        <v>406</v>
      </c>
      <c r="O47" s="14" t="s">
        <v>123</v>
      </c>
      <c r="P47" s="14" t="s">
        <v>0</v>
      </c>
      <c r="Q47" s="14" t="s">
        <v>124</v>
      </c>
      <c r="R47" s="14" t="s">
        <v>125</v>
      </c>
      <c r="S47" s="14" t="s">
        <v>407</v>
      </c>
    </row>
    <row r="48" spans="1:19" ht="60" customHeight="1" x14ac:dyDescent="0.2">
      <c r="A48" s="13" t="s">
        <v>388</v>
      </c>
      <c r="B48" s="14" t="s">
        <v>386</v>
      </c>
      <c r="C48" s="14" t="s">
        <v>392</v>
      </c>
      <c r="D48" s="14" t="s">
        <v>104</v>
      </c>
      <c r="E48" s="14" t="s">
        <v>105</v>
      </c>
      <c r="F48" s="14" t="s">
        <v>210</v>
      </c>
      <c r="G48" s="14" t="s">
        <v>213</v>
      </c>
      <c r="H48" s="35">
        <v>363.08</v>
      </c>
      <c r="I48" s="35"/>
      <c r="J48" s="14" t="s">
        <v>393</v>
      </c>
      <c r="K48" s="16">
        <v>10.58</v>
      </c>
      <c r="L48" s="14" t="s">
        <v>0</v>
      </c>
      <c r="M48" s="14" t="s">
        <v>0</v>
      </c>
      <c r="N48" s="14" t="s">
        <v>392</v>
      </c>
      <c r="O48" s="14" t="s">
        <v>394</v>
      </c>
      <c r="P48" s="14" t="s">
        <v>395</v>
      </c>
      <c r="Q48" s="14" t="s">
        <v>396</v>
      </c>
      <c r="R48" s="14" t="s">
        <v>38</v>
      </c>
      <c r="S48" s="14" t="s">
        <v>397</v>
      </c>
    </row>
    <row r="49" spans="1:19" ht="60" customHeight="1" x14ac:dyDescent="0.2">
      <c r="A49" s="8">
        <v>45634</v>
      </c>
      <c r="B49" s="9"/>
      <c r="C49" s="10" t="s">
        <v>190</v>
      </c>
      <c r="D49" s="11" t="s">
        <v>185</v>
      </c>
      <c r="E49" s="10" t="s">
        <v>475</v>
      </c>
      <c r="F49" s="10" t="s">
        <v>210</v>
      </c>
      <c r="G49" s="9" t="s">
        <v>501</v>
      </c>
      <c r="H49" s="12">
        <v>32.03</v>
      </c>
      <c r="I49" s="12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60" customHeight="1" x14ac:dyDescent="0.2">
      <c r="A50" s="8">
        <v>45636</v>
      </c>
      <c r="B50" s="9"/>
      <c r="C50" s="10" t="s">
        <v>491</v>
      </c>
      <c r="D50" s="11">
        <v>465083897</v>
      </c>
      <c r="E50" s="10" t="s">
        <v>203</v>
      </c>
      <c r="F50" s="10" t="s">
        <v>210</v>
      </c>
      <c r="G50" s="10" t="s">
        <v>512</v>
      </c>
      <c r="H50" s="12">
        <v>140</v>
      </c>
      <c r="I50" s="12"/>
      <c r="J50" s="10" t="s">
        <v>204</v>
      </c>
      <c r="K50" s="10">
        <v>14329.08</v>
      </c>
      <c r="L50" s="10" t="s">
        <v>205</v>
      </c>
      <c r="M50" s="10">
        <v>112879</v>
      </c>
      <c r="N50" s="10">
        <v>946</v>
      </c>
      <c r="O50" s="10"/>
      <c r="P50" s="10"/>
      <c r="Q50" s="10"/>
      <c r="R50" s="10"/>
      <c r="S50" s="10"/>
    </row>
    <row r="51" spans="1:19" ht="60" customHeight="1" x14ac:dyDescent="0.2">
      <c r="A51" s="13" t="s">
        <v>369</v>
      </c>
      <c r="B51" s="14" t="s">
        <v>365</v>
      </c>
      <c r="C51" s="14" t="s">
        <v>462</v>
      </c>
      <c r="D51" s="14" t="s">
        <v>1</v>
      </c>
      <c r="E51" s="14" t="s">
        <v>147</v>
      </c>
      <c r="F51" s="14" t="s">
        <v>210</v>
      </c>
      <c r="G51" s="14" t="s">
        <v>213</v>
      </c>
      <c r="H51" s="35">
        <v>75.14</v>
      </c>
      <c r="I51" s="35"/>
      <c r="J51" s="14" t="s">
        <v>21</v>
      </c>
      <c r="K51" s="16" t="s">
        <v>0</v>
      </c>
      <c r="L51" s="14" t="s">
        <v>0</v>
      </c>
      <c r="M51" s="14" t="s">
        <v>0</v>
      </c>
      <c r="N51" s="14" t="s">
        <v>462</v>
      </c>
      <c r="O51" s="14" t="s">
        <v>463</v>
      </c>
      <c r="P51" s="14" t="s">
        <v>464</v>
      </c>
      <c r="Q51" s="14" t="s">
        <v>465</v>
      </c>
      <c r="R51" s="14" t="s">
        <v>38</v>
      </c>
      <c r="S51" s="14" t="s">
        <v>466</v>
      </c>
    </row>
    <row r="52" spans="1:19" ht="60" customHeight="1" x14ac:dyDescent="0.2">
      <c r="A52" s="13" t="s">
        <v>362</v>
      </c>
      <c r="B52" s="14" t="s">
        <v>352</v>
      </c>
      <c r="C52" s="14" t="s">
        <v>165</v>
      </c>
      <c r="D52" s="14" t="s">
        <v>1</v>
      </c>
      <c r="E52" s="14" t="s">
        <v>147</v>
      </c>
      <c r="F52" s="14" t="s">
        <v>210</v>
      </c>
      <c r="G52" s="14" t="s">
        <v>213</v>
      </c>
      <c r="H52" s="35">
        <v>79.989999999999995</v>
      </c>
      <c r="I52" s="35"/>
      <c r="J52" s="14" t="s">
        <v>21</v>
      </c>
      <c r="K52" s="16" t="s">
        <v>0</v>
      </c>
      <c r="L52" s="14" t="s">
        <v>0</v>
      </c>
      <c r="M52" s="14" t="s">
        <v>0</v>
      </c>
      <c r="N52" s="14" t="s">
        <v>165</v>
      </c>
      <c r="O52" s="14" t="s">
        <v>166</v>
      </c>
      <c r="P52" s="14" t="s">
        <v>0</v>
      </c>
      <c r="Q52" s="14" t="s">
        <v>167</v>
      </c>
      <c r="R52" s="14" t="s">
        <v>30</v>
      </c>
      <c r="S52" s="14" t="s">
        <v>455</v>
      </c>
    </row>
    <row r="53" spans="1:19" ht="60" customHeight="1" x14ac:dyDescent="0.2">
      <c r="A53" s="13" t="s">
        <v>362</v>
      </c>
      <c r="B53" s="14" t="s">
        <v>355</v>
      </c>
      <c r="C53" s="14" t="s">
        <v>73</v>
      </c>
      <c r="D53" s="14" t="s">
        <v>32</v>
      </c>
      <c r="E53" s="14" t="s">
        <v>33</v>
      </c>
      <c r="F53" s="14" t="s">
        <v>210</v>
      </c>
      <c r="G53" s="14" t="s">
        <v>212</v>
      </c>
      <c r="H53" s="35">
        <v>-9.9</v>
      </c>
      <c r="I53" s="35"/>
      <c r="J53" s="14" t="s">
        <v>21</v>
      </c>
      <c r="K53" s="16" t="s">
        <v>0</v>
      </c>
      <c r="L53" s="14" t="s">
        <v>0</v>
      </c>
      <c r="M53" s="14" t="s">
        <v>0</v>
      </c>
      <c r="N53" s="14" t="s">
        <v>73</v>
      </c>
      <c r="O53" s="14" t="s">
        <v>74</v>
      </c>
      <c r="P53" s="14" t="s">
        <v>75</v>
      </c>
      <c r="Q53" s="14" t="s">
        <v>76</v>
      </c>
      <c r="R53" s="14" t="s">
        <v>25</v>
      </c>
      <c r="S53" s="14" t="s">
        <v>363</v>
      </c>
    </row>
    <row r="54" spans="1:19" ht="60" customHeight="1" x14ac:dyDescent="0.2">
      <c r="A54" s="13" t="s">
        <v>355</v>
      </c>
      <c r="B54" s="14" t="s">
        <v>355</v>
      </c>
      <c r="C54" s="14" t="s">
        <v>168</v>
      </c>
      <c r="D54" s="14" t="s">
        <v>1</v>
      </c>
      <c r="E54" s="14" t="s">
        <v>147</v>
      </c>
      <c r="F54" s="14" t="s">
        <v>210</v>
      </c>
      <c r="G54" s="14" t="s">
        <v>501</v>
      </c>
      <c r="H54" s="35">
        <v>26.1</v>
      </c>
      <c r="I54" s="35"/>
      <c r="J54" s="14" t="s">
        <v>21</v>
      </c>
      <c r="K54" s="16" t="s">
        <v>0</v>
      </c>
      <c r="L54" s="14" t="s">
        <v>0</v>
      </c>
      <c r="M54" s="14" t="s">
        <v>0</v>
      </c>
      <c r="N54" s="14" t="s">
        <v>168</v>
      </c>
      <c r="O54" s="14" t="s">
        <v>0</v>
      </c>
      <c r="P54" s="14" t="s">
        <v>0</v>
      </c>
      <c r="Q54" s="14" t="s">
        <v>0</v>
      </c>
      <c r="R54" s="14" t="s">
        <v>0</v>
      </c>
      <c r="S54" s="14" t="s">
        <v>453</v>
      </c>
    </row>
    <row r="55" spans="1:19" ht="60" customHeight="1" x14ac:dyDescent="0.2">
      <c r="A55" s="13" t="s">
        <v>348</v>
      </c>
      <c r="B55" s="14" t="s">
        <v>345</v>
      </c>
      <c r="C55" s="14" t="s">
        <v>451</v>
      </c>
      <c r="D55" s="14" t="s">
        <v>1</v>
      </c>
      <c r="E55" s="14" t="s">
        <v>147</v>
      </c>
      <c r="F55" s="14" t="s">
        <v>210</v>
      </c>
      <c r="G55" s="14" t="s">
        <v>213</v>
      </c>
      <c r="H55" s="35">
        <v>35.6</v>
      </c>
      <c r="I55" s="35"/>
      <c r="J55" s="14" t="s">
        <v>161</v>
      </c>
      <c r="K55" s="16">
        <v>1.04</v>
      </c>
      <c r="L55" s="14" t="s">
        <v>0</v>
      </c>
      <c r="M55" s="14" t="s">
        <v>0</v>
      </c>
      <c r="N55" s="14" t="s">
        <v>451</v>
      </c>
      <c r="O55" s="14" t="s">
        <v>162</v>
      </c>
      <c r="P55" s="14" t="s">
        <v>0</v>
      </c>
      <c r="Q55" s="14" t="s">
        <v>163</v>
      </c>
      <c r="R55" s="14" t="s">
        <v>164</v>
      </c>
      <c r="S55" s="14" t="s">
        <v>452</v>
      </c>
    </row>
    <row r="56" spans="1:19" ht="60" customHeight="1" x14ac:dyDescent="0.2">
      <c r="A56" s="8">
        <v>45642</v>
      </c>
      <c r="B56" s="18"/>
      <c r="C56" s="10" t="s">
        <v>488</v>
      </c>
      <c r="D56" s="11" t="s">
        <v>191</v>
      </c>
      <c r="E56" s="10" t="s">
        <v>486</v>
      </c>
      <c r="F56" s="10" t="s">
        <v>210</v>
      </c>
      <c r="G56" s="10" t="s">
        <v>506</v>
      </c>
      <c r="H56" s="12">
        <v>52</v>
      </c>
      <c r="I56" s="12"/>
      <c r="J56" s="10" t="s">
        <v>191</v>
      </c>
      <c r="K56" s="10" t="s">
        <v>21</v>
      </c>
      <c r="L56" s="10" t="s">
        <v>192</v>
      </c>
      <c r="M56" s="10"/>
      <c r="N56" s="10">
        <v>-3996.62</v>
      </c>
      <c r="O56" s="10" t="s">
        <v>489</v>
      </c>
      <c r="P56" s="10" t="s">
        <v>490</v>
      </c>
      <c r="Q56" s="10"/>
      <c r="R56" s="10"/>
      <c r="S56" s="10"/>
    </row>
    <row r="57" spans="1:19" ht="60" customHeight="1" x14ac:dyDescent="0.2">
      <c r="A57" s="13" t="s">
        <v>345</v>
      </c>
      <c r="B57" s="14" t="s">
        <v>345</v>
      </c>
      <c r="C57" s="14" t="s">
        <v>110</v>
      </c>
      <c r="D57" s="14" t="s">
        <v>104</v>
      </c>
      <c r="E57" s="14" t="s">
        <v>105</v>
      </c>
      <c r="F57" s="14" t="s">
        <v>210</v>
      </c>
      <c r="G57" s="14" t="s">
        <v>213</v>
      </c>
      <c r="H57" s="35">
        <v>155.36000000000001</v>
      </c>
      <c r="I57" s="35"/>
      <c r="J57" s="14" t="s">
        <v>21</v>
      </c>
      <c r="K57" s="16" t="s">
        <v>0</v>
      </c>
      <c r="L57" s="14" t="s">
        <v>0</v>
      </c>
      <c r="M57" s="14" t="s">
        <v>0</v>
      </c>
      <c r="N57" s="14" t="s">
        <v>110</v>
      </c>
      <c r="O57" s="14" t="s">
        <v>111</v>
      </c>
      <c r="P57" s="14" t="s">
        <v>112</v>
      </c>
      <c r="Q57" s="14" t="s">
        <v>113</v>
      </c>
      <c r="R57" s="14" t="s">
        <v>25</v>
      </c>
      <c r="S57" s="14" t="s">
        <v>346</v>
      </c>
    </row>
    <row r="58" spans="1:19" ht="60" customHeight="1" x14ac:dyDescent="0.2">
      <c r="A58" s="13" t="s">
        <v>340</v>
      </c>
      <c r="B58" s="14" t="s">
        <v>326</v>
      </c>
      <c r="C58" s="14" t="s">
        <v>97</v>
      </c>
      <c r="D58" s="14" t="s">
        <v>32</v>
      </c>
      <c r="E58" s="14" t="s">
        <v>33</v>
      </c>
      <c r="F58" s="14" t="s">
        <v>210</v>
      </c>
      <c r="G58" s="14" t="s">
        <v>213</v>
      </c>
      <c r="H58" s="35">
        <v>170.74</v>
      </c>
      <c r="I58" s="35"/>
      <c r="J58" s="14" t="s">
        <v>98</v>
      </c>
      <c r="K58" s="16">
        <v>4.97</v>
      </c>
      <c r="L58" s="14" t="s">
        <v>0</v>
      </c>
      <c r="M58" s="14" t="s">
        <v>0</v>
      </c>
      <c r="N58" s="14" t="s">
        <v>97</v>
      </c>
      <c r="O58" s="14" t="s">
        <v>99</v>
      </c>
      <c r="P58" s="14" t="s">
        <v>100</v>
      </c>
      <c r="Q58" s="14" t="s">
        <v>101</v>
      </c>
      <c r="R58" s="14" t="s">
        <v>102</v>
      </c>
      <c r="S58" s="14" t="s">
        <v>341</v>
      </c>
    </row>
    <row r="59" spans="1:19" ht="60" customHeight="1" x14ac:dyDescent="0.2">
      <c r="A59" s="13" t="s">
        <v>323</v>
      </c>
      <c r="B59" s="14" t="s">
        <v>311</v>
      </c>
      <c r="C59" s="14" t="s">
        <v>82</v>
      </c>
      <c r="D59" s="14" t="s">
        <v>104</v>
      </c>
      <c r="E59" s="14" t="s">
        <v>105</v>
      </c>
      <c r="F59" s="14" t="s">
        <v>210</v>
      </c>
      <c r="G59" s="14" t="s">
        <v>213</v>
      </c>
      <c r="H59" s="35">
        <v>36.409999999999997</v>
      </c>
      <c r="I59" s="35"/>
      <c r="J59" s="14" t="s">
        <v>34</v>
      </c>
      <c r="K59" s="16">
        <v>1.06</v>
      </c>
      <c r="L59" s="14" t="s">
        <v>0</v>
      </c>
      <c r="M59" s="14" t="s">
        <v>0</v>
      </c>
      <c r="N59" s="14" t="s">
        <v>82</v>
      </c>
      <c r="O59" s="14" t="s">
        <v>84</v>
      </c>
      <c r="P59" s="14" t="s">
        <v>36</v>
      </c>
      <c r="Q59" s="14" t="s">
        <v>85</v>
      </c>
      <c r="R59" s="14" t="s">
        <v>38</v>
      </c>
      <c r="S59" s="14" t="s">
        <v>324</v>
      </c>
    </row>
    <row r="60" spans="1:19" ht="60" customHeight="1" x14ac:dyDescent="0.2">
      <c r="A60" s="13" t="s">
        <v>311</v>
      </c>
      <c r="B60" s="14" t="s">
        <v>312</v>
      </c>
      <c r="C60" s="14" t="s">
        <v>82</v>
      </c>
      <c r="D60" s="14" t="s">
        <v>32</v>
      </c>
      <c r="E60" s="14" t="s">
        <v>33</v>
      </c>
      <c r="F60" s="14" t="s">
        <v>210</v>
      </c>
      <c r="G60" s="14" t="s">
        <v>213</v>
      </c>
      <c r="H60" s="35">
        <v>33.1</v>
      </c>
      <c r="I60" s="35"/>
      <c r="J60" s="14" t="s">
        <v>83</v>
      </c>
      <c r="K60" s="16">
        <v>0.96</v>
      </c>
      <c r="L60" s="14" t="s">
        <v>0</v>
      </c>
      <c r="M60" s="14" t="s">
        <v>0</v>
      </c>
      <c r="N60" s="14" t="s">
        <v>82</v>
      </c>
      <c r="O60" s="14" t="s">
        <v>84</v>
      </c>
      <c r="P60" s="14" t="s">
        <v>36</v>
      </c>
      <c r="Q60" s="14" t="s">
        <v>85</v>
      </c>
      <c r="R60" s="14" t="s">
        <v>38</v>
      </c>
      <c r="S60" s="14" t="s">
        <v>317</v>
      </c>
    </row>
    <row r="61" spans="1:19" ht="60" customHeight="1" x14ac:dyDescent="0.2">
      <c r="A61" s="13" t="s">
        <v>311</v>
      </c>
      <c r="B61" s="14" t="s">
        <v>312</v>
      </c>
      <c r="C61" s="14" t="s">
        <v>318</v>
      </c>
      <c r="D61" s="14" t="s">
        <v>32</v>
      </c>
      <c r="E61" s="14" t="s">
        <v>33</v>
      </c>
      <c r="F61" s="14" t="s">
        <v>210</v>
      </c>
      <c r="G61" s="14" t="s">
        <v>219</v>
      </c>
      <c r="H61" s="35">
        <v>92.4</v>
      </c>
      <c r="I61" s="35"/>
      <c r="J61" s="14" t="s">
        <v>21</v>
      </c>
      <c r="K61" s="16" t="s">
        <v>0</v>
      </c>
      <c r="L61" s="14" t="s">
        <v>0</v>
      </c>
      <c r="M61" s="14" t="s">
        <v>0</v>
      </c>
      <c r="N61" s="14" t="s">
        <v>318</v>
      </c>
      <c r="O61" s="14" t="s">
        <v>319</v>
      </c>
      <c r="P61" s="14" t="s">
        <v>0</v>
      </c>
      <c r="Q61" s="14" t="s">
        <v>320</v>
      </c>
      <c r="R61" s="14" t="s">
        <v>164</v>
      </c>
      <c r="S61" s="14" t="s">
        <v>321</v>
      </c>
    </row>
    <row r="62" spans="1:19" ht="60" customHeight="1" x14ac:dyDescent="0.2">
      <c r="A62" s="13" t="s">
        <v>293</v>
      </c>
      <c r="B62" s="14" t="s">
        <v>278</v>
      </c>
      <c r="C62" s="14" t="s">
        <v>68</v>
      </c>
      <c r="D62" s="14" t="s">
        <v>1</v>
      </c>
      <c r="E62" s="14" t="s">
        <v>20</v>
      </c>
      <c r="F62" s="14" t="s">
        <v>210</v>
      </c>
      <c r="G62" s="14" t="s">
        <v>213</v>
      </c>
      <c r="H62" s="35">
        <v>66.180000000000007</v>
      </c>
      <c r="I62" s="35"/>
      <c r="J62" s="14" t="s">
        <v>69</v>
      </c>
      <c r="K62" s="16">
        <v>1.93</v>
      </c>
      <c r="L62" s="14" t="s">
        <v>0</v>
      </c>
      <c r="M62" s="14" t="s">
        <v>0</v>
      </c>
      <c r="N62" s="14" t="s">
        <v>68</v>
      </c>
      <c r="O62" s="14" t="s">
        <v>70</v>
      </c>
      <c r="P62" s="14" t="s">
        <v>0</v>
      </c>
      <c r="Q62" s="14" t="s">
        <v>71</v>
      </c>
      <c r="R62" s="14" t="s">
        <v>72</v>
      </c>
      <c r="S62" s="14" t="s">
        <v>299</v>
      </c>
    </row>
    <row r="63" spans="1:19" ht="60" customHeight="1" x14ac:dyDescent="0.2">
      <c r="A63" s="8">
        <v>45650</v>
      </c>
      <c r="B63" s="9"/>
      <c r="C63" s="10" t="s">
        <v>496</v>
      </c>
      <c r="D63" s="11">
        <v>465083897</v>
      </c>
      <c r="E63" s="10" t="s">
        <v>203</v>
      </c>
      <c r="F63" s="10" t="s">
        <v>210</v>
      </c>
      <c r="G63" s="10" t="s">
        <v>512</v>
      </c>
      <c r="H63" s="12">
        <v>140</v>
      </c>
      <c r="I63" s="12"/>
      <c r="J63" s="10" t="s">
        <v>204</v>
      </c>
      <c r="K63" s="10">
        <v>14583.48</v>
      </c>
      <c r="L63" s="10" t="s">
        <v>205</v>
      </c>
      <c r="M63" s="10">
        <v>112879</v>
      </c>
      <c r="N63" s="10">
        <v>946</v>
      </c>
      <c r="O63" s="10"/>
      <c r="P63" s="10"/>
      <c r="Q63" s="10"/>
      <c r="R63" s="10"/>
      <c r="S63" s="10"/>
    </row>
    <row r="64" spans="1:19" ht="60" customHeight="1" x14ac:dyDescent="0.2">
      <c r="A64" s="13" t="s">
        <v>268</v>
      </c>
      <c r="B64" s="14" t="s">
        <v>261</v>
      </c>
      <c r="C64" s="14" t="s">
        <v>150</v>
      </c>
      <c r="D64" s="14" t="s">
        <v>1</v>
      </c>
      <c r="E64" s="14" t="s">
        <v>147</v>
      </c>
      <c r="F64" s="14" t="s">
        <v>210</v>
      </c>
      <c r="G64" s="14" t="s">
        <v>508</v>
      </c>
      <c r="H64" s="35">
        <v>41.92</v>
      </c>
      <c r="I64" s="35"/>
      <c r="J64" s="14" t="s">
        <v>151</v>
      </c>
      <c r="K64" s="16">
        <v>1.22</v>
      </c>
      <c r="L64" s="14" t="s">
        <v>0</v>
      </c>
      <c r="M64" s="14" t="s">
        <v>0</v>
      </c>
      <c r="N64" s="14" t="s">
        <v>150</v>
      </c>
      <c r="O64" s="14" t="s">
        <v>152</v>
      </c>
      <c r="P64" s="14" t="s">
        <v>153</v>
      </c>
      <c r="Q64" s="14" t="s">
        <v>154</v>
      </c>
      <c r="R64" s="14" t="s">
        <v>38</v>
      </c>
      <c r="S64" s="14" t="s">
        <v>445</v>
      </c>
    </row>
    <row r="65" spans="1:19" ht="60" customHeight="1" x14ac:dyDescent="0.2">
      <c r="A65" s="13" t="s">
        <v>249</v>
      </c>
      <c r="B65" s="14" t="s">
        <v>246</v>
      </c>
      <c r="C65" s="14" t="s">
        <v>51</v>
      </c>
      <c r="D65" s="14" t="s">
        <v>32</v>
      </c>
      <c r="E65" s="14" t="s">
        <v>33</v>
      </c>
      <c r="F65" s="14" t="s">
        <v>210</v>
      </c>
      <c r="G65" s="14" t="s">
        <v>213</v>
      </c>
      <c r="H65" s="35">
        <v>91.38</v>
      </c>
      <c r="I65" s="35"/>
      <c r="J65" s="14" t="s">
        <v>52</v>
      </c>
      <c r="K65" s="16">
        <v>2.66</v>
      </c>
      <c r="L65" s="14" t="s">
        <v>0</v>
      </c>
      <c r="M65" s="14" t="s">
        <v>0</v>
      </c>
      <c r="N65" s="14" t="s">
        <v>51</v>
      </c>
      <c r="O65" s="14" t="s">
        <v>53</v>
      </c>
      <c r="P65" s="14" t="s">
        <v>54</v>
      </c>
      <c r="Q65" s="14" t="s">
        <v>55</v>
      </c>
      <c r="R65" s="14" t="s">
        <v>38</v>
      </c>
      <c r="S65" s="14" t="s">
        <v>256</v>
      </c>
    </row>
    <row r="66" spans="1:19" ht="60" customHeight="1" x14ac:dyDescent="0.2">
      <c r="A66" s="13" t="s">
        <v>249</v>
      </c>
      <c r="B66" s="14" t="s">
        <v>246</v>
      </c>
      <c r="C66" s="14" t="s">
        <v>56</v>
      </c>
      <c r="D66" s="14" t="s">
        <v>32</v>
      </c>
      <c r="E66" s="14" t="s">
        <v>33</v>
      </c>
      <c r="F66" s="14" t="s">
        <v>210</v>
      </c>
      <c r="G66" s="14" t="s">
        <v>213</v>
      </c>
      <c r="H66" s="35">
        <v>24.92</v>
      </c>
      <c r="I66" s="35"/>
      <c r="J66" s="14" t="s">
        <v>57</v>
      </c>
      <c r="K66" s="16">
        <v>0.73</v>
      </c>
      <c r="L66" s="14" t="s">
        <v>0</v>
      </c>
      <c r="M66" s="14" t="s">
        <v>0</v>
      </c>
      <c r="N66" s="14" t="s">
        <v>56</v>
      </c>
      <c r="O66" s="14" t="s">
        <v>58</v>
      </c>
      <c r="P66" s="14" t="s">
        <v>59</v>
      </c>
      <c r="Q66" s="14" t="s">
        <v>60</v>
      </c>
      <c r="R66" s="14" t="s">
        <v>61</v>
      </c>
      <c r="S66" s="14" t="s">
        <v>260</v>
      </c>
    </row>
    <row r="67" spans="1:19" ht="60" customHeight="1" x14ac:dyDescent="0.2">
      <c r="A67" s="13" t="s">
        <v>241</v>
      </c>
      <c r="B67" s="14" t="s">
        <v>241</v>
      </c>
      <c r="C67" s="14" t="s">
        <v>136</v>
      </c>
      <c r="D67" s="14" t="s">
        <v>104</v>
      </c>
      <c r="E67" s="14" t="s">
        <v>105</v>
      </c>
      <c r="F67" s="14" t="s">
        <v>210</v>
      </c>
      <c r="G67" s="14" t="s">
        <v>221</v>
      </c>
      <c r="H67" s="35">
        <v>188.63</v>
      </c>
      <c r="I67" s="35"/>
      <c r="J67" s="14" t="s">
        <v>21</v>
      </c>
      <c r="K67" s="16" t="s">
        <v>0</v>
      </c>
      <c r="L67" s="14" t="s">
        <v>0</v>
      </c>
      <c r="M67" s="14" t="s">
        <v>0</v>
      </c>
      <c r="N67" s="14" t="s">
        <v>136</v>
      </c>
      <c r="O67" s="14" t="s">
        <v>137</v>
      </c>
      <c r="P67" s="14" t="s">
        <v>138</v>
      </c>
      <c r="Q67" s="14" t="s">
        <v>139</v>
      </c>
      <c r="R67" s="14" t="s">
        <v>25</v>
      </c>
      <c r="S67" s="14" t="s">
        <v>243</v>
      </c>
    </row>
    <row r="68" spans="1:19" ht="60" customHeight="1" x14ac:dyDescent="0.2">
      <c r="A68" s="13" t="s">
        <v>241</v>
      </c>
      <c r="B68" s="14" t="s">
        <v>241</v>
      </c>
      <c r="C68" s="14" t="s">
        <v>136</v>
      </c>
      <c r="D68" s="14" t="s">
        <v>104</v>
      </c>
      <c r="E68" s="14" t="s">
        <v>105</v>
      </c>
      <c r="F68" s="14" t="s">
        <v>210</v>
      </c>
      <c r="G68" s="14" t="s">
        <v>221</v>
      </c>
      <c r="H68" s="35">
        <v>620.05999999999995</v>
      </c>
      <c r="I68" s="35"/>
      <c r="J68" s="14" t="s">
        <v>21</v>
      </c>
      <c r="K68" s="16" t="s">
        <v>0</v>
      </c>
      <c r="L68" s="14" t="s">
        <v>0</v>
      </c>
      <c r="M68" s="14" t="s">
        <v>0</v>
      </c>
      <c r="N68" s="14" t="s">
        <v>136</v>
      </c>
      <c r="O68" s="14" t="s">
        <v>137</v>
      </c>
      <c r="P68" s="14" t="s">
        <v>138</v>
      </c>
      <c r="Q68" s="14" t="s">
        <v>139</v>
      </c>
      <c r="R68" s="14" t="s">
        <v>25</v>
      </c>
      <c r="S68" s="14" t="s">
        <v>244</v>
      </c>
    </row>
    <row r="69" spans="1:19" ht="60" customHeight="1" x14ac:dyDescent="0.2">
      <c r="A69" s="13" t="s">
        <v>241</v>
      </c>
      <c r="B69" s="14" t="s">
        <v>239</v>
      </c>
      <c r="C69" s="14" t="s">
        <v>31</v>
      </c>
      <c r="D69" s="14" t="s">
        <v>32</v>
      </c>
      <c r="E69" s="14" t="s">
        <v>33</v>
      </c>
      <c r="F69" s="14" t="s">
        <v>210</v>
      </c>
      <c r="G69" s="14" t="s">
        <v>213</v>
      </c>
      <c r="H69" s="35">
        <v>36.549999999999997</v>
      </c>
      <c r="I69" s="35"/>
      <c r="J69" s="14" t="s">
        <v>34</v>
      </c>
      <c r="K69" s="16">
        <v>1.06</v>
      </c>
      <c r="L69" s="14" t="s">
        <v>0</v>
      </c>
      <c r="M69" s="14" t="s">
        <v>0</v>
      </c>
      <c r="N69" s="14" t="s">
        <v>31</v>
      </c>
      <c r="O69" s="14" t="s">
        <v>35</v>
      </c>
      <c r="P69" s="14" t="s">
        <v>36</v>
      </c>
      <c r="Q69" s="14" t="s">
        <v>37</v>
      </c>
      <c r="R69" s="14" t="s">
        <v>38</v>
      </c>
      <c r="S69" s="14" t="s">
        <v>245</v>
      </c>
    </row>
    <row r="70" spans="1:19" ht="60" customHeight="1" x14ac:dyDescent="0.2">
      <c r="A70" s="8">
        <v>45657</v>
      </c>
      <c r="B70" s="9"/>
      <c r="C70" s="10" t="s">
        <v>206</v>
      </c>
      <c r="D70" s="11">
        <v>465083897</v>
      </c>
      <c r="E70" s="10" t="s">
        <v>203</v>
      </c>
      <c r="F70" s="10" t="s">
        <v>210</v>
      </c>
      <c r="G70" s="10" t="s">
        <v>212</v>
      </c>
      <c r="H70" s="12">
        <v>10</v>
      </c>
      <c r="I70" s="12"/>
      <c r="J70" s="10" t="s">
        <v>204</v>
      </c>
      <c r="K70" s="10">
        <v>14635.56</v>
      </c>
      <c r="L70" s="10" t="s">
        <v>205</v>
      </c>
      <c r="M70" s="10">
        <v>112879</v>
      </c>
      <c r="N70" s="10">
        <v>945</v>
      </c>
      <c r="O70" s="10"/>
      <c r="P70" s="10"/>
      <c r="Q70" s="10"/>
      <c r="R70" s="10"/>
      <c r="S70" s="10"/>
    </row>
    <row r="71" spans="1:19" ht="60" customHeight="1" x14ac:dyDescent="0.2">
      <c r="A71" s="8"/>
      <c r="B71" s="9"/>
      <c r="C71" s="10"/>
      <c r="D71" s="11"/>
      <c r="E71" s="10"/>
      <c r="F71" s="10"/>
      <c r="G71" s="10"/>
      <c r="H71" s="12"/>
      <c r="I71" s="12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ht="60" customHeight="1" x14ac:dyDescent="0.2">
      <c r="A72" s="8"/>
      <c r="B72" s="9"/>
      <c r="C72" s="10"/>
      <c r="D72" s="11"/>
      <c r="E72" s="10"/>
      <c r="F72" s="10"/>
      <c r="G72" s="10"/>
      <c r="H72" s="12">
        <f>SUM(H2:H71)</f>
        <v>21505.450000000008</v>
      </c>
      <c r="I72" s="12">
        <f>SUM(I7:I71)</f>
        <v>1551.4181818181821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ht="60" customHeight="1" x14ac:dyDescent="0.2">
      <c r="A73" s="8"/>
      <c r="B73" s="9"/>
      <c r="C73" s="10"/>
      <c r="D73" s="11"/>
      <c r="E73" s="10"/>
      <c r="F73" s="10"/>
      <c r="G73" s="10"/>
      <c r="H73" s="12"/>
      <c r="I73" s="12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ht="60" customHeight="1" x14ac:dyDescent="0.2">
      <c r="A74" s="8"/>
      <c r="B74" s="9"/>
      <c r="C74" s="10"/>
      <c r="D74" s="11"/>
      <c r="E74" s="10"/>
      <c r="F74" s="10"/>
      <c r="G74" s="10"/>
      <c r="H74" s="12"/>
      <c r="I74" s="12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ht="60" customHeight="1" x14ac:dyDescent="0.2">
      <c r="A75" s="8"/>
      <c r="B75" s="9"/>
      <c r="C75" s="10"/>
      <c r="D75" s="11"/>
      <c r="E75" s="10"/>
      <c r="F75" s="10"/>
      <c r="G75" s="10"/>
      <c r="H75" s="12"/>
      <c r="I75" s="12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ht="60" customHeight="1" x14ac:dyDescent="0.2">
      <c r="A76" s="8">
        <v>45629</v>
      </c>
      <c r="B76" s="18"/>
      <c r="C76" s="10" t="s">
        <v>199</v>
      </c>
      <c r="D76" s="11" t="s">
        <v>191</v>
      </c>
      <c r="E76" s="10" t="s">
        <v>486</v>
      </c>
      <c r="F76" s="14" t="s">
        <v>216</v>
      </c>
      <c r="G76" s="14" t="s">
        <v>227</v>
      </c>
      <c r="H76" s="12">
        <v>904.99</v>
      </c>
      <c r="I76" s="12"/>
      <c r="J76" s="10" t="s">
        <v>191</v>
      </c>
      <c r="K76" s="10" t="s">
        <v>21</v>
      </c>
      <c r="L76" s="10" t="s">
        <v>192</v>
      </c>
      <c r="M76" s="10"/>
      <c r="N76" s="10">
        <v>-2140.09</v>
      </c>
      <c r="O76" s="10" t="s">
        <v>195</v>
      </c>
      <c r="P76" s="10" t="s">
        <v>200</v>
      </c>
      <c r="Q76" s="10"/>
      <c r="R76" s="10"/>
      <c r="S76" s="10"/>
    </row>
    <row r="77" spans="1:19" ht="60" customHeight="1" x14ac:dyDescent="0.2">
      <c r="A77" s="8">
        <v>45630</v>
      </c>
      <c r="B77" s="18"/>
      <c r="C77" s="10" t="s">
        <v>197</v>
      </c>
      <c r="D77" s="11" t="s">
        <v>191</v>
      </c>
      <c r="E77" s="10" t="s">
        <v>486</v>
      </c>
      <c r="F77" s="10" t="s">
        <v>216</v>
      </c>
      <c r="G77" s="10" t="s">
        <v>218</v>
      </c>
      <c r="H77" s="12">
        <v>1115.76</v>
      </c>
      <c r="I77" s="12"/>
      <c r="J77" s="10" t="s">
        <v>191</v>
      </c>
      <c r="K77" s="10" t="s">
        <v>21</v>
      </c>
      <c r="L77" s="10" t="s">
        <v>192</v>
      </c>
      <c r="M77" s="10"/>
      <c r="N77" s="10">
        <v>-3255.85</v>
      </c>
      <c r="O77" s="10" t="s">
        <v>195</v>
      </c>
      <c r="P77" s="10" t="s">
        <v>198</v>
      </c>
      <c r="Q77" s="10"/>
      <c r="R77" s="10"/>
      <c r="S77" s="10"/>
    </row>
    <row r="78" spans="1:19" ht="60" customHeight="1" x14ac:dyDescent="0.2">
      <c r="A78" s="13" t="s">
        <v>386</v>
      </c>
      <c r="B78" s="14" t="s">
        <v>383</v>
      </c>
      <c r="C78" s="14" t="s">
        <v>148</v>
      </c>
      <c r="D78" s="14" t="s">
        <v>1</v>
      </c>
      <c r="E78" s="14" t="s">
        <v>147</v>
      </c>
      <c r="F78" s="14" t="s">
        <v>216</v>
      </c>
      <c r="G78" s="14" t="s">
        <v>225</v>
      </c>
      <c r="H78" s="35">
        <v>6.5</v>
      </c>
      <c r="I78" s="35"/>
      <c r="J78" s="14" t="s">
        <v>21</v>
      </c>
      <c r="K78" s="16" t="s">
        <v>0</v>
      </c>
      <c r="L78" s="14" t="s">
        <v>0</v>
      </c>
      <c r="M78" s="14" t="s">
        <v>0</v>
      </c>
      <c r="N78" s="14" t="s">
        <v>148</v>
      </c>
      <c r="O78" s="14" t="s">
        <v>149</v>
      </c>
      <c r="P78" s="14" t="s">
        <v>86</v>
      </c>
      <c r="Q78" s="14" t="s">
        <v>87</v>
      </c>
      <c r="R78" s="14" t="s">
        <v>25</v>
      </c>
      <c r="S78" s="14" t="s">
        <v>471</v>
      </c>
    </row>
    <row r="79" spans="1:19" ht="60" customHeight="1" x14ac:dyDescent="0.2">
      <c r="A79" s="13" t="s">
        <v>371</v>
      </c>
      <c r="B79" s="14" t="s">
        <v>371</v>
      </c>
      <c r="C79" s="14" t="s">
        <v>62</v>
      </c>
      <c r="D79" s="14" t="s">
        <v>32</v>
      </c>
      <c r="E79" s="14" t="s">
        <v>33</v>
      </c>
      <c r="F79" s="14" t="s">
        <v>216</v>
      </c>
      <c r="G79" s="14" t="s">
        <v>510</v>
      </c>
      <c r="H79" s="35">
        <v>190</v>
      </c>
      <c r="I79" s="35"/>
      <c r="J79" s="14" t="s">
        <v>21</v>
      </c>
      <c r="K79" s="16" t="s">
        <v>0</v>
      </c>
      <c r="L79" s="14" t="s">
        <v>0</v>
      </c>
      <c r="M79" s="14" t="s">
        <v>0</v>
      </c>
      <c r="N79" s="14" t="s">
        <v>62</v>
      </c>
      <c r="O79" s="14" t="s">
        <v>63</v>
      </c>
      <c r="P79" s="14" t="s">
        <v>42</v>
      </c>
      <c r="Q79" s="14" t="s">
        <v>43</v>
      </c>
      <c r="R79" s="14" t="s">
        <v>25</v>
      </c>
      <c r="S79" s="14" t="s">
        <v>377</v>
      </c>
    </row>
    <row r="80" spans="1:19" ht="60" customHeight="1" x14ac:dyDescent="0.2">
      <c r="A80" s="8">
        <v>45636</v>
      </c>
      <c r="B80" s="18"/>
      <c r="C80" s="10" t="s">
        <v>194</v>
      </c>
      <c r="D80" s="11" t="s">
        <v>191</v>
      </c>
      <c r="E80" s="10" t="s">
        <v>486</v>
      </c>
      <c r="F80" s="14" t="s">
        <v>216</v>
      </c>
      <c r="G80" s="14" t="s">
        <v>218</v>
      </c>
      <c r="H80" s="12">
        <v>688.77</v>
      </c>
      <c r="I80" s="12"/>
      <c r="J80" s="10" t="s">
        <v>191</v>
      </c>
      <c r="K80" s="10" t="s">
        <v>21</v>
      </c>
      <c r="L80" s="10" t="s">
        <v>192</v>
      </c>
      <c r="M80" s="10"/>
      <c r="N80" s="10">
        <v>-3944.62</v>
      </c>
      <c r="O80" s="10" t="s">
        <v>195</v>
      </c>
      <c r="P80" s="10" t="s">
        <v>196</v>
      </c>
      <c r="Q80" s="10"/>
      <c r="R80" s="10"/>
      <c r="S80" s="10"/>
    </row>
    <row r="81" spans="1:19" ht="60" customHeight="1" x14ac:dyDescent="0.2">
      <c r="A81" s="13" t="s">
        <v>365</v>
      </c>
      <c r="B81" s="14" t="s">
        <v>365</v>
      </c>
      <c r="C81" s="14" t="s">
        <v>457</v>
      </c>
      <c r="D81" s="14" t="s">
        <v>1</v>
      </c>
      <c r="E81" s="14" t="s">
        <v>147</v>
      </c>
      <c r="F81" s="14" t="s">
        <v>216</v>
      </c>
      <c r="G81" s="14" t="s">
        <v>513</v>
      </c>
      <c r="H81" s="35">
        <v>189.89</v>
      </c>
      <c r="I81" s="35"/>
      <c r="J81" s="14" t="s">
        <v>21</v>
      </c>
      <c r="K81" s="16" t="s">
        <v>0</v>
      </c>
      <c r="L81" s="14" t="s">
        <v>0</v>
      </c>
      <c r="M81" s="14" t="s">
        <v>0</v>
      </c>
      <c r="N81" s="14" t="s">
        <v>457</v>
      </c>
      <c r="O81" s="14" t="s">
        <v>458</v>
      </c>
      <c r="P81" s="14" t="s">
        <v>459</v>
      </c>
      <c r="Q81" s="14" t="s">
        <v>460</v>
      </c>
      <c r="R81" s="14" t="s">
        <v>25</v>
      </c>
      <c r="S81" s="14" t="s">
        <v>461</v>
      </c>
    </row>
    <row r="82" spans="1:19" ht="60" customHeight="1" x14ac:dyDescent="0.2">
      <c r="A82" s="13" t="s">
        <v>355</v>
      </c>
      <c r="B82" s="14" t="s">
        <v>352</v>
      </c>
      <c r="C82" s="14" t="s">
        <v>148</v>
      </c>
      <c r="D82" s="14" t="s">
        <v>1</v>
      </c>
      <c r="E82" s="14" t="s">
        <v>147</v>
      </c>
      <c r="F82" s="14" t="s">
        <v>216</v>
      </c>
      <c r="G82" s="14" t="s">
        <v>225</v>
      </c>
      <c r="H82" s="35">
        <v>6.5</v>
      </c>
      <c r="I82" s="35"/>
      <c r="J82" s="14" t="s">
        <v>21</v>
      </c>
      <c r="K82" s="16" t="s">
        <v>0</v>
      </c>
      <c r="L82" s="14" t="s">
        <v>0</v>
      </c>
      <c r="M82" s="14" t="s">
        <v>0</v>
      </c>
      <c r="N82" s="14" t="s">
        <v>148</v>
      </c>
      <c r="O82" s="14" t="s">
        <v>149</v>
      </c>
      <c r="P82" s="14" t="s">
        <v>86</v>
      </c>
      <c r="Q82" s="14" t="s">
        <v>87</v>
      </c>
      <c r="R82" s="14" t="s">
        <v>25</v>
      </c>
      <c r="S82" s="14" t="s">
        <v>454</v>
      </c>
    </row>
    <row r="83" spans="1:19" ht="60" customHeight="1" x14ac:dyDescent="0.2">
      <c r="A83" s="8">
        <v>45642</v>
      </c>
      <c r="B83" s="9"/>
      <c r="C83" s="10" t="s">
        <v>479</v>
      </c>
      <c r="D83" s="11" t="s">
        <v>185</v>
      </c>
      <c r="E83" s="10" t="s">
        <v>475</v>
      </c>
      <c r="F83" s="10" t="s">
        <v>216</v>
      </c>
      <c r="G83" s="9" t="s">
        <v>222</v>
      </c>
      <c r="H83" s="12">
        <v>350</v>
      </c>
      <c r="I83" s="12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ht="60" customHeight="1" x14ac:dyDescent="0.2">
      <c r="A84" s="13" t="s">
        <v>326</v>
      </c>
      <c r="B84" s="14" t="s">
        <v>326</v>
      </c>
      <c r="C84" s="14" t="s">
        <v>62</v>
      </c>
      <c r="D84" s="14" t="s">
        <v>32</v>
      </c>
      <c r="E84" s="14" t="s">
        <v>33</v>
      </c>
      <c r="F84" s="14" t="s">
        <v>216</v>
      </c>
      <c r="G84" s="14" t="s">
        <v>510</v>
      </c>
      <c r="H84" s="35">
        <v>550</v>
      </c>
      <c r="I84" s="35"/>
      <c r="J84" s="14" t="s">
        <v>21</v>
      </c>
      <c r="K84" s="16" t="s">
        <v>0</v>
      </c>
      <c r="L84" s="14" t="s">
        <v>0</v>
      </c>
      <c r="M84" s="14" t="s">
        <v>0</v>
      </c>
      <c r="N84" s="14" t="s">
        <v>62</v>
      </c>
      <c r="O84" s="14" t="s">
        <v>63</v>
      </c>
      <c r="P84" s="14" t="s">
        <v>42</v>
      </c>
      <c r="Q84" s="14" t="s">
        <v>43</v>
      </c>
      <c r="R84" s="14" t="s">
        <v>25</v>
      </c>
      <c r="S84" s="14" t="s">
        <v>328</v>
      </c>
    </row>
    <row r="85" spans="1:19" ht="60" customHeight="1" x14ac:dyDescent="0.2">
      <c r="A85" s="8">
        <v>45645</v>
      </c>
      <c r="B85" s="18"/>
      <c r="C85" s="10" t="s">
        <v>485</v>
      </c>
      <c r="D85" s="11" t="s">
        <v>191</v>
      </c>
      <c r="E85" s="10" t="s">
        <v>486</v>
      </c>
      <c r="F85" s="14" t="s">
        <v>216</v>
      </c>
      <c r="G85" s="10" t="s">
        <v>515</v>
      </c>
      <c r="H85" s="12">
        <v>185</v>
      </c>
      <c r="I85" s="12"/>
      <c r="J85" s="10" t="s">
        <v>191</v>
      </c>
      <c r="K85" s="10" t="s">
        <v>21</v>
      </c>
      <c r="L85" s="10" t="s">
        <v>192</v>
      </c>
      <c r="M85" s="10"/>
      <c r="N85" s="10">
        <v>-4181.62</v>
      </c>
      <c r="O85" s="10" t="s">
        <v>193</v>
      </c>
      <c r="P85" s="10" t="s">
        <v>487</v>
      </c>
      <c r="Q85" s="10"/>
      <c r="R85" s="10"/>
      <c r="S85" s="10"/>
    </row>
    <row r="86" spans="1:19" ht="60" customHeight="1" x14ac:dyDescent="0.2">
      <c r="A86" s="13" t="s">
        <v>323</v>
      </c>
      <c r="B86" s="14" t="s">
        <v>311</v>
      </c>
      <c r="C86" s="14" t="s">
        <v>148</v>
      </c>
      <c r="D86" s="14" t="s">
        <v>1</v>
      </c>
      <c r="E86" s="14" t="s">
        <v>147</v>
      </c>
      <c r="F86" s="14" t="s">
        <v>216</v>
      </c>
      <c r="G86" s="14" t="s">
        <v>225</v>
      </c>
      <c r="H86" s="35">
        <v>6.5</v>
      </c>
      <c r="I86" s="35"/>
      <c r="J86" s="14" t="s">
        <v>21</v>
      </c>
      <c r="K86" s="16" t="s">
        <v>0</v>
      </c>
      <c r="L86" s="14" t="s">
        <v>0</v>
      </c>
      <c r="M86" s="14" t="s">
        <v>0</v>
      </c>
      <c r="N86" s="14" t="s">
        <v>148</v>
      </c>
      <c r="O86" s="14" t="s">
        <v>149</v>
      </c>
      <c r="P86" s="14" t="s">
        <v>86</v>
      </c>
      <c r="Q86" s="14" t="s">
        <v>87</v>
      </c>
      <c r="R86" s="14" t="s">
        <v>25</v>
      </c>
      <c r="S86" s="14" t="s">
        <v>449</v>
      </c>
    </row>
    <row r="87" spans="1:19" ht="60" customHeight="1" x14ac:dyDescent="0.2">
      <c r="A87" s="13" t="s">
        <v>278</v>
      </c>
      <c r="B87" s="14" t="s">
        <v>276</v>
      </c>
      <c r="C87" s="14" t="s">
        <v>93</v>
      </c>
      <c r="D87" s="14" t="s">
        <v>32</v>
      </c>
      <c r="E87" s="14" t="s">
        <v>33</v>
      </c>
      <c r="F87" s="14" t="s">
        <v>216</v>
      </c>
      <c r="G87" s="14" t="s">
        <v>222</v>
      </c>
      <c r="H87" s="35">
        <v>379.27</v>
      </c>
      <c r="I87" s="35"/>
      <c r="J87" s="14" t="s">
        <v>21</v>
      </c>
      <c r="K87" s="16" t="s">
        <v>0</v>
      </c>
      <c r="L87" s="14" t="s">
        <v>0</v>
      </c>
      <c r="M87" s="14" t="s">
        <v>0</v>
      </c>
      <c r="N87" s="14" t="s">
        <v>93</v>
      </c>
      <c r="O87" s="14" t="s">
        <v>94</v>
      </c>
      <c r="P87" s="14" t="s">
        <v>95</v>
      </c>
      <c r="Q87" s="14" t="s">
        <v>96</v>
      </c>
      <c r="R87" s="14" t="s">
        <v>25</v>
      </c>
      <c r="S87" s="14" t="s">
        <v>280</v>
      </c>
    </row>
    <row r="88" spans="1:19" ht="60" customHeight="1" x14ac:dyDescent="0.2">
      <c r="A88" s="13" t="s">
        <v>261</v>
      </c>
      <c r="B88" s="14" t="s">
        <v>261</v>
      </c>
      <c r="C88" s="14" t="s">
        <v>62</v>
      </c>
      <c r="D88" s="14" t="s">
        <v>32</v>
      </c>
      <c r="E88" s="14" t="s">
        <v>33</v>
      </c>
      <c r="F88" s="14" t="s">
        <v>216</v>
      </c>
      <c r="G88" s="14" t="s">
        <v>510</v>
      </c>
      <c r="H88" s="35">
        <v>264.58</v>
      </c>
      <c r="I88" s="35"/>
      <c r="J88" s="14" t="s">
        <v>21</v>
      </c>
      <c r="K88" s="16" t="s">
        <v>0</v>
      </c>
      <c r="L88" s="14" t="s">
        <v>0</v>
      </c>
      <c r="M88" s="14" t="s">
        <v>0</v>
      </c>
      <c r="N88" s="14" t="s">
        <v>62</v>
      </c>
      <c r="O88" s="14" t="s">
        <v>63</v>
      </c>
      <c r="P88" s="14" t="s">
        <v>42</v>
      </c>
      <c r="Q88" s="14" t="s">
        <v>43</v>
      </c>
      <c r="R88" s="14" t="s">
        <v>25</v>
      </c>
      <c r="S88" s="14" t="s">
        <v>265</v>
      </c>
    </row>
    <row r="89" spans="1:19" ht="60" customHeight="1" x14ac:dyDescent="0.2">
      <c r="A89" s="13" t="s">
        <v>261</v>
      </c>
      <c r="B89" s="14" t="s">
        <v>249</v>
      </c>
      <c r="C89" s="14" t="s">
        <v>148</v>
      </c>
      <c r="D89" s="14" t="s">
        <v>1</v>
      </c>
      <c r="E89" s="14" t="s">
        <v>147</v>
      </c>
      <c r="F89" s="14" t="s">
        <v>216</v>
      </c>
      <c r="G89" s="14" t="s">
        <v>225</v>
      </c>
      <c r="H89" s="35">
        <v>6.5</v>
      </c>
      <c r="I89" s="35"/>
      <c r="J89" s="14" t="s">
        <v>21</v>
      </c>
      <c r="K89" s="16" t="s">
        <v>0</v>
      </c>
      <c r="L89" s="14" t="s">
        <v>0</v>
      </c>
      <c r="M89" s="14" t="s">
        <v>0</v>
      </c>
      <c r="N89" s="14" t="s">
        <v>148</v>
      </c>
      <c r="O89" s="14" t="s">
        <v>149</v>
      </c>
      <c r="P89" s="14" t="s">
        <v>86</v>
      </c>
      <c r="Q89" s="14" t="s">
        <v>87</v>
      </c>
      <c r="R89" s="14" t="s">
        <v>25</v>
      </c>
      <c r="S89" s="14" t="s">
        <v>444</v>
      </c>
    </row>
    <row r="90" spans="1:19" ht="60" customHeight="1" x14ac:dyDescent="0.2">
      <c r="A90" s="13"/>
      <c r="B90" s="14"/>
      <c r="C90" s="14"/>
      <c r="D90" s="14"/>
      <c r="E90" s="14"/>
      <c r="F90" s="14"/>
      <c r="G90" s="14"/>
      <c r="H90" s="35"/>
      <c r="I90" s="35"/>
      <c r="J90" s="14"/>
      <c r="K90" s="16"/>
      <c r="L90" s="14"/>
      <c r="M90" s="14"/>
      <c r="N90" s="14"/>
      <c r="O90" s="14"/>
      <c r="P90" s="14"/>
      <c r="Q90" s="14"/>
      <c r="R90" s="14"/>
      <c r="S90" s="14"/>
    </row>
    <row r="91" spans="1:19" ht="60" customHeight="1" x14ac:dyDescent="0.2">
      <c r="A91" s="13"/>
      <c r="B91" s="14"/>
      <c r="C91" s="14"/>
      <c r="D91" s="14"/>
      <c r="E91" s="14"/>
      <c r="F91" s="14"/>
      <c r="G91" s="14"/>
      <c r="H91" s="35"/>
      <c r="I91" s="35"/>
      <c r="J91" s="14"/>
      <c r="K91" s="16"/>
      <c r="L91" s="14"/>
      <c r="M91" s="14"/>
      <c r="N91" s="14"/>
      <c r="O91" s="14"/>
      <c r="P91" s="14"/>
      <c r="Q91" s="14"/>
      <c r="R91" s="14"/>
      <c r="S91" s="14"/>
    </row>
    <row r="92" spans="1:19" ht="60" customHeight="1" x14ac:dyDescent="0.2">
      <c r="A92" s="13"/>
      <c r="B92" s="14"/>
      <c r="C92" s="14"/>
      <c r="D92" s="14"/>
      <c r="E92" s="14"/>
      <c r="F92" s="14"/>
      <c r="G92" s="14"/>
      <c r="H92" s="35"/>
      <c r="I92" s="35"/>
      <c r="J92" s="14"/>
      <c r="K92" s="16"/>
      <c r="L92" s="14"/>
      <c r="M92" s="14"/>
      <c r="N92" s="14"/>
      <c r="O92" s="14"/>
      <c r="P92" s="14"/>
      <c r="Q92" s="14"/>
      <c r="R92" s="14"/>
      <c r="S92" s="14"/>
    </row>
    <row r="93" spans="1:19" ht="60" customHeight="1" x14ac:dyDescent="0.2">
      <c r="A93" s="13"/>
      <c r="B93" s="14"/>
      <c r="C93" s="14"/>
      <c r="D93" s="14"/>
      <c r="E93" s="14"/>
      <c r="F93" s="14"/>
      <c r="G93" s="14"/>
      <c r="H93" s="35"/>
      <c r="I93" s="35"/>
      <c r="J93" s="14"/>
      <c r="K93" s="16"/>
      <c r="L93" s="14"/>
      <c r="M93" s="14"/>
      <c r="N93" s="14"/>
      <c r="O93" s="14"/>
      <c r="P93" s="14"/>
      <c r="Q93" s="14"/>
      <c r="R93" s="14"/>
      <c r="S93" s="14"/>
    </row>
    <row r="94" spans="1:19" ht="60" customHeight="1" x14ac:dyDescent="0.2">
      <c r="A94" s="13"/>
      <c r="B94" s="14"/>
      <c r="C94" s="14"/>
      <c r="D94" s="14"/>
      <c r="E94" s="14"/>
      <c r="F94" s="14"/>
      <c r="G94" s="14"/>
      <c r="H94" s="35"/>
      <c r="I94" s="35"/>
      <c r="J94" s="14"/>
      <c r="K94" s="16"/>
      <c r="L94" s="14"/>
      <c r="M94" s="14"/>
      <c r="N94" s="14"/>
      <c r="O94" s="14"/>
      <c r="P94" s="14"/>
      <c r="Q94" s="14"/>
      <c r="R94" s="14"/>
      <c r="S94" s="14"/>
    </row>
    <row r="95" spans="1:19" ht="60" customHeight="1" x14ac:dyDescent="0.2">
      <c r="A95" s="13" t="s">
        <v>18</v>
      </c>
      <c r="B95" s="14" t="s">
        <v>421</v>
      </c>
      <c r="C95" s="14" t="s">
        <v>26</v>
      </c>
      <c r="D95" s="14" t="s">
        <v>1</v>
      </c>
      <c r="E95" s="14" t="s">
        <v>20</v>
      </c>
      <c r="F95" s="14" t="s">
        <v>211</v>
      </c>
      <c r="G95" s="14"/>
      <c r="H95" s="35">
        <v>31.72</v>
      </c>
      <c r="I95" s="35"/>
      <c r="J95" s="14" t="s">
        <v>83</v>
      </c>
      <c r="K95" s="16">
        <v>0.92</v>
      </c>
      <c r="L95" s="14" t="s">
        <v>0</v>
      </c>
      <c r="M95" s="14" t="s">
        <v>0</v>
      </c>
      <c r="N95" s="14" t="s">
        <v>26</v>
      </c>
      <c r="O95" s="14" t="s">
        <v>28</v>
      </c>
      <c r="P95" s="14" t="s">
        <v>0</v>
      </c>
      <c r="Q95" s="14" t="s">
        <v>29</v>
      </c>
      <c r="R95" s="14" t="s">
        <v>30</v>
      </c>
      <c r="S95" s="14" t="s">
        <v>435</v>
      </c>
    </row>
    <row r="96" spans="1:19" ht="60" customHeight="1" x14ac:dyDescent="0.2">
      <c r="A96" s="13" t="s">
        <v>18</v>
      </c>
      <c r="B96" s="14" t="s">
        <v>421</v>
      </c>
      <c r="C96" s="14" t="s">
        <v>26</v>
      </c>
      <c r="D96" s="14" t="s">
        <v>1</v>
      </c>
      <c r="E96" s="14" t="s">
        <v>147</v>
      </c>
      <c r="F96" s="14" t="s">
        <v>211</v>
      </c>
      <c r="G96" s="14"/>
      <c r="H96" s="35">
        <v>34</v>
      </c>
      <c r="I96" s="35"/>
      <c r="J96" s="14" t="s">
        <v>21</v>
      </c>
      <c r="K96" s="16" t="s">
        <v>0</v>
      </c>
      <c r="L96" s="14" t="s">
        <v>0</v>
      </c>
      <c r="M96" s="14" t="s">
        <v>0</v>
      </c>
      <c r="N96" s="14" t="s">
        <v>26</v>
      </c>
      <c r="O96" s="14" t="s">
        <v>28</v>
      </c>
      <c r="P96" s="14" t="s">
        <v>0</v>
      </c>
      <c r="Q96" s="14" t="s">
        <v>29</v>
      </c>
      <c r="R96" s="14" t="s">
        <v>30</v>
      </c>
      <c r="S96" s="14" t="s">
        <v>474</v>
      </c>
    </row>
    <row r="97" spans="1:19" ht="60" customHeight="1" x14ac:dyDescent="0.2">
      <c r="A97" s="13" t="s">
        <v>18</v>
      </c>
      <c r="B97" s="14" t="s">
        <v>421</v>
      </c>
      <c r="C97" s="14" t="s">
        <v>48</v>
      </c>
      <c r="D97" s="14" t="s">
        <v>1</v>
      </c>
      <c r="E97" s="14" t="s">
        <v>20</v>
      </c>
      <c r="F97" s="14" t="s">
        <v>211</v>
      </c>
      <c r="G97" s="14"/>
      <c r="H97" s="35">
        <v>14.62</v>
      </c>
      <c r="I97" s="35"/>
      <c r="J97" s="14" t="s">
        <v>21</v>
      </c>
      <c r="K97" s="16" t="s">
        <v>0</v>
      </c>
      <c r="L97" s="14" t="s">
        <v>0</v>
      </c>
      <c r="M97" s="14" t="s">
        <v>49</v>
      </c>
      <c r="N97" s="14" t="s">
        <v>48</v>
      </c>
      <c r="O97" s="14" t="s">
        <v>50</v>
      </c>
      <c r="P97" s="14" t="s">
        <v>23</v>
      </c>
      <c r="Q97" s="14" t="s">
        <v>24</v>
      </c>
      <c r="R97" s="14" t="s">
        <v>25</v>
      </c>
      <c r="S97" s="14" t="s">
        <v>439</v>
      </c>
    </row>
    <row r="98" spans="1:19" ht="60" customHeight="1" x14ac:dyDescent="0.2">
      <c r="A98" s="8">
        <v>45628</v>
      </c>
      <c r="B98" s="9"/>
      <c r="C98" s="10" t="s">
        <v>186</v>
      </c>
      <c r="D98" s="11" t="s">
        <v>185</v>
      </c>
      <c r="E98" s="10" t="s">
        <v>475</v>
      </c>
      <c r="F98" s="10" t="s">
        <v>211</v>
      </c>
      <c r="G98" s="9"/>
      <c r="H98" s="12">
        <v>29.95</v>
      </c>
      <c r="I98" s="12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ht="60" customHeight="1" x14ac:dyDescent="0.2">
      <c r="A99" s="8">
        <v>45628</v>
      </c>
      <c r="B99" s="9"/>
      <c r="C99" s="10" t="s">
        <v>482</v>
      </c>
      <c r="D99" s="11" t="s">
        <v>185</v>
      </c>
      <c r="E99" s="10" t="s">
        <v>475</v>
      </c>
      <c r="F99" s="14" t="s">
        <v>211</v>
      </c>
      <c r="G99" s="9"/>
      <c r="H99" s="12">
        <v>15.5</v>
      </c>
      <c r="I99" s="12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ht="60" customHeight="1" x14ac:dyDescent="0.2">
      <c r="A100" s="13" t="s">
        <v>421</v>
      </c>
      <c r="B100" s="14" t="s">
        <v>39</v>
      </c>
      <c r="C100" s="14" t="s">
        <v>424</v>
      </c>
      <c r="D100" s="14" t="s">
        <v>32</v>
      </c>
      <c r="E100" s="14" t="s">
        <v>33</v>
      </c>
      <c r="F100" s="14" t="s">
        <v>211</v>
      </c>
      <c r="G100" s="14"/>
      <c r="H100" s="35">
        <v>98.93</v>
      </c>
      <c r="I100" s="35"/>
      <c r="J100" s="14" t="s">
        <v>21</v>
      </c>
      <c r="K100" s="16" t="s">
        <v>0</v>
      </c>
      <c r="L100" s="14" t="s">
        <v>0</v>
      </c>
      <c r="M100" s="14" t="s">
        <v>0</v>
      </c>
      <c r="N100" s="14" t="s">
        <v>424</v>
      </c>
      <c r="O100" s="14" t="s">
        <v>425</v>
      </c>
      <c r="P100" s="14" t="s">
        <v>426</v>
      </c>
      <c r="Q100" s="14" t="s">
        <v>427</v>
      </c>
      <c r="R100" s="14" t="s">
        <v>25</v>
      </c>
      <c r="S100" s="14" t="s">
        <v>428</v>
      </c>
    </row>
    <row r="101" spans="1:19" ht="60" customHeight="1" x14ac:dyDescent="0.2">
      <c r="A101" s="13" t="s">
        <v>421</v>
      </c>
      <c r="B101" s="14" t="s">
        <v>39</v>
      </c>
      <c r="C101" s="14" t="s">
        <v>429</v>
      </c>
      <c r="D101" s="14" t="s">
        <v>32</v>
      </c>
      <c r="E101" s="14" t="s">
        <v>33</v>
      </c>
      <c r="F101" s="14" t="s">
        <v>211</v>
      </c>
      <c r="G101" s="14"/>
      <c r="H101" s="35">
        <v>160.75</v>
      </c>
      <c r="I101" s="35"/>
      <c r="J101" s="14" t="s">
        <v>21</v>
      </c>
      <c r="K101" s="16" t="s">
        <v>0</v>
      </c>
      <c r="L101" s="14" t="s">
        <v>0</v>
      </c>
      <c r="M101" s="14" t="s">
        <v>0</v>
      </c>
      <c r="N101" s="14" t="s">
        <v>429</v>
      </c>
      <c r="O101" s="14" t="s">
        <v>430</v>
      </c>
      <c r="P101" s="14" t="s">
        <v>431</v>
      </c>
      <c r="Q101" s="14" t="s">
        <v>432</v>
      </c>
      <c r="R101" s="14" t="s">
        <v>25</v>
      </c>
      <c r="S101" s="14" t="s">
        <v>433</v>
      </c>
    </row>
    <row r="102" spans="1:19" ht="60" customHeight="1" x14ac:dyDescent="0.2">
      <c r="A102" s="13" t="s">
        <v>421</v>
      </c>
      <c r="B102" s="14" t="s">
        <v>39</v>
      </c>
      <c r="C102" s="14" t="s">
        <v>116</v>
      </c>
      <c r="D102" s="14" t="s">
        <v>1</v>
      </c>
      <c r="E102" s="14" t="s">
        <v>20</v>
      </c>
      <c r="F102" s="14" t="s">
        <v>211</v>
      </c>
      <c r="G102" s="14"/>
      <c r="H102" s="35">
        <v>23.99</v>
      </c>
      <c r="I102" s="35"/>
      <c r="J102" s="14" t="s">
        <v>21</v>
      </c>
      <c r="K102" s="16" t="s">
        <v>0</v>
      </c>
      <c r="L102" s="14" t="s">
        <v>0</v>
      </c>
      <c r="M102" s="14" t="s">
        <v>0</v>
      </c>
      <c r="N102" s="14" t="s">
        <v>116</v>
      </c>
      <c r="O102" s="14" t="s">
        <v>117</v>
      </c>
      <c r="P102" s="14" t="s">
        <v>118</v>
      </c>
      <c r="Q102" s="14" t="s">
        <v>119</v>
      </c>
      <c r="R102" s="14" t="s">
        <v>102</v>
      </c>
      <c r="S102" s="14" t="s">
        <v>434</v>
      </c>
    </row>
    <row r="103" spans="1:19" ht="60" customHeight="1" x14ac:dyDescent="0.2">
      <c r="A103" s="13" t="s">
        <v>39</v>
      </c>
      <c r="B103" s="14" t="s">
        <v>39</v>
      </c>
      <c r="C103" s="14" t="s">
        <v>408</v>
      </c>
      <c r="D103" s="14" t="s">
        <v>32</v>
      </c>
      <c r="E103" s="14" t="s">
        <v>33</v>
      </c>
      <c r="F103" s="14" t="s">
        <v>211</v>
      </c>
      <c r="G103" s="14"/>
      <c r="H103" s="35">
        <v>6.5</v>
      </c>
      <c r="I103" s="35"/>
      <c r="J103" s="14" t="s">
        <v>21</v>
      </c>
      <c r="K103" s="16" t="s">
        <v>0</v>
      </c>
      <c r="L103" s="14" t="s">
        <v>0</v>
      </c>
      <c r="M103" s="14" t="s">
        <v>0</v>
      </c>
      <c r="N103" s="14" t="s">
        <v>408</v>
      </c>
      <c r="O103" s="14" t="s">
        <v>409</v>
      </c>
      <c r="P103" s="14" t="s">
        <v>410</v>
      </c>
      <c r="Q103" s="14" t="s">
        <v>411</v>
      </c>
      <c r="R103" s="14" t="s">
        <v>25</v>
      </c>
      <c r="S103" s="14" t="s">
        <v>412</v>
      </c>
    </row>
    <row r="104" spans="1:19" ht="60" customHeight="1" x14ac:dyDescent="0.2">
      <c r="A104" s="13" t="s">
        <v>39</v>
      </c>
      <c r="B104" s="14" t="s">
        <v>39</v>
      </c>
      <c r="C104" s="14" t="s">
        <v>408</v>
      </c>
      <c r="D104" s="14" t="s">
        <v>32</v>
      </c>
      <c r="E104" s="14" t="s">
        <v>33</v>
      </c>
      <c r="F104" s="14" t="s">
        <v>211</v>
      </c>
      <c r="G104" s="14"/>
      <c r="H104" s="35">
        <v>16.66</v>
      </c>
      <c r="I104" s="35"/>
      <c r="J104" s="14" t="s">
        <v>21</v>
      </c>
      <c r="K104" s="16" t="s">
        <v>0</v>
      </c>
      <c r="L104" s="14" t="s">
        <v>0</v>
      </c>
      <c r="M104" s="14" t="s">
        <v>0</v>
      </c>
      <c r="N104" s="14" t="s">
        <v>408</v>
      </c>
      <c r="O104" s="14" t="s">
        <v>409</v>
      </c>
      <c r="P104" s="14" t="s">
        <v>410</v>
      </c>
      <c r="Q104" s="14" t="s">
        <v>411</v>
      </c>
      <c r="R104" s="14" t="s">
        <v>25</v>
      </c>
      <c r="S104" s="14" t="s">
        <v>413</v>
      </c>
    </row>
    <row r="105" spans="1:19" ht="60" customHeight="1" x14ac:dyDescent="0.2">
      <c r="A105" s="13" t="s">
        <v>39</v>
      </c>
      <c r="B105" s="14" t="s">
        <v>39</v>
      </c>
      <c r="C105" s="14" t="s">
        <v>414</v>
      </c>
      <c r="D105" s="14" t="s">
        <v>1</v>
      </c>
      <c r="E105" s="14" t="s">
        <v>20</v>
      </c>
      <c r="F105" s="14" t="s">
        <v>211</v>
      </c>
      <c r="G105" s="14"/>
      <c r="H105" s="35">
        <v>23.92</v>
      </c>
      <c r="I105" s="35"/>
      <c r="J105" s="14" t="s">
        <v>21</v>
      </c>
      <c r="K105" s="16" t="s">
        <v>0</v>
      </c>
      <c r="L105" s="14" t="s">
        <v>0</v>
      </c>
      <c r="M105" s="14" t="s">
        <v>0</v>
      </c>
      <c r="N105" s="14" t="s">
        <v>414</v>
      </c>
      <c r="O105" s="14" t="s">
        <v>415</v>
      </c>
      <c r="P105" s="14" t="s">
        <v>42</v>
      </c>
      <c r="Q105" s="14" t="s">
        <v>43</v>
      </c>
      <c r="R105" s="14" t="s">
        <v>25</v>
      </c>
      <c r="S105" s="14" t="s">
        <v>416</v>
      </c>
    </row>
    <row r="106" spans="1:19" ht="60" customHeight="1" x14ac:dyDescent="0.2">
      <c r="A106" s="8">
        <v>45629</v>
      </c>
      <c r="B106" s="18"/>
      <c r="C106" s="10" t="s">
        <v>201</v>
      </c>
      <c r="D106" s="11" t="s">
        <v>191</v>
      </c>
      <c r="E106" s="10" t="s">
        <v>486</v>
      </c>
      <c r="F106" s="10" t="s">
        <v>211</v>
      </c>
      <c r="G106" s="10"/>
      <c r="H106" s="12">
        <v>178.31</v>
      </c>
      <c r="I106" s="12"/>
      <c r="J106" s="10" t="s">
        <v>191</v>
      </c>
      <c r="K106" s="10" t="s">
        <v>21</v>
      </c>
      <c r="L106" s="10" t="s">
        <v>192</v>
      </c>
      <c r="M106" s="10"/>
      <c r="N106" s="10">
        <v>-1235.0999999999999</v>
      </c>
      <c r="O106" s="10" t="s">
        <v>195</v>
      </c>
      <c r="P106" s="10" t="s">
        <v>202</v>
      </c>
      <c r="Q106" s="10"/>
      <c r="R106" s="10"/>
      <c r="S106" s="10"/>
    </row>
    <row r="107" spans="1:19" ht="60" customHeight="1" x14ac:dyDescent="0.2">
      <c r="A107" s="13" t="s">
        <v>39</v>
      </c>
      <c r="B107" s="14" t="s">
        <v>39</v>
      </c>
      <c r="C107" s="14" t="s">
        <v>418</v>
      </c>
      <c r="D107" s="14" t="s">
        <v>1</v>
      </c>
      <c r="E107" s="14" t="s">
        <v>20</v>
      </c>
      <c r="F107" s="14" t="s">
        <v>211</v>
      </c>
      <c r="G107" s="14"/>
      <c r="H107" s="35">
        <v>147.71</v>
      </c>
      <c r="I107" s="35"/>
      <c r="J107" s="14" t="s">
        <v>21</v>
      </c>
      <c r="K107" s="16" t="s">
        <v>0</v>
      </c>
      <c r="L107" s="14" t="s">
        <v>0</v>
      </c>
      <c r="M107" s="14" t="s">
        <v>0</v>
      </c>
      <c r="N107" s="14" t="s">
        <v>418</v>
      </c>
      <c r="O107" s="14" t="s">
        <v>419</v>
      </c>
      <c r="P107" s="14" t="s">
        <v>42</v>
      </c>
      <c r="Q107" s="14" t="s">
        <v>43</v>
      </c>
      <c r="R107" s="14" t="s">
        <v>25</v>
      </c>
      <c r="S107" s="14" t="s">
        <v>420</v>
      </c>
    </row>
    <row r="108" spans="1:19" ht="60" customHeight="1" x14ac:dyDescent="0.2">
      <c r="A108" s="13" t="s">
        <v>401</v>
      </c>
      <c r="B108" s="14" t="s">
        <v>388</v>
      </c>
      <c r="C108" s="14" t="s">
        <v>140</v>
      </c>
      <c r="D108" s="14" t="s">
        <v>32</v>
      </c>
      <c r="E108" s="14" t="s">
        <v>33</v>
      </c>
      <c r="F108" s="14" t="s">
        <v>211</v>
      </c>
      <c r="G108" s="14"/>
      <c r="H108" s="35">
        <v>2.99</v>
      </c>
      <c r="I108" s="35"/>
      <c r="J108" s="14" t="s">
        <v>21</v>
      </c>
      <c r="K108" s="16" t="s">
        <v>0</v>
      </c>
      <c r="L108" s="14" t="s">
        <v>0</v>
      </c>
      <c r="M108" s="14" t="s">
        <v>0</v>
      </c>
      <c r="N108" s="14" t="s">
        <v>140</v>
      </c>
      <c r="O108" s="14" t="s">
        <v>121</v>
      </c>
      <c r="P108" s="14" t="s">
        <v>23</v>
      </c>
      <c r="Q108" s="14" t="s">
        <v>24</v>
      </c>
      <c r="R108" s="14" t="s">
        <v>25</v>
      </c>
      <c r="S108" s="14" t="s">
        <v>402</v>
      </c>
    </row>
    <row r="109" spans="1:19" ht="60" customHeight="1" x14ac:dyDescent="0.2">
      <c r="A109" s="13" t="s">
        <v>401</v>
      </c>
      <c r="B109" s="14" t="s">
        <v>401</v>
      </c>
      <c r="C109" s="14" t="s">
        <v>274</v>
      </c>
      <c r="D109" s="14" t="s">
        <v>1</v>
      </c>
      <c r="E109" s="14" t="s">
        <v>20</v>
      </c>
      <c r="F109" s="14" t="s">
        <v>211</v>
      </c>
      <c r="G109" s="14"/>
      <c r="H109" s="35">
        <v>39.22</v>
      </c>
      <c r="I109" s="35"/>
      <c r="J109" s="14" t="s">
        <v>21</v>
      </c>
      <c r="K109" s="16" t="s">
        <v>0</v>
      </c>
      <c r="L109" s="14" t="s">
        <v>0</v>
      </c>
      <c r="M109" s="14" t="s">
        <v>0</v>
      </c>
      <c r="N109" s="14" t="s">
        <v>274</v>
      </c>
      <c r="O109" s="14" t="s">
        <v>89</v>
      </c>
      <c r="P109" s="14" t="s">
        <v>90</v>
      </c>
      <c r="Q109" s="14" t="s">
        <v>91</v>
      </c>
      <c r="R109" s="14" t="s">
        <v>25</v>
      </c>
      <c r="S109" s="14" t="s">
        <v>403</v>
      </c>
    </row>
    <row r="110" spans="1:19" ht="60" customHeight="1" x14ac:dyDescent="0.2">
      <c r="A110" s="8">
        <v>45631</v>
      </c>
      <c r="B110" s="9"/>
      <c r="C110" s="10" t="s">
        <v>484</v>
      </c>
      <c r="D110" s="11" t="s">
        <v>185</v>
      </c>
      <c r="E110" s="10" t="s">
        <v>475</v>
      </c>
      <c r="F110" s="10" t="s">
        <v>211</v>
      </c>
      <c r="G110" s="9"/>
      <c r="H110" s="12">
        <v>17.59</v>
      </c>
      <c r="I110" s="12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ht="60" customHeight="1" x14ac:dyDescent="0.2">
      <c r="A111" s="13" t="s">
        <v>388</v>
      </c>
      <c r="B111" s="14" t="s">
        <v>388</v>
      </c>
      <c r="C111" s="14" t="s">
        <v>398</v>
      </c>
      <c r="D111" s="14" t="s">
        <v>104</v>
      </c>
      <c r="E111" s="14" t="s">
        <v>105</v>
      </c>
      <c r="F111" s="14" t="s">
        <v>211</v>
      </c>
      <c r="G111" s="14"/>
      <c r="H111" s="35">
        <v>1568.76</v>
      </c>
      <c r="I111" s="35"/>
      <c r="J111" s="14" t="s">
        <v>21</v>
      </c>
      <c r="K111" s="16" t="s">
        <v>0</v>
      </c>
      <c r="L111" s="14" t="s">
        <v>0</v>
      </c>
      <c r="M111" s="14" t="s">
        <v>0</v>
      </c>
      <c r="N111" s="14" t="s">
        <v>398</v>
      </c>
      <c r="O111" s="14" t="s">
        <v>399</v>
      </c>
      <c r="P111" s="14" t="s">
        <v>23</v>
      </c>
      <c r="Q111" s="14" t="s">
        <v>24</v>
      </c>
      <c r="R111" s="14" t="s">
        <v>25</v>
      </c>
      <c r="S111" s="14" t="s">
        <v>400</v>
      </c>
    </row>
    <row r="112" spans="1:19" ht="60" customHeight="1" x14ac:dyDescent="0.2">
      <c r="A112" s="13" t="s">
        <v>386</v>
      </c>
      <c r="B112" s="14" t="s">
        <v>383</v>
      </c>
      <c r="C112" s="14" t="s">
        <v>44</v>
      </c>
      <c r="D112" s="14" t="s">
        <v>1</v>
      </c>
      <c r="E112" s="14" t="s">
        <v>20</v>
      </c>
      <c r="F112" s="14" t="s">
        <v>211</v>
      </c>
      <c r="G112" s="14"/>
      <c r="H112" s="35">
        <v>23.95</v>
      </c>
      <c r="I112" s="35"/>
      <c r="J112" s="14" t="s">
        <v>21</v>
      </c>
      <c r="K112" s="16" t="s">
        <v>0</v>
      </c>
      <c r="L112" s="14" t="s">
        <v>0</v>
      </c>
      <c r="M112" s="14" t="s">
        <v>0</v>
      </c>
      <c r="N112" s="14" t="s">
        <v>44</v>
      </c>
      <c r="O112" s="14" t="s">
        <v>45</v>
      </c>
      <c r="P112" s="14" t="s">
        <v>46</v>
      </c>
      <c r="Q112" s="14" t="s">
        <v>47</v>
      </c>
      <c r="R112" s="14" t="s">
        <v>25</v>
      </c>
      <c r="S112" s="14" t="s">
        <v>387</v>
      </c>
    </row>
    <row r="113" spans="1:19" ht="60" customHeight="1" x14ac:dyDescent="0.2">
      <c r="A113" s="13" t="s">
        <v>386</v>
      </c>
      <c r="B113" s="14" t="s">
        <v>383</v>
      </c>
      <c r="C113" s="14" t="s">
        <v>48</v>
      </c>
      <c r="D113" s="14" t="s">
        <v>1</v>
      </c>
      <c r="E113" s="14" t="s">
        <v>147</v>
      </c>
      <c r="F113" s="14" t="s">
        <v>211</v>
      </c>
      <c r="G113" s="14"/>
      <c r="H113" s="35">
        <v>10.199999999999999</v>
      </c>
      <c r="I113" s="35"/>
      <c r="J113" s="14" t="s">
        <v>21</v>
      </c>
      <c r="K113" s="16" t="s">
        <v>0</v>
      </c>
      <c r="L113" s="14" t="s">
        <v>0</v>
      </c>
      <c r="M113" s="14" t="s">
        <v>0</v>
      </c>
      <c r="N113" s="14" t="s">
        <v>48</v>
      </c>
      <c r="O113" s="14" t="s">
        <v>50</v>
      </c>
      <c r="P113" s="14" t="s">
        <v>23</v>
      </c>
      <c r="Q113" s="14" t="s">
        <v>24</v>
      </c>
      <c r="R113" s="14" t="s">
        <v>25</v>
      </c>
      <c r="S113" s="14" t="s">
        <v>470</v>
      </c>
    </row>
    <row r="114" spans="1:19" ht="60" customHeight="1" x14ac:dyDescent="0.2">
      <c r="A114" s="13" t="s">
        <v>383</v>
      </c>
      <c r="B114" s="14" t="s">
        <v>383</v>
      </c>
      <c r="C114" s="14" t="s">
        <v>131</v>
      </c>
      <c r="D114" s="14" t="s">
        <v>1</v>
      </c>
      <c r="E114" s="14" t="s">
        <v>20</v>
      </c>
      <c r="F114" s="14" t="s">
        <v>211</v>
      </c>
      <c r="G114" s="14"/>
      <c r="H114" s="35">
        <v>13.5</v>
      </c>
      <c r="I114" s="35"/>
      <c r="J114" s="14" t="s">
        <v>21</v>
      </c>
      <c r="K114" s="16" t="s">
        <v>0</v>
      </c>
      <c r="L114" s="14" t="s">
        <v>0</v>
      </c>
      <c r="M114" s="14" t="s">
        <v>0</v>
      </c>
      <c r="N114" s="14" t="s">
        <v>131</v>
      </c>
      <c r="O114" s="14" t="s">
        <v>132</v>
      </c>
      <c r="P114" s="14" t="s">
        <v>86</v>
      </c>
      <c r="Q114" s="14" t="s">
        <v>87</v>
      </c>
      <c r="R114" s="14" t="s">
        <v>25</v>
      </c>
      <c r="S114" s="14" t="s">
        <v>385</v>
      </c>
    </row>
    <row r="115" spans="1:19" ht="60" customHeight="1" x14ac:dyDescent="0.2">
      <c r="A115" s="13" t="s">
        <v>378</v>
      </c>
      <c r="B115" s="14" t="s">
        <v>378</v>
      </c>
      <c r="C115" s="14" t="s">
        <v>353</v>
      </c>
      <c r="D115" s="14" t="s">
        <v>1</v>
      </c>
      <c r="E115" s="14" t="s">
        <v>20</v>
      </c>
      <c r="F115" s="14" t="s">
        <v>211</v>
      </c>
      <c r="G115" s="14"/>
      <c r="H115" s="35">
        <v>5.99</v>
      </c>
      <c r="I115" s="35"/>
      <c r="J115" s="14" t="s">
        <v>21</v>
      </c>
      <c r="K115" s="16" t="s">
        <v>0</v>
      </c>
      <c r="L115" s="14" t="s">
        <v>0</v>
      </c>
      <c r="M115" s="14" t="s">
        <v>0</v>
      </c>
      <c r="N115" s="14" t="s">
        <v>353</v>
      </c>
      <c r="O115" s="14" t="s">
        <v>121</v>
      </c>
      <c r="P115" s="14" t="s">
        <v>23</v>
      </c>
      <c r="Q115" s="14" t="s">
        <v>24</v>
      </c>
      <c r="R115" s="14" t="s">
        <v>25</v>
      </c>
      <c r="S115" s="14" t="s">
        <v>381</v>
      </c>
    </row>
    <row r="116" spans="1:19" ht="60" customHeight="1" x14ac:dyDescent="0.2">
      <c r="A116" s="13" t="s">
        <v>378</v>
      </c>
      <c r="B116" s="14" t="s">
        <v>371</v>
      </c>
      <c r="C116" s="14" t="s">
        <v>274</v>
      </c>
      <c r="D116" s="14" t="s">
        <v>1</v>
      </c>
      <c r="E116" s="14" t="s">
        <v>20</v>
      </c>
      <c r="F116" s="14" t="s">
        <v>211</v>
      </c>
      <c r="G116" s="14"/>
      <c r="H116" s="35">
        <v>30.06</v>
      </c>
      <c r="I116" s="35"/>
      <c r="J116" s="14" t="s">
        <v>21</v>
      </c>
      <c r="K116" s="16" t="s">
        <v>0</v>
      </c>
      <c r="L116" s="14" t="s">
        <v>0</v>
      </c>
      <c r="M116" s="14" t="s">
        <v>0</v>
      </c>
      <c r="N116" s="14" t="s">
        <v>274</v>
      </c>
      <c r="O116" s="14" t="s">
        <v>89</v>
      </c>
      <c r="P116" s="14" t="s">
        <v>90</v>
      </c>
      <c r="Q116" s="14" t="s">
        <v>91</v>
      </c>
      <c r="R116" s="14" t="s">
        <v>25</v>
      </c>
      <c r="S116" s="14" t="s">
        <v>382</v>
      </c>
    </row>
    <row r="117" spans="1:19" ht="60" customHeight="1" x14ac:dyDescent="0.2">
      <c r="A117" s="8">
        <v>45635</v>
      </c>
      <c r="B117" s="9"/>
      <c r="C117" s="10" t="s">
        <v>186</v>
      </c>
      <c r="D117" s="11" t="s">
        <v>185</v>
      </c>
      <c r="E117" s="10" t="s">
        <v>475</v>
      </c>
      <c r="F117" s="10" t="s">
        <v>211</v>
      </c>
      <c r="G117" s="9"/>
      <c r="H117" s="12">
        <v>62.22</v>
      </c>
      <c r="I117" s="12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 ht="60" customHeight="1" x14ac:dyDescent="0.2">
      <c r="A118" s="13" t="s">
        <v>371</v>
      </c>
      <c r="B118" s="14" t="s">
        <v>371</v>
      </c>
      <c r="C118" s="14" t="s">
        <v>143</v>
      </c>
      <c r="D118" s="14" t="s">
        <v>32</v>
      </c>
      <c r="E118" s="14" t="s">
        <v>33</v>
      </c>
      <c r="F118" s="14" t="s">
        <v>211</v>
      </c>
      <c r="G118" s="14"/>
      <c r="H118" s="35">
        <v>31.6</v>
      </c>
      <c r="I118" s="35"/>
      <c r="J118" s="14" t="s">
        <v>21</v>
      </c>
      <c r="K118" s="16" t="s">
        <v>0</v>
      </c>
      <c r="L118" s="14" t="s">
        <v>0</v>
      </c>
      <c r="M118" s="14" t="s">
        <v>0</v>
      </c>
      <c r="N118" s="14" t="s">
        <v>143</v>
      </c>
      <c r="O118" s="14" t="s">
        <v>144</v>
      </c>
      <c r="P118" s="14" t="s">
        <v>42</v>
      </c>
      <c r="Q118" s="14" t="s">
        <v>43</v>
      </c>
      <c r="R118" s="14" t="s">
        <v>25</v>
      </c>
      <c r="S118" s="14" t="s">
        <v>372</v>
      </c>
    </row>
    <row r="119" spans="1:19" ht="60" customHeight="1" x14ac:dyDescent="0.2">
      <c r="A119" s="8">
        <v>45636</v>
      </c>
      <c r="B119" s="9"/>
      <c r="C119" s="10" t="s">
        <v>483</v>
      </c>
      <c r="D119" s="11" t="s">
        <v>185</v>
      </c>
      <c r="E119" s="10" t="s">
        <v>475</v>
      </c>
      <c r="F119" s="10" t="s">
        <v>211</v>
      </c>
      <c r="G119" s="9"/>
      <c r="H119" s="12">
        <v>56.57</v>
      </c>
      <c r="I119" s="12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 ht="60" customHeight="1" x14ac:dyDescent="0.2">
      <c r="A120" s="8">
        <v>45636</v>
      </c>
      <c r="B120" s="9"/>
      <c r="C120" s="10" t="s">
        <v>189</v>
      </c>
      <c r="D120" s="11" t="s">
        <v>185</v>
      </c>
      <c r="E120" s="10" t="s">
        <v>475</v>
      </c>
      <c r="F120" s="10" t="s">
        <v>211</v>
      </c>
      <c r="G120" s="9"/>
      <c r="H120" s="12">
        <v>35</v>
      </c>
      <c r="I120" s="12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 ht="60" customHeight="1" x14ac:dyDescent="0.2">
      <c r="A121" s="13" t="s">
        <v>369</v>
      </c>
      <c r="B121" s="14" t="s">
        <v>369</v>
      </c>
      <c r="C121" s="14" t="s">
        <v>40</v>
      </c>
      <c r="D121" s="14" t="s">
        <v>1</v>
      </c>
      <c r="E121" s="14" t="s">
        <v>20</v>
      </c>
      <c r="F121" s="14" t="s">
        <v>211</v>
      </c>
      <c r="G121" s="14"/>
      <c r="H121" s="35">
        <v>27.74</v>
      </c>
      <c r="I121" s="35"/>
      <c r="J121" s="14" t="s">
        <v>21</v>
      </c>
      <c r="K121" s="16" t="s">
        <v>0</v>
      </c>
      <c r="L121" s="14" t="s">
        <v>0</v>
      </c>
      <c r="M121" s="14" t="s">
        <v>0</v>
      </c>
      <c r="N121" s="14" t="s">
        <v>40</v>
      </c>
      <c r="O121" s="14" t="s">
        <v>41</v>
      </c>
      <c r="P121" s="14" t="s">
        <v>42</v>
      </c>
      <c r="Q121" s="14" t="s">
        <v>43</v>
      </c>
      <c r="R121" s="14" t="s">
        <v>25</v>
      </c>
      <c r="S121" s="14" t="s">
        <v>370</v>
      </c>
    </row>
    <row r="122" spans="1:19" ht="60" customHeight="1" x14ac:dyDescent="0.2">
      <c r="A122" s="13" t="s">
        <v>365</v>
      </c>
      <c r="B122" s="14" t="s">
        <v>362</v>
      </c>
      <c r="C122" s="14" t="s">
        <v>120</v>
      </c>
      <c r="D122" s="14" t="s">
        <v>32</v>
      </c>
      <c r="E122" s="14" t="s">
        <v>33</v>
      </c>
      <c r="F122" s="14" t="s">
        <v>211</v>
      </c>
      <c r="G122" s="14"/>
      <c r="H122" s="35">
        <v>16.45</v>
      </c>
      <c r="I122" s="35"/>
      <c r="J122" s="14" t="s">
        <v>21</v>
      </c>
      <c r="K122" s="16" t="s">
        <v>0</v>
      </c>
      <c r="L122" s="14" t="s">
        <v>0</v>
      </c>
      <c r="M122" s="14" t="s">
        <v>0</v>
      </c>
      <c r="N122" s="14" t="s">
        <v>120</v>
      </c>
      <c r="O122" s="14" t="s">
        <v>121</v>
      </c>
      <c r="P122" s="14" t="s">
        <v>122</v>
      </c>
      <c r="Q122" s="14" t="s">
        <v>24</v>
      </c>
      <c r="R122" s="14" t="s">
        <v>25</v>
      </c>
      <c r="S122" s="14" t="s">
        <v>366</v>
      </c>
    </row>
    <row r="123" spans="1:19" ht="60" customHeight="1" x14ac:dyDescent="0.2">
      <c r="A123" s="13" t="s">
        <v>365</v>
      </c>
      <c r="B123" s="14" t="s">
        <v>362</v>
      </c>
      <c r="C123" s="14" t="s">
        <v>26</v>
      </c>
      <c r="D123" s="14" t="s">
        <v>1</v>
      </c>
      <c r="E123" s="14" t="s">
        <v>147</v>
      </c>
      <c r="F123" s="14" t="s">
        <v>211</v>
      </c>
      <c r="G123" s="14"/>
      <c r="H123" s="35">
        <v>17.600000000000001</v>
      </c>
      <c r="I123" s="35"/>
      <c r="J123" s="14" t="s">
        <v>21</v>
      </c>
      <c r="K123" s="16" t="s">
        <v>0</v>
      </c>
      <c r="L123" s="14" t="s">
        <v>0</v>
      </c>
      <c r="M123" s="14" t="s">
        <v>0</v>
      </c>
      <c r="N123" s="14" t="s">
        <v>26</v>
      </c>
      <c r="O123" s="14" t="s">
        <v>28</v>
      </c>
      <c r="P123" s="14" t="s">
        <v>0</v>
      </c>
      <c r="Q123" s="14" t="s">
        <v>29</v>
      </c>
      <c r="R123" s="14" t="s">
        <v>30</v>
      </c>
      <c r="S123" s="14" t="s">
        <v>456</v>
      </c>
    </row>
    <row r="124" spans="1:19" ht="60" customHeight="1" x14ac:dyDescent="0.2">
      <c r="A124" s="8">
        <v>45637</v>
      </c>
      <c r="B124" s="9"/>
      <c r="C124" s="10" t="s">
        <v>481</v>
      </c>
      <c r="D124" s="11" t="s">
        <v>185</v>
      </c>
      <c r="E124" s="10" t="s">
        <v>475</v>
      </c>
      <c r="F124" s="10" t="s">
        <v>211</v>
      </c>
      <c r="G124" s="9"/>
      <c r="H124" s="12">
        <v>26.66</v>
      </c>
      <c r="I124" s="12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 ht="60" customHeight="1" x14ac:dyDescent="0.2">
      <c r="A125" s="8">
        <v>45637</v>
      </c>
      <c r="B125" s="9"/>
      <c r="C125" s="10" t="s">
        <v>482</v>
      </c>
      <c r="D125" s="11" t="s">
        <v>185</v>
      </c>
      <c r="E125" s="10" t="s">
        <v>475</v>
      </c>
      <c r="F125" s="14" t="s">
        <v>211</v>
      </c>
      <c r="G125" s="9"/>
      <c r="H125" s="12">
        <v>23.8</v>
      </c>
      <c r="I125" s="12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 ht="60" customHeight="1" x14ac:dyDescent="0.2">
      <c r="A126" s="8">
        <v>45638</v>
      </c>
      <c r="B126" s="9"/>
      <c r="C126" s="10" t="s">
        <v>480</v>
      </c>
      <c r="D126" s="11" t="s">
        <v>185</v>
      </c>
      <c r="E126" s="10" t="s">
        <v>475</v>
      </c>
      <c r="F126" s="10" t="s">
        <v>211</v>
      </c>
      <c r="G126" s="9"/>
      <c r="H126" s="12">
        <v>8.08</v>
      </c>
      <c r="I126" s="12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 ht="60" customHeight="1" x14ac:dyDescent="0.2">
      <c r="A127" s="13" t="s">
        <v>362</v>
      </c>
      <c r="B127" s="14" t="s">
        <v>355</v>
      </c>
      <c r="C127" s="14" t="s">
        <v>116</v>
      </c>
      <c r="D127" s="14" t="s">
        <v>1</v>
      </c>
      <c r="E127" s="14" t="s">
        <v>20</v>
      </c>
      <c r="F127" s="14" t="s">
        <v>211</v>
      </c>
      <c r="G127" s="14"/>
      <c r="H127" s="35">
        <v>13.99</v>
      </c>
      <c r="I127" s="35"/>
      <c r="J127" s="14" t="s">
        <v>21</v>
      </c>
      <c r="K127" s="16" t="s">
        <v>0</v>
      </c>
      <c r="L127" s="14" t="s">
        <v>0</v>
      </c>
      <c r="M127" s="14" t="s">
        <v>0</v>
      </c>
      <c r="N127" s="14" t="s">
        <v>116</v>
      </c>
      <c r="O127" s="14" t="s">
        <v>117</v>
      </c>
      <c r="P127" s="14" t="s">
        <v>118</v>
      </c>
      <c r="Q127" s="14" t="s">
        <v>119</v>
      </c>
      <c r="R127" s="14" t="s">
        <v>102</v>
      </c>
      <c r="S127" s="14" t="s">
        <v>364</v>
      </c>
    </row>
    <row r="128" spans="1:19" ht="60" customHeight="1" x14ac:dyDescent="0.2">
      <c r="A128" s="8">
        <v>45639</v>
      </c>
      <c r="B128" s="9"/>
      <c r="C128" s="10" t="s">
        <v>188</v>
      </c>
      <c r="D128" s="11" t="s">
        <v>185</v>
      </c>
      <c r="E128" s="10" t="s">
        <v>475</v>
      </c>
      <c r="F128" s="10" t="s">
        <v>211</v>
      </c>
      <c r="G128" s="9"/>
      <c r="H128" s="12">
        <v>6.28</v>
      </c>
      <c r="I128" s="12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ht="60" customHeight="1" x14ac:dyDescent="0.2">
      <c r="A129" s="13" t="s">
        <v>355</v>
      </c>
      <c r="B129" s="14" t="s">
        <v>352</v>
      </c>
      <c r="C129" s="14" t="s">
        <v>44</v>
      </c>
      <c r="D129" s="14" t="s">
        <v>1</v>
      </c>
      <c r="E129" s="14" t="s">
        <v>20</v>
      </c>
      <c r="F129" s="14" t="s">
        <v>211</v>
      </c>
      <c r="G129" s="14"/>
      <c r="H129" s="35">
        <v>23.95</v>
      </c>
      <c r="I129" s="35"/>
      <c r="J129" s="14" t="s">
        <v>21</v>
      </c>
      <c r="K129" s="16" t="s">
        <v>0</v>
      </c>
      <c r="L129" s="14" t="s">
        <v>0</v>
      </c>
      <c r="M129" s="14" t="s">
        <v>0</v>
      </c>
      <c r="N129" s="14" t="s">
        <v>44</v>
      </c>
      <c r="O129" s="14" t="s">
        <v>45</v>
      </c>
      <c r="P129" s="14" t="s">
        <v>46</v>
      </c>
      <c r="Q129" s="14" t="s">
        <v>47</v>
      </c>
      <c r="R129" s="14" t="s">
        <v>25</v>
      </c>
      <c r="S129" s="14" t="s">
        <v>359</v>
      </c>
    </row>
    <row r="130" spans="1:19" ht="60" customHeight="1" x14ac:dyDescent="0.2">
      <c r="A130" s="13" t="s">
        <v>355</v>
      </c>
      <c r="B130" s="14" t="s">
        <v>355</v>
      </c>
      <c r="C130" s="14" t="s">
        <v>143</v>
      </c>
      <c r="D130" s="14" t="s">
        <v>32</v>
      </c>
      <c r="E130" s="14" t="s">
        <v>33</v>
      </c>
      <c r="F130" s="14" t="s">
        <v>211</v>
      </c>
      <c r="G130" s="14"/>
      <c r="H130" s="35">
        <v>67.8</v>
      </c>
      <c r="I130" s="35"/>
      <c r="J130" s="14" t="s">
        <v>21</v>
      </c>
      <c r="K130" s="16" t="s">
        <v>0</v>
      </c>
      <c r="L130" s="14" t="s">
        <v>0</v>
      </c>
      <c r="M130" s="14" t="s">
        <v>0</v>
      </c>
      <c r="N130" s="14" t="s">
        <v>143</v>
      </c>
      <c r="O130" s="14" t="s">
        <v>144</v>
      </c>
      <c r="P130" s="14" t="s">
        <v>42</v>
      </c>
      <c r="Q130" s="14" t="s">
        <v>43</v>
      </c>
      <c r="R130" s="14" t="s">
        <v>25</v>
      </c>
      <c r="S130" s="14" t="s">
        <v>360</v>
      </c>
    </row>
    <row r="131" spans="1:19" ht="48" x14ac:dyDescent="0.2">
      <c r="A131" s="20" t="s">
        <v>355</v>
      </c>
      <c r="B131" s="21" t="s">
        <v>352</v>
      </c>
      <c r="C131" s="21" t="s">
        <v>48</v>
      </c>
      <c r="D131" s="21" t="s">
        <v>1</v>
      </c>
      <c r="E131" s="21" t="s">
        <v>20</v>
      </c>
      <c r="F131" s="14" t="s">
        <v>211</v>
      </c>
      <c r="G131" s="14"/>
      <c r="H131" s="39">
        <v>16.71</v>
      </c>
      <c r="I131" s="39"/>
      <c r="J131" s="21" t="s">
        <v>21</v>
      </c>
      <c r="K131" s="24" t="s">
        <v>0</v>
      </c>
      <c r="L131" s="21" t="s">
        <v>0</v>
      </c>
      <c r="M131" s="21" t="s">
        <v>49</v>
      </c>
      <c r="N131" s="21" t="s">
        <v>48</v>
      </c>
      <c r="O131" s="21" t="s">
        <v>50</v>
      </c>
      <c r="P131" s="21" t="s">
        <v>23</v>
      </c>
      <c r="Q131" s="21" t="s">
        <v>24</v>
      </c>
      <c r="R131" s="21" t="s">
        <v>25</v>
      </c>
      <c r="S131" s="21" t="s">
        <v>361</v>
      </c>
    </row>
    <row r="132" spans="1:19" ht="32" x14ac:dyDescent="0.2">
      <c r="A132" s="20" t="s">
        <v>352</v>
      </c>
      <c r="B132" s="21" t="s">
        <v>352</v>
      </c>
      <c r="C132" s="21" t="s">
        <v>353</v>
      </c>
      <c r="D132" s="21" t="s">
        <v>1</v>
      </c>
      <c r="E132" s="21" t="s">
        <v>20</v>
      </c>
      <c r="F132" s="21" t="s">
        <v>211</v>
      </c>
      <c r="G132" s="21"/>
      <c r="H132" s="39">
        <v>16.98</v>
      </c>
      <c r="I132" s="39"/>
      <c r="J132" s="21" t="s">
        <v>21</v>
      </c>
      <c r="K132" s="24" t="s">
        <v>0</v>
      </c>
      <c r="L132" s="21" t="s">
        <v>0</v>
      </c>
      <c r="M132" s="21" t="s">
        <v>0</v>
      </c>
      <c r="N132" s="21" t="s">
        <v>353</v>
      </c>
      <c r="O132" s="21" t="s">
        <v>121</v>
      </c>
      <c r="P132" s="21" t="s">
        <v>23</v>
      </c>
      <c r="Q132" s="21" t="s">
        <v>24</v>
      </c>
      <c r="R132" s="21" t="s">
        <v>25</v>
      </c>
      <c r="S132" s="21" t="s">
        <v>354</v>
      </c>
    </row>
    <row r="133" spans="1:19" ht="48" x14ac:dyDescent="0.2">
      <c r="A133" s="20" t="s">
        <v>348</v>
      </c>
      <c r="B133" s="21" t="s">
        <v>345</v>
      </c>
      <c r="C133" s="21" t="s">
        <v>48</v>
      </c>
      <c r="D133" s="21" t="s">
        <v>1</v>
      </c>
      <c r="E133" s="21" t="s">
        <v>20</v>
      </c>
      <c r="F133" s="21" t="s">
        <v>211</v>
      </c>
      <c r="G133" s="21"/>
      <c r="H133" s="39">
        <v>14.62</v>
      </c>
      <c r="I133" s="39"/>
      <c r="J133" s="21" t="s">
        <v>21</v>
      </c>
      <c r="K133" s="24" t="s">
        <v>0</v>
      </c>
      <c r="L133" s="21" t="s">
        <v>0</v>
      </c>
      <c r="M133" s="21" t="s">
        <v>49</v>
      </c>
      <c r="N133" s="21" t="s">
        <v>48</v>
      </c>
      <c r="O133" s="21" t="s">
        <v>50</v>
      </c>
      <c r="P133" s="21" t="s">
        <v>23</v>
      </c>
      <c r="Q133" s="21" t="s">
        <v>24</v>
      </c>
      <c r="R133" s="21" t="s">
        <v>25</v>
      </c>
      <c r="S133" s="21" t="s">
        <v>351</v>
      </c>
    </row>
    <row r="134" spans="1:19" x14ac:dyDescent="0.2">
      <c r="A134" s="25">
        <v>45642</v>
      </c>
      <c r="B134" s="3"/>
      <c r="C134" t="s">
        <v>188</v>
      </c>
      <c r="D134" s="7" t="s">
        <v>185</v>
      </c>
      <c r="E134" t="s">
        <v>475</v>
      </c>
      <c r="F134" s="42" t="s">
        <v>211</v>
      </c>
      <c r="G134" s="3"/>
      <c r="H134" s="4">
        <v>24.02</v>
      </c>
    </row>
    <row r="135" spans="1:19" ht="32" x14ac:dyDescent="0.2">
      <c r="A135" s="20" t="s">
        <v>343</v>
      </c>
      <c r="B135" s="21" t="s">
        <v>340</v>
      </c>
      <c r="C135" s="21" t="s">
        <v>131</v>
      </c>
      <c r="D135" s="21" t="s">
        <v>1</v>
      </c>
      <c r="E135" s="21" t="s">
        <v>20</v>
      </c>
      <c r="F135" s="26" t="s">
        <v>211</v>
      </c>
      <c r="G135" s="21"/>
      <c r="H135" s="39">
        <v>670.5</v>
      </c>
      <c r="I135" s="39"/>
      <c r="J135" s="21" t="s">
        <v>21</v>
      </c>
      <c r="K135" s="24" t="s">
        <v>0</v>
      </c>
      <c r="L135" s="21" t="s">
        <v>0</v>
      </c>
      <c r="M135" s="21" t="s">
        <v>0</v>
      </c>
      <c r="N135" s="21" t="s">
        <v>131</v>
      </c>
      <c r="O135" s="21" t="s">
        <v>132</v>
      </c>
      <c r="P135" s="21" t="s">
        <v>86</v>
      </c>
      <c r="Q135" s="21" t="s">
        <v>87</v>
      </c>
      <c r="R135" s="21" t="s">
        <v>25</v>
      </c>
      <c r="S135" s="21" t="s">
        <v>344</v>
      </c>
    </row>
    <row r="136" spans="1:19" ht="32" x14ac:dyDescent="0.2">
      <c r="A136" s="20" t="s">
        <v>340</v>
      </c>
      <c r="B136" s="21" t="s">
        <v>340</v>
      </c>
      <c r="C136" s="21" t="s">
        <v>131</v>
      </c>
      <c r="D136" s="21" t="s">
        <v>1</v>
      </c>
      <c r="E136" s="21" t="s">
        <v>20</v>
      </c>
      <c r="F136" s="21" t="s">
        <v>211</v>
      </c>
      <c r="G136" s="21"/>
      <c r="H136" s="39">
        <v>-18.399999999999999</v>
      </c>
      <c r="I136" s="39"/>
      <c r="J136" s="21" t="s">
        <v>21</v>
      </c>
      <c r="K136" s="24" t="s">
        <v>0</v>
      </c>
      <c r="L136" s="21" t="s">
        <v>0</v>
      </c>
      <c r="M136" s="21" t="s">
        <v>0</v>
      </c>
      <c r="N136" s="21" t="s">
        <v>131</v>
      </c>
      <c r="O136" s="21" t="s">
        <v>132</v>
      </c>
      <c r="P136" s="21" t="s">
        <v>86</v>
      </c>
      <c r="Q136" s="21" t="s">
        <v>87</v>
      </c>
      <c r="R136" s="21" t="s">
        <v>25</v>
      </c>
      <c r="S136" s="21" t="s">
        <v>342</v>
      </c>
    </row>
    <row r="137" spans="1:19" ht="32" x14ac:dyDescent="0.2">
      <c r="A137" s="20" t="s">
        <v>326</v>
      </c>
      <c r="B137" s="21" t="s">
        <v>323</v>
      </c>
      <c r="C137" s="21" t="s">
        <v>329</v>
      </c>
      <c r="D137" s="21" t="s">
        <v>32</v>
      </c>
      <c r="E137" s="21" t="s">
        <v>33</v>
      </c>
      <c r="F137" s="21" t="s">
        <v>211</v>
      </c>
      <c r="G137" s="21"/>
      <c r="H137" s="39">
        <v>31.17</v>
      </c>
      <c r="I137" s="39"/>
      <c r="J137" s="21" t="s">
        <v>21</v>
      </c>
      <c r="K137" s="24" t="s">
        <v>0</v>
      </c>
      <c r="L137" s="21" t="s">
        <v>0</v>
      </c>
      <c r="M137" s="21" t="s">
        <v>0</v>
      </c>
      <c r="N137" s="21" t="s">
        <v>329</v>
      </c>
      <c r="O137" s="21" t="s">
        <v>330</v>
      </c>
      <c r="P137" s="21" t="s">
        <v>331</v>
      </c>
      <c r="Q137" s="21" t="s">
        <v>332</v>
      </c>
      <c r="R137" s="21" t="s">
        <v>25</v>
      </c>
      <c r="S137" s="21" t="s">
        <v>333</v>
      </c>
    </row>
    <row r="138" spans="1:19" ht="48" x14ac:dyDescent="0.2">
      <c r="A138" s="20" t="s">
        <v>326</v>
      </c>
      <c r="B138" s="21" t="s">
        <v>323</v>
      </c>
      <c r="C138" s="21" t="s">
        <v>334</v>
      </c>
      <c r="D138" s="21" t="s">
        <v>1</v>
      </c>
      <c r="E138" s="21" t="s">
        <v>20</v>
      </c>
      <c r="F138" s="21" t="s">
        <v>211</v>
      </c>
      <c r="G138" s="21"/>
      <c r="H138" s="39">
        <v>353</v>
      </c>
      <c r="I138" s="39"/>
      <c r="J138" s="21" t="s">
        <v>21</v>
      </c>
      <c r="K138" s="24" t="s">
        <v>0</v>
      </c>
      <c r="L138" s="21" t="s">
        <v>0</v>
      </c>
      <c r="M138" s="21" t="s">
        <v>335</v>
      </c>
      <c r="N138" s="21" t="s">
        <v>334</v>
      </c>
      <c r="O138" s="21" t="s">
        <v>336</v>
      </c>
      <c r="P138" s="21" t="s">
        <v>337</v>
      </c>
      <c r="Q138" s="21" t="s">
        <v>338</v>
      </c>
      <c r="R138" s="21" t="s">
        <v>25</v>
      </c>
      <c r="S138" s="21" t="s">
        <v>339</v>
      </c>
    </row>
    <row r="139" spans="1:19" ht="32" x14ac:dyDescent="0.2">
      <c r="A139" s="20" t="s">
        <v>323</v>
      </c>
      <c r="B139" s="21" t="s">
        <v>311</v>
      </c>
      <c r="C139" s="21" t="s">
        <v>44</v>
      </c>
      <c r="D139" s="21" t="s">
        <v>1</v>
      </c>
      <c r="E139" s="21" t="s">
        <v>20</v>
      </c>
      <c r="F139" s="21" t="s">
        <v>211</v>
      </c>
      <c r="G139" s="21"/>
      <c r="H139" s="39">
        <v>23.95</v>
      </c>
      <c r="I139" s="39"/>
      <c r="J139" s="21" t="s">
        <v>21</v>
      </c>
      <c r="K139" s="24" t="s">
        <v>0</v>
      </c>
      <c r="L139" s="21" t="s">
        <v>0</v>
      </c>
      <c r="M139" s="21" t="s">
        <v>0</v>
      </c>
      <c r="N139" s="21" t="s">
        <v>44</v>
      </c>
      <c r="O139" s="21" t="s">
        <v>45</v>
      </c>
      <c r="P139" s="21" t="s">
        <v>46</v>
      </c>
      <c r="Q139" s="21" t="s">
        <v>47</v>
      </c>
      <c r="R139" s="21" t="s">
        <v>25</v>
      </c>
      <c r="S139" s="21" t="s">
        <v>325</v>
      </c>
    </row>
    <row r="140" spans="1:19" x14ac:dyDescent="0.2">
      <c r="A140" s="25">
        <v>45646</v>
      </c>
      <c r="B140" s="3"/>
      <c r="C140" t="s">
        <v>478</v>
      </c>
      <c r="D140" s="7" t="s">
        <v>185</v>
      </c>
      <c r="E140" t="s">
        <v>475</v>
      </c>
      <c r="F140" t="s">
        <v>211</v>
      </c>
      <c r="G140" s="3"/>
      <c r="H140" s="4">
        <v>14.5</v>
      </c>
    </row>
    <row r="141" spans="1:19" x14ac:dyDescent="0.2">
      <c r="A141" s="25">
        <v>45646</v>
      </c>
      <c r="B141" s="3"/>
      <c r="C141" t="s">
        <v>478</v>
      </c>
      <c r="D141" s="7" t="s">
        <v>185</v>
      </c>
      <c r="E141" t="s">
        <v>475</v>
      </c>
      <c r="F141" t="s">
        <v>211</v>
      </c>
      <c r="G141" s="3"/>
      <c r="H141" s="4">
        <v>4.9000000000000004</v>
      </c>
    </row>
    <row r="142" spans="1:19" ht="32" x14ac:dyDescent="0.2">
      <c r="A142" s="20" t="s">
        <v>323</v>
      </c>
      <c r="B142" s="21" t="s">
        <v>311</v>
      </c>
      <c r="C142" s="21" t="s">
        <v>48</v>
      </c>
      <c r="D142" s="21" t="s">
        <v>1</v>
      </c>
      <c r="E142" s="21" t="s">
        <v>147</v>
      </c>
      <c r="F142" s="21" t="s">
        <v>211</v>
      </c>
      <c r="G142" s="21"/>
      <c r="H142" s="39">
        <v>10.210000000000001</v>
      </c>
      <c r="I142" s="39"/>
      <c r="J142" s="21" t="s">
        <v>21</v>
      </c>
      <c r="K142" s="24" t="s">
        <v>0</v>
      </c>
      <c r="L142" s="21" t="s">
        <v>0</v>
      </c>
      <c r="M142" s="21" t="s">
        <v>0</v>
      </c>
      <c r="N142" s="21" t="s">
        <v>48</v>
      </c>
      <c r="O142" s="21" t="s">
        <v>50</v>
      </c>
      <c r="P142" s="21" t="s">
        <v>23</v>
      </c>
      <c r="Q142" s="21" t="s">
        <v>24</v>
      </c>
      <c r="R142" s="21" t="s">
        <v>25</v>
      </c>
      <c r="S142" s="21" t="s">
        <v>448</v>
      </c>
    </row>
    <row r="143" spans="1:19" ht="32" x14ac:dyDescent="0.2">
      <c r="A143" s="20" t="s">
        <v>311</v>
      </c>
      <c r="B143" s="21" t="s">
        <v>312</v>
      </c>
      <c r="C143" s="21" t="s">
        <v>77</v>
      </c>
      <c r="D143" s="21" t="s">
        <v>1</v>
      </c>
      <c r="E143" s="21" t="s">
        <v>20</v>
      </c>
      <c r="F143" s="26" t="s">
        <v>211</v>
      </c>
      <c r="G143" s="21"/>
      <c r="H143" s="39">
        <v>13.21</v>
      </c>
      <c r="I143" s="39"/>
      <c r="J143" s="21" t="s">
        <v>78</v>
      </c>
      <c r="K143" s="24">
        <v>0.38</v>
      </c>
      <c r="L143" s="21" t="s">
        <v>0</v>
      </c>
      <c r="M143" s="21" t="s">
        <v>0</v>
      </c>
      <c r="N143" s="21" t="s">
        <v>77</v>
      </c>
      <c r="O143" s="21" t="s">
        <v>79</v>
      </c>
      <c r="P143" s="21" t="s">
        <v>80</v>
      </c>
      <c r="Q143" s="21" t="s">
        <v>81</v>
      </c>
      <c r="R143" s="21" t="s">
        <v>61</v>
      </c>
      <c r="S143" s="21" t="s">
        <v>313</v>
      </c>
    </row>
    <row r="144" spans="1:19" ht="32" x14ac:dyDescent="0.2">
      <c r="A144" s="20" t="s">
        <v>311</v>
      </c>
      <c r="B144" s="21" t="s">
        <v>312</v>
      </c>
      <c r="C144" s="21" t="s">
        <v>88</v>
      </c>
      <c r="D144" s="21" t="s">
        <v>32</v>
      </c>
      <c r="E144" s="21" t="s">
        <v>33</v>
      </c>
      <c r="F144" s="26" t="s">
        <v>211</v>
      </c>
      <c r="G144" s="21"/>
      <c r="H144" s="39">
        <v>9.99</v>
      </c>
      <c r="I144" s="39"/>
      <c r="J144" s="21" t="s">
        <v>21</v>
      </c>
      <c r="K144" s="24" t="s">
        <v>0</v>
      </c>
      <c r="L144" s="21" t="s">
        <v>0</v>
      </c>
      <c r="M144" s="21" t="s">
        <v>0</v>
      </c>
      <c r="N144" s="21" t="s">
        <v>88</v>
      </c>
      <c r="O144" s="21" t="s">
        <v>89</v>
      </c>
      <c r="P144" s="21" t="s">
        <v>90</v>
      </c>
      <c r="Q144" s="21" t="s">
        <v>91</v>
      </c>
      <c r="R144" s="21" t="s">
        <v>25</v>
      </c>
      <c r="S144" s="21" t="s">
        <v>322</v>
      </c>
    </row>
    <row r="145" spans="1:19" x14ac:dyDescent="0.2">
      <c r="A145" s="25">
        <v>45649</v>
      </c>
      <c r="B145" s="3"/>
      <c r="C145" t="s">
        <v>188</v>
      </c>
      <c r="D145" s="7" t="s">
        <v>185</v>
      </c>
      <c r="E145" t="s">
        <v>475</v>
      </c>
      <c r="F145" t="s">
        <v>211</v>
      </c>
      <c r="G145" s="3"/>
      <c r="H145" s="4">
        <v>6.28</v>
      </c>
    </row>
    <row r="146" spans="1:19" x14ac:dyDescent="0.2">
      <c r="A146" s="25">
        <v>45649</v>
      </c>
      <c r="B146" s="3"/>
      <c r="C146" t="s">
        <v>186</v>
      </c>
      <c r="D146" s="7" t="s">
        <v>185</v>
      </c>
      <c r="E146" t="s">
        <v>475</v>
      </c>
      <c r="F146" t="s">
        <v>211</v>
      </c>
      <c r="G146" s="3"/>
      <c r="H146" s="4">
        <v>40.950000000000003</v>
      </c>
    </row>
    <row r="147" spans="1:19" x14ac:dyDescent="0.2">
      <c r="A147" s="25">
        <v>45649</v>
      </c>
      <c r="B147" s="3"/>
      <c r="C147" t="s">
        <v>476</v>
      </c>
      <c r="D147" s="7" t="s">
        <v>185</v>
      </c>
      <c r="E147" t="s">
        <v>475</v>
      </c>
      <c r="F147" t="s">
        <v>211</v>
      </c>
      <c r="G147" s="3"/>
      <c r="H147" s="4">
        <v>27.41</v>
      </c>
    </row>
    <row r="148" spans="1:19" x14ac:dyDescent="0.2">
      <c r="A148" s="25">
        <v>45649</v>
      </c>
      <c r="B148" s="3"/>
      <c r="C148" t="s">
        <v>477</v>
      </c>
      <c r="D148" s="7" t="s">
        <v>185</v>
      </c>
      <c r="E148" t="s">
        <v>475</v>
      </c>
      <c r="F148" t="s">
        <v>211</v>
      </c>
      <c r="G148" s="3"/>
      <c r="H148" s="4">
        <v>14.62</v>
      </c>
    </row>
    <row r="149" spans="1:19" ht="32" x14ac:dyDescent="0.2">
      <c r="A149" s="20" t="s">
        <v>278</v>
      </c>
      <c r="B149" s="21" t="s">
        <v>278</v>
      </c>
      <c r="C149" s="21" t="s">
        <v>281</v>
      </c>
      <c r="D149" s="21" t="s">
        <v>1</v>
      </c>
      <c r="E149" s="21" t="s">
        <v>20</v>
      </c>
      <c r="F149" s="21" t="s">
        <v>211</v>
      </c>
      <c r="G149" s="21"/>
      <c r="H149" s="39">
        <v>12.5</v>
      </c>
      <c r="I149" s="39"/>
      <c r="J149" s="21" t="s">
        <v>21</v>
      </c>
      <c r="K149" s="24" t="s">
        <v>0</v>
      </c>
      <c r="L149" s="21" t="s">
        <v>0</v>
      </c>
      <c r="M149" s="21" t="s">
        <v>282</v>
      </c>
      <c r="N149" s="21" t="s">
        <v>281</v>
      </c>
      <c r="O149" s="21" t="s">
        <v>283</v>
      </c>
      <c r="P149" s="21" t="s">
        <v>95</v>
      </c>
      <c r="Q149" s="21" t="s">
        <v>96</v>
      </c>
      <c r="R149" s="21" t="s">
        <v>25</v>
      </c>
      <c r="S149" s="21" t="s">
        <v>284</v>
      </c>
    </row>
    <row r="150" spans="1:19" ht="16" x14ac:dyDescent="0.2">
      <c r="A150" s="25">
        <v>45650</v>
      </c>
      <c r="B150" s="3"/>
      <c r="C150" t="s">
        <v>187</v>
      </c>
      <c r="D150" s="7" t="s">
        <v>185</v>
      </c>
      <c r="E150" t="s">
        <v>475</v>
      </c>
      <c r="F150" s="21" t="s">
        <v>211</v>
      </c>
      <c r="G150" s="3"/>
      <c r="H150" s="4">
        <v>48.5</v>
      </c>
    </row>
    <row r="151" spans="1:19" ht="32" x14ac:dyDescent="0.2">
      <c r="A151" s="20" t="s">
        <v>278</v>
      </c>
      <c r="B151" s="21" t="s">
        <v>278</v>
      </c>
      <c r="C151" s="21" t="s">
        <v>274</v>
      </c>
      <c r="D151" s="21" t="s">
        <v>1</v>
      </c>
      <c r="E151" s="21" t="s">
        <v>20</v>
      </c>
      <c r="F151" s="21" t="s">
        <v>211</v>
      </c>
      <c r="G151" s="21"/>
      <c r="H151" s="39">
        <v>16.760000000000002</v>
      </c>
      <c r="I151" s="39"/>
      <c r="J151" s="21" t="s">
        <v>21</v>
      </c>
      <c r="K151" s="24" t="s">
        <v>0</v>
      </c>
      <c r="L151" s="21" t="s">
        <v>0</v>
      </c>
      <c r="M151" s="21" t="s">
        <v>0</v>
      </c>
      <c r="N151" s="21" t="s">
        <v>274</v>
      </c>
      <c r="O151" s="21" t="s">
        <v>89</v>
      </c>
      <c r="P151" s="21" t="s">
        <v>90</v>
      </c>
      <c r="Q151" s="21" t="s">
        <v>91</v>
      </c>
      <c r="R151" s="21" t="s">
        <v>25</v>
      </c>
      <c r="S151" s="21" t="s">
        <v>290</v>
      </c>
    </row>
    <row r="152" spans="1:19" ht="32" x14ac:dyDescent="0.2">
      <c r="A152" s="20" t="s">
        <v>278</v>
      </c>
      <c r="B152" s="21" t="s">
        <v>278</v>
      </c>
      <c r="C152" s="21" t="s">
        <v>274</v>
      </c>
      <c r="D152" s="21" t="s">
        <v>1</v>
      </c>
      <c r="E152" s="21" t="s">
        <v>20</v>
      </c>
      <c r="F152" s="21" t="s">
        <v>211</v>
      </c>
      <c r="G152" s="21"/>
      <c r="H152" s="39">
        <v>25.21</v>
      </c>
      <c r="I152" s="39"/>
      <c r="J152" s="21" t="s">
        <v>21</v>
      </c>
      <c r="K152" s="24" t="s">
        <v>0</v>
      </c>
      <c r="L152" s="21" t="s">
        <v>0</v>
      </c>
      <c r="M152" s="21" t="s">
        <v>0</v>
      </c>
      <c r="N152" s="21" t="s">
        <v>274</v>
      </c>
      <c r="O152" s="21" t="s">
        <v>89</v>
      </c>
      <c r="P152" s="21" t="s">
        <v>90</v>
      </c>
      <c r="Q152" s="21" t="s">
        <v>91</v>
      </c>
      <c r="R152" s="21" t="s">
        <v>25</v>
      </c>
      <c r="S152" s="21" t="s">
        <v>291</v>
      </c>
    </row>
    <row r="153" spans="1:19" ht="32" x14ac:dyDescent="0.2">
      <c r="A153" s="20" t="s">
        <v>278</v>
      </c>
      <c r="B153" s="21" t="s">
        <v>278</v>
      </c>
      <c r="C153" s="21" t="s">
        <v>131</v>
      </c>
      <c r="D153" s="21" t="s">
        <v>1</v>
      </c>
      <c r="E153" s="21" t="s">
        <v>20</v>
      </c>
      <c r="F153" s="21" t="s">
        <v>211</v>
      </c>
      <c r="G153" s="21"/>
      <c r="H153" s="39">
        <v>61.26</v>
      </c>
      <c r="I153" s="39"/>
      <c r="J153" s="21" t="s">
        <v>21</v>
      </c>
      <c r="K153" s="24" t="s">
        <v>0</v>
      </c>
      <c r="L153" s="21" t="s">
        <v>0</v>
      </c>
      <c r="M153" s="21" t="s">
        <v>0</v>
      </c>
      <c r="N153" s="21" t="s">
        <v>131</v>
      </c>
      <c r="O153" s="21" t="s">
        <v>132</v>
      </c>
      <c r="P153" s="21" t="s">
        <v>86</v>
      </c>
      <c r="Q153" s="21" t="s">
        <v>87</v>
      </c>
      <c r="R153" s="21" t="s">
        <v>25</v>
      </c>
      <c r="S153" s="21" t="s">
        <v>292</v>
      </c>
    </row>
    <row r="154" spans="1:19" ht="32" x14ac:dyDescent="0.2">
      <c r="A154" s="20" t="s">
        <v>268</v>
      </c>
      <c r="B154" s="21" t="s">
        <v>261</v>
      </c>
      <c r="C154" s="21" t="s">
        <v>274</v>
      </c>
      <c r="D154" s="21" t="s">
        <v>1</v>
      </c>
      <c r="E154" s="21" t="s">
        <v>20</v>
      </c>
      <c r="F154" s="26" t="s">
        <v>211</v>
      </c>
      <c r="G154" s="21"/>
      <c r="H154" s="39">
        <v>5</v>
      </c>
      <c r="I154" s="39"/>
      <c r="J154" s="21" t="s">
        <v>21</v>
      </c>
      <c r="K154" s="24" t="s">
        <v>0</v>
      </c>
      <c r="L154" s="21" t="s">
        <v>0</v>
      </c>
      <c r="M154" s="21" t="s">
        <v>0</v>
      </c>
      <c r="N154" s="21" t="s">
        <v>274</v>
      </c>
      <c r="O154" s="21" t="s">
        <v>89</v>
      </c>
      <c r="P154" s="21" t="s">
        <v>90</v>
      </c>
      <c r="Q154" s="21" t="s">
        <v>91</v>
      </c>
      <c r="R154" s="21" t="s">
        <v>25</v>
      </c>
      <c r="S154" s="21" t="s">
        <v>275</v>
      </c>
    </row>
    <row r="155" spans="1:19" ht="32" x14ac:dyDescent="0.2">
      <c r="A155" s="20" t="s">
        <v>261</v>
      </c>
      <c r="B155" s="21" t="s">
        <v>249</v>
      </c>
      <c r="C155" s="21" t="s">
        <v>19</v>
      </c>
      <c r="D155" s="21" t="s">
        <v>1</v>
      </c>
      <c r="E155" s="21" t="s">
        <v>20</v>
      </c>
      <c r="F155" s="21" t="s">
        <v>211</v>
      </c>
      <c r="G155" s="21"/>
      <c r="H155" s="39">
        <v>5.99</v>
      </c>
      <c r="I155" s="39"/>
      <c r="J155" s="21" t="s">
        <v>21</v>
      </c>
      <c r="K155" s="24" t="s">
        <v>0</v>
      </c>
      <c r="L155" s="21" t="s">
        <v>0</v>
      </c>
      <c r="M155" s="21" t="s">
        <v>0</v>
      </c>
      <c r="N155" s="21" t="s">
        <v>19</v>
      </c>
      <c r="O155" s="21" t="s">
        <v>22</v>
      </c>
      <c r="P155" s="21" t="s">
        <v>23</v>
      </c>
      <c r="Q155" s="21" t="s">
        <v>24</v>
      </c>
      <c r="R155" s="21" t="s">
        <v>25</v>
      </c>
      <c r="S155" s="21" t="s">
        <v>262</v>
      </c>
    </row>
    <row r="156" spans="1:19" ht="32" x14ac:dyDescent="0.2">
      <c r="A156" s="20" t="s">
        <v>261</v>
      </c>
      <c r="B156" s="21" t="s">
        <v>261</v>
      </c>
      <c r="C156" s="21" t="s">
        <v>44</v>
      </c>
      <c r="D156" s="21" t="s">
        <v>1</v>
      </c>
      <c r="E156" s="21" t="s">
        <v>20</v>
      </c>
      <c r="F156" s="21" t="s">
        <v>211</v>
      </c>
      <c r="G156" s="21"/>
      <c r="H156" s="39">
        <v>23.95</v>
      </c>
      <c r="I156" s="39"/>
      <c r="J156" s="21" t="s">
        <v>21</v>
      </c>
      <c r="K156" s="24" t="s">
        <v>0</v>
      </c>
      <c r="L156" s="21" t="s">
        <v>0</v>
      </c>
      <c r="M156" s="21" t="s">
        <v>0</v>
      </c>
      <c r="N156" s="21" t="s">
        <v>44</v>
      </c>
      <c r="O156" s="21" t="s">
        <v>45</v>
      </c>
      <c r="P156" s="21" t="s">
        <v>46</v>
      </c>
      <c r="Q156" s="21" t="s">
        <v>47</v>
      </c>
      <c r="R156" s="21" t="s">
        <v>25</v>
      </c>
      <c r="S156" s="21" t="s">
        <v>264</v>
      </c>
    </row>
    <row r="157" spans="1:19" ht="32" x14ac:dyDescent="0.2">
      <c r="A157" s="20" t="s">
        <v>261</v>
      </c>
      <c r="B157" s="21" t="s">
        <v>249</v>
      </c>
      <c r="C157" s="21" t="s">
        <v>64</v>
      </c>
      <c r="D157" s="21" t="s">
        <v>32</v>
      </c>
      <c r="E157" s="21" t="s">
        <v>33</v>
      </c>
      <c r="F157" s="21" t="s">
        <v>211</v>
      </c>
      <c r="G157" s="21"/>
      <c r="H157" s="39">
        <v>13.99</v>
      </c>
      <c r="I157" s="39"/>
      <c r="J157" s="21" t="s">
        <v>21</v>
      </c>
      <c r="K157" s="24" t="s">
        <v>0</v>
      </c>
      <c r="L157" s="21" t="s">
        <v>0</v>
      </c>
      <c r="M157" s="21" t="s">
        <v>0</v>
      </c>
      <c r="N157" s="21" t="s">
        <v>64</v>
      </c>
      <c r="O157" s="21" t="s">
        <v>65</v>
      </c>
      <c r="P157" s="21" t="s">
        <v>66</v>
      </c>
      <c r="Q157" s="21" t="s">
        <v>67</v>
      </c>
      <c r="R157" s="21" t="s">
        <v>38</v>
      </c>
      <c r="S157" s="21" t="s">
        <v>266</v>
      </c>
    </row>
    <row r="158" spans="1:19" ht="48" x14ac:dyDescent="0.2">
      <c r="A158" s="20" t="s">
        <v>261</v>
      </c>
      <c r="B158" s="21" t="s">
        <v>249</v>
      </c>
      <c r="C158" s="21" t="s">
        <v>48</v>
      </c>
      <c r="D158" s="21" t="s">
        <v>1</v>
      </c>
      <c r="E158" s="21" t="s">
        <v>20</v>
      </c>
      <c r="F158" s="26" t="s">
        <v>211</v>
      </c>
      <c r="G158" s="26"/>
      <c r="H158" s="39">
        <v>16.71</v>
      </c>
      <c r="I158" s="39"/>
      <c r="J158" s="21" t="s">
        <v>21</v>
      </c>
      <c r="K158" s="24" t="s">
        <v>0</v>
      </c>
      <c r="L158" s="21" t="s">
        <v>0</v>
      </c>
      <c r="M158" s="21" t="s">
        <v>49</v>
      </c>
      <c r="N158" s="21" t="s">
        <v>48</v>
      </c>
      <c r="O158" s="21" t="s">
        <v>50</v>
      </c>
      <c r="P158" s="21" t="s">
        <v>23</v>
      </c>
      <c r="Q158" s="21" t="s">
        <v>24</v>
      </c>
      <c r="R158" s="21" t="s">
        <v>25</v>
      </c>
      <c r="S158" s="21" t="s">
        <v>267</v>
      </c>
    </row>
    <row r="159" spans="1:19" ht="48" x14ac:dyDescent="0.2">
      <c r="A159" s="20" t="s">
        <v>249</v>
      </c>
      <c r="B159" s="21" t="s">
        <v>246</v>
      </c>
      <c r="C159" s="21" t="s">
        <v>251</v>
      </c>
      <c r="D159" s="21" t="s">
        <v>1</v>
      </c>
      <c r="E159" s="21" t="s">
        <v>20</v>
      </c>
      <c r="F159" s="21" t="s">
        <v>211</v>
      </c>
      <c r="G159" s="21"/>
      <c r="H159" s="39">
        <v>10.199999999999999</v>
      </c>
      <c r="I159" s="39"/>
      <c r="J159" s="21" t="s">
        <v>21</v>
      </c>
      <c r="K159" s="24" t="s">
        <v>0</v>
      </c>
      <c r="L159" s="21" t="s">
        <v>0</v>
      </c>
      <c r="M159" s="21" t="s">
        <v>0</v>
      </c>
      <c r="N159" s="21" t="s">
        <v>251</v>
      </c>
      <c r="O159" s="21" t="s">
        <v>252</v>
      </c>
      <c r="P159" s="21" t="s">
        <v>253</v>
      </c>
      <c r="Q159" s="21" t="s">
        <v>254</v>
      </c>
      <c r="R159" s="21" t="s">
        <v>25</v>
      </c>
      <c r="S159" s="21" t="s">
        <v>255</v>
      </c>
    </row>
    <row r="160" spans="1:19" ht="48" x14ac:dyDescent="0.2">
      <c r="A160" s="20" t="s">
        <v>249</v>
      </c>
      <c r="B160" s="21" t="s">
        <v>249</v>
      </c>
      <c r="C160" s="21" t="s">
        <v>257</v>
      </c>
      <c r="D160" s="21" t="s">
        <v>32</v>
      </c>
      <c r="E160" s="21" t="s">
        <v>33</v>
      </c>
      <c r="F160" s="21" t="s">
        <v>211</v>
      </c>
      <c r="G160" s="21"/>
      <c r="H160" s="39">
        <v>20.9</v>
      </c>
      <c r="I160" s="39"/>
      <c r="J160" s="21" t="s">
        <v>21</v>
      </c>
      <c r="K160" s="24" t="s">
        <v>0</v>
      </c>
      <c r="L160" s="21" t="s">
        <v>0</v>
      </c>
      <c r="M160" s="21" t="s">
        <v>0</v>
      </c>
      <c r="N160" s="21" t="s">
        <v>257</v>
      </c>
      <c r="O160" s="21" t="s">
        <v>258</v>
      </c>
      <c r="P160" s="21" t="s">
        <v>42</v>
      </c>
      <c r="Q160" s="21" t="s">
        <v>43</v>
      </c>
      <c r="R160" s="21" t="s">
        <v>25</v>
      </c>
      <c r="S160" s="21" t="s">
        <v>259</v>
      </c>
    </row>
    <row r="161" spans="1:19" ht="48" x14ac:dyDescent="0.2">
      <c r="A161" s="20" t="s">
        <v>246</v>
      </c>
      <c r="B161" s="21" t="s">
        <v>241</v>
      </c>
      <c r="C161" s="21" t="s">
        <v>48</v>
      </c>
      <c r="D161" s="21" t="s">
        <v>1</v>
      </c>
      <c r="E161" s="21" t="s">
        <v>20</v>
      </c>
      <c r="F161" s="21" t="s">
        <v>211</v>
      </c>
      <c r="G161" s="21"/>
      <c r="H161" s="39">
        <v>14.63</v>
      </c>
      <c r="I161" s="39"/>
      <c r="J161" s="21" t="s">
        <v>21</v>
      </c>
      <c r="K161" s="24" t="s">
        <v>0</v>
      </c>
      <c r="L161" s="21" t="s">
        <v>0</v>
      </c>
      <c r="M161" s="21" t="s">
        <v>49</v>
      </c>
      <c r="N161" s="21" t="s">
        <v>48</v>
      </c>
      <c r="O161" s="21" t="s">
        <v>50</v>
      </c>
      <c r="P161" s="21" t="s">
        <v>23</v>
      </c>
      <c r="Q161" s="21" t="s">
        <v>24</v>
      </c>
      <c r="R161" s="21" t="s">
        <v>25</v>
      </c>
      <c r="S161" s="21" t="s">
        <v>247</v>
      </c>
    </row>
    <row r="162" spans="1:19" ht="32" x14ac:dyDescent="0.2">
      <c r="A162" s="20" t="s">
        <v>246</v>
      </c>
      <c r="B162" s="21" t="s">
        <v>241</v>
      </c>
      <c r="C162" s="21" t="s">
        <v>107</v>
      </c>
      <c r="D162" s="21" t="s">
        <v>1</v>
      </c>
      <c r="E162" s="21" t="s">
        <v>20</v>
      </c>
      <c r="F162" s="21" t="s">
        <v>211</v>
      </c>
      <c r="G162" s="21"/>
      <c r="H162" s="39">
        <v>46.53</v>
      </c>
      <c r="I162" s="39"/>
      <c r="J162" s="21" t="s">
        <v>21</v>
      </c>
      <c r="K162" s="24" t="s">
        <v>0</v>
      </c>
      <c r="L162" s="21" t="s">
        <v>0</v>
      </c>
      <c r="M162" s="21" t="s">
        <v>0</v>
      </c>
      <c r="N162" s="21" t="s">
        <v>107</v>
      </c>
      <c r="O162" s="21" t="s">
        <v>89</v>
      </c>
      <c r="P162" s="21" t="s">
        <v>90</v>
      </c>
      <c r="Q162" s="21" t="s">
        <v>91</v>
      </c>
      <c r="R162" s="21" t="s">
        <v>25</v>
      </c>
      <c r="S162" s="21" t="s">
        <v>248</v>
      </c>
    </row>
    <row r="163" spans="1:19" ht="32" x14ac:dyDescent="0.2">
      <c r="A163" s="20" t="s">
        <v>241</v>
      </c>
      <c r="B163" s="21" t="s">
        <v>239</v>
      </c>
      <c r="C163" s="21" t="s">
        <v>26</v>
      </c>
      <c r="D163" s="21" t="s">
        <v>1</v>
      </c>
      <c r="E163" s="21" t="s">
        <v>20</v>
      </c>
      <c r="F163" s="21" t="s">
        <v>211</v>
      </c>
      <c r="G163" s="21"/>
      <c r="H163" s="39">
        <v>19.18</v>
      </c>
      <c r="I163" s="39"/>
      <c r="J163" s="21" t="s">
        <v>27</v>
      </c>
      <c r="K163" s="24">
        <v>0.56000000000000005</v>
      </c>
      <c r="L163" s="21" t="s">
        <v>0</v>
      </c>
      <c r="M163" s="21" t="s">
        <v>0</v>
      </c>
      <c r="N163" s="21" t="s">
        <v>26</v>
      </c>
      <c r="O163" s="21" t="s">
        <v>28</v>
      </c>
      <c r="P163" s="21" t="s">
        <v>0</v>
      </c>
      <c r="Q163" s="21" t="s">
        <v>29</v>
      </c>
      <c r="R163" s="21" t="s">
        <v>30</v>
      </c>
      <c r="S163" s="21" t="s">
        <v>242</v>
      </c>
    </row>
    <row r="164" spans="1:19" ht="32" x14ac:dyDescent="0.2">
      <c r="A164" s="20" t="s">
        <v>378</v>
      </c>
      <c r="B164" s="21" t="s">
        <v>371</v>
      </c>
      <c r="C164" s="21" t="s">
        <v>19</v>
      </c>
      <c r="D164" s="21" t="s">
        <v>1</v>
      </c>
      <c r="E164" s="21" t="s">
        <v>20</v>
      </c>
      <c r="F164" s="21"/>
      <c r="G164" s="21"/>
      <c r="H164" s="39">
        <v>19.989999999999998</v>
      </c>
      <c r="I164" s="39"/>
      <c r="J164" s="21" t="s">
        <v>21</v>
      </c>
      <c r="K164" s="24" t="s">
        <v>0</v>
      </c>
      <c r="L164" s="21" t="s">
        <v>0</v>
      </c>
      <c r="M164" s="21" t="s">
        <v>0</v>
      </c>
      <c r="N164" s="21" t="s">
        <v>19</v>
      </c>
      <c r="O164" s="21" t="s">
        <v>22</v>
      </c>
      <c r="P164" s="21" t="s">
        <v>23</v>
      </c>
      <c r="Q164" s="21" t="s">
        <v>24</v>
      </c>
      <c r="R164" s="21" t="s">
        <v>25</v>
      </c>
      <c r="S164" s="21" t="s">
        <v>380</v>
      </c>
    </row>
    <row r="165" spans="1:19" x14ac:dyDescent="0.2">
      <c r="A165" s="20"/>
      <c r="B165" s="21"/>
      <c r="C165" s="21"/>
      <c r="D165" s="21"/>
      <c r="E165" s="21"/>
      <c r="F165" s="21"/>
      <c r="G165" s="21"/>
      <c r="H165" s="38"/>
      <c r="I165" s="38"/>
      <c r="J165" s="21"/>
      <c r="K165" s="22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2">
      <c r="A166" s="20"/>
      <c r="B166" s="21"/>
      <c r="C166" s="21"/>
      <c r="D166" s="21"/>
      <c r="E166" s="21"/>
      <c r="F166" s="21"/>
      <c r="G166" s="21"/>
      <c r="H166" s="38"/>
      <c r="I166" s="38"/>
      <c r="J166" s="21"/>
      <c r="K166" s="22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2">
      <c r="A167" s="20"/>
      <c r="B167" s="21"/>
      <c r="C167" s="21"/>
      <c r="D167" s="21"/>
      <c r="E167" s="21"/>
      <c r="F167" s="21"/>
      <c r="G167" s="21"/>
      <c r="H167" s="37"/>
      <c r="I167" s="37"/>
      <c r="J167" s="21"/>
      <c r="K167" s="23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2">
      <c r="A168" s="20"/>
      <c r="B168" s="21"/>
      <c r="C168" s="21"/>
      <c r="D168" s="21"/>
      <c r="E168" s="21"/>
      <c r="F168" s="21"/>
      <c r="G168" s="21"/>
      <c r="H168" s="38"/>
      <c r="I168" s="38"/>
      <c r="J168" s="21"/>
      <c r="K168" s="22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2">
      <c r="A169" s="20"/>
      <c r="B169" s="21"/>
      <c r="C169" s="21"/>
      <c r="D169" s="21"/>
      <c r="E169" s="21"/>
      <c r="F169" s="21"/>
      <c r="G169" s="21"/>
      <c r="H169" s="37"/>
      <c r="I169" s="37"/>
      <c r="J169" s="21"/>
      <c r="K169" s="23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2">
      <c r="A170" s="20"/>
      <c r="B170" s="21"/>
      <c r="C170" s="21"/>
      <c r="D170" s="21"/>
      <c r="E170" s="21"/>
      <c r="F170" s="21"/>
      <c r="G170" s="21"/>
      <c r="H170" s="37"/>
      <c r="I170" s="37"/>
      <c r="J170" s="21"/>
      <c r="K170" s="23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2">
      <c r="B171" s="3"/>
      <c r="F171" s="4"/>
    </row>
    <row r="172" spans="1:19" x14ac:dyDescent="0.2">
      <c r="A172" s="20"/>
      <c r="B172" s="21"/>
      <c r="C172" s="21"/>
      <c r="D172" s="21"/>
      <c r="E172" s="21"/>
      <c r="F172" s="21"/>
      <c r="G172" s="21"/>
      <c r="H172" s="38"/>
      <c r="I172" s="38"/>
      <c r="J172" s="21"/>
      <c r="K172" s="22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2">
      <c r="A173" s="20"/>
      <c r="B173" s="21"/>
      <c r="C173" s="21"/>
      <c r="D173" s="21"/>
      <c r="E173" s="21"/>
      <c r="F173" s="21"/>
      <c r="G173" s="21"/>
      <c r="H173" s="37"/>
      <c r="I173" s="37"/>
      <c r="J173" s="21"/>
      <c r="K173" s="23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2">
      <c r="A174" s="20"/>
      <c r="B174" s="21"/>
      <c r="C174" s="21"/>
      <c r="D174" s="21"/>
      <c r="E174" s="21"/>
      <c r="F174" s="21"/>
      <c r="G174" s="21"/>
      <c r="H174" s="39"/>
      <c r="I174" s="39"/>
      <c r="J174" s="21"/>
      <c r="K174" s="24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2">
      <c r="A175" s="20"/>
      <c r="B175" s="21"/>
      <c r="C175" s="21"/>
      <c r="D175" s="21"/>
      <c r="E175" s="21"/>
      <c r="F175" s="21"/>
      <c r="G175" s="21"/>
      <c r="H175" s="39"/>
      <c r="I175" s="39"/>
      <c r="J175" s="21"/>
      <c r="K175" s="24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2">
      <c r="A176" s="20"/>
      <c r="B176" s="21"/>
      <c r="C176" s="21"/>
      <c r="D176" s="21"/>
      <c r="E176" s="21"/>
      <c r="F176" s="21"/>
      <c r="G176" s="21"/>
      <c r="H176" s="37"/>
      <c r="I176" s="37"/>
      <c r="J176" s="21"/>
      <c r="K176" s="23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2">
      <c r="A177" s="20"/>
      <c r="B177" s="21"/>
      <c r="C177" s="21"/>
      <c r="D177" s="21"/>
      <c r="E177" s="21"/>
      <c r="F177" s="21"/>
      <c r="G177" s="21"/>
      <c r="H177" s="37"/>
      <c r="I177" s="37"/>
      <c r="J177" s="21"/>
      <c r="K177" s="23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2">
      <c r="A178" s="20"/>
      <c r="B178" s="21"/>
      <c r="C178" s="21"/>
      <c r="D178" s="21"/>
      <c r="E178" s="21"/>
      <c r="F178" s="21"/>
      <c r="G178" s="21"/>
      <c r="H178" s="38"/>
      <c r="I178" s="38"/>
      <c r="J178" s="21"/>
      <c r="K178" s="22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2">
      <c r="A179" s="20"/>
      <c r="B179" s="21"/>
      <c r="C179" s="21"/>
      <c r="D179" s="21"/>
      <c r="E179" s="21"/>
      <c r="F179" s="21"/>
      <c r="G179" s="21"/>
      <c r="H179" s="37"/>
      <c r="I179" s="37"/>
      <c r="J179" s="21"/>
      <c r="K179" s="23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2">
      <c r="A180" s="20"/>
      <c r="B180" s="21"/>
      <c r="C180" s="21"/>
      <c r="D180" s="21"/>
      <c r="E180" s="21"/>
      <c r="F180" s="21"/>
      <c r="G180" s="21"/>
      <c r="H180" s="38"/>
      <c r="I180" s="38"/>
      <c r="J180" s="21"/>
      <c r="K180" s="22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2">
      <c r="A181" s="20"/>
      <c r="B181" s="21"/>
      <c r="C181" s="21"/>
      <c r="D181" s="21"/>
      <c r="E181" s="21"/>
      <c r="F181" s="26"/>
      <c r="G181" s="26"/>
      <c r="H181" s="38"/>
      <c r="I181" s="38"/>
      <c r="J181" s="21"/>
      <c r="K181" s="22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2">
      <c r="A182" s="20"/>
      <c r="B182" s="21"/>
      <c r="C182" s="21"/>
      <c r="D182" s="21"/>
      <c r="E182" s="21"/>
      <c r="F182" s="21"/>
      <c r="G182" s="21"/>
      <c r="H182" s="37"/>
      <c r="I182" s="37"/>
      <c r="J182" s="21"/>
      <c r="K182" s="23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2">
      <c r="A183" s="20"/>
      <c r="B183" s="21"/>
      <c r="C183" s="21"/>
      <c r="D183" s="21"/>
      <c r="E183" s="21"/>
      <c r="F183" s="21"/>
      <c r="G183" s="21"/>
      <c r="H183" s="38"/>
      <c r="I183" s="38"/>
      <c r="J183" s="21"/>
      <c r="K183" s="22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2">
      <c r="A184" s="20"/>
      <c r="B184" s="21"/>
      <c r="C184" s="21"/>
      <c r="D184" s="21"/>
      <c r="E184" s="21"/>
      <c r="F184" s="21"/>
      <c r="G184" s="21"/>
      <c r="H184" s="37"/>
      <c r="I184" s="37"/>
      <c r="J184" s="21"/>
      <c r="K184" s="23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2">
      <c r="B185" s="3"/>
      <c r="F185" s="4"/>
    </row>
    <row r="186" spans="1:19" x14ac:dyDescent="0.2">
      <c r="B186" s="3"/>
      <c r="F186" s="4"/>
    </row>
    <row r="187" spans="1:19" x14ac:dyDescent="0.2">
      <c r="A187" s="20"/>
      <c r="B187" s="21"/>
      <c r="C187" s="21"/>
      <c r="D187" s="21"/>
      <c r="E187" s="21"/>
      <c r="F187" s="21"/>
      <c r="G187" s="21"/>
      <c r="H187" s="37"/>
      <c r="I187" s="37"/>
      <c r="J187" s="21"/>
      <c r="K187" s="23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2">
      <c r="A188" s="20"/>
      <c r="B188" s="21"/>
      <c r="C188" s="21"/>
      <c r="D188" s="21"/>
      <c r="E188" s="21"/>
      <c r="F188" s="26"/>
      <c r="G188" s="21"/>
      <c r="H188" s="38"/>
      <c r="I188" s="38"/>
      <c r="J188" s="21"/>
      <c r="K188" s="22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2">
      <c r="A189" s="20"/>
      <c r="B189" s="21"/>
      <c r="C189" s="21"/>
      <c r="D189" s="21"/>
      <c r="E189" s="21"/>
      <c r="F189" s="26"/>
      <c r="G189" s="21"/>
      <c r="H189" s="37"/>
      <c r="I189" s="37"/>
      <c r="J189" s="21"/>
      <c r="K189" s="23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2">
      <c r="B190" s="3"/>
      <c r="F190" s="4"/>
    </row>
    <row r="191" spans="1:19" x14ac:dyDescent="0.2">
      <c r="A191" s="20"/>
      <c r="B191" s="21"/>
      <c r="C191" s="21"/>
      <c r="D191" s="21"/>
      <c r="E191" s="21"/>
      <c r="F191" s="21"/>
      <c r="G191" s="21"/>
      <c r="H191" s="37"/>
      <c r="I191" s="37"/>
      <c r="J191" s="21"/>
      <c r="K191" s="23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2">
      <c r="B192" s="3"/>
      <c r="F192" s="4"/>
    </row>
    <row r="193" spans="1:19" x14ac:dyDescent="0.2">
      <c r="B193" s="3"/>
      <c r="F193" s="4"/>
    </row>
    <row r="194" spans="1:19" x14ac:dyDescent="0.2">
      <c r="B194" s="3"/>
      <c r="F194" s="4"/>
    </row>
    <row r="195" spans="1:19" x14ac:dyDescent="0.2">
      <c r="A195" s="20"/>
      <c r="B195" s="21"/>
      <c r="C195" s="21"/>
      <c r="D195" s="21"/>
      <c r="E195" s="21"/>
      <c r="F195" s="21"/>
      <c r="G195" s="21"/>
      <c r="H195" s="38"/>
      <c r="I195" s="38"/>
      <c r="J195" s="21"/>
      <c r="K195" s="22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2">
      <c r="A196" s="20"/>
      <c r="B196" s="21"/>
      <c r="C196" s="21"/>
      <c r="D196" s="21"/>
      <c r="E196" s="21"/>
      <c r="F196" s="21"/>
      <c r="G196" s="21"/>
      <c r="H196" s="38"/>
      <c r="I196" s="38"/>
      <c r="J196" s="21"/>
      <c r="K196" s="22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2">
      <c r="A197" s="20"/>
      <c r="B197" s="21"/>
      <c r="C197" s="21"/>
      <c r="D197" s="21"/>
      <c r="E197" s="21"/>
      <c r="F197" s="21"/>
      <c r="G197" s="21"/>
      <c r="H197" s="37"/>
      <c r="I197" s="37"/>
      <c r="J197" s="21"/>
      <c r="K197" s="23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2">
      <c r="A198" s="20"/>
      <c r="B198" s="21"/>
      <c r="C198" s="21"/>
      <c r="D198" s="21"/>
      <c r="E198" s="21"/>
      <c r="F198" s="21"/>
      <c r="G198" s="21"/>
      <c r="H198" s="38"/>
      <c r="I198" s="38"/>
      <c r="J198" s="21"/>
      <c r="K198" s="22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2">
      <c r="A199" s="20"/>
      <c r="B199" s="21"/>
      <c r="C199" s="21"/>
      <c r="D199" s="21"/>
      <c r="E199" s="21"/>
      <c r="F199" s="21"/>
      <c r="G199" s="21"/>
      <c r="H199" s="37"/>
      <c r="I199" s="37"/>
      <c r="J199" s="21"/>
      <c r="K199" s="23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2">
      <c r="A200" s="20"/>
      <c r="B200" s="21"/>
      <c r="C200" s="21"/>
      <c r="D200" s="21"/>
      <c r="E200" s="21"/>
      <c r="F200" s="21"/>
      <c r="G200" s="21"/>
      <c r="H200" s="38"/>
      <c r="I200" s="38"/>
      <c r="J200" s="21"/>
      <c r="K200" s="22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2">
      <c r="A201" s="20"/>
      <c r="B201" s="21"/>
      <c r="C201" s="21"/>
      <c r="D201" s="21"/>
      <c r="E201" s="21"/>
      <c r="F201" s="21"/>
      <c r="G201" s="21"/>
      <c r="H201" s="38"/>
      <c r="I201" s="38"/>
      <c r="J201" s="21"/>
      <c r="K201" s="22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2">
      <c r="A202" s="20"/>
      <c r="B202" s="21"/>
      <c r="C202" s="21"/>
      <c r="D202" s="21"/>
      <c r="E202" s="21"/>
      <c r="F202" s="21"/>
      <c r="G202" s="21"/>
      <c r="H202" s="37"/>
      <c r="I202" s="37"/>
      <c r="J202" s="21"/>
      <c r="K202" s="23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2">
      <c r="A203" s="20"/>
      <c r="B203" s="21"/>
      <c r="C203" s="21"/>
      <c r="D203" s="21"/>
      <c r="E203" s="21"/>
      <c r="F203" s="21"/>
      <c r="G203" s="21"/>
      <c r="H203" s="39"/>
      <c r="I203" s="39"/>
      <c r="J203" s="21"/>
      <c r="K203" s="24"/>
      <c r="L203" s="21"/>
      <c r="M203" s="21"/>
      <c r="N203" s="21"/>
      <c r="O203" s="21"/>
      <c r="P203" s="21"/>
      <c r="Q203" s="21"/>
      <c r="R203" s="21"/>
      <c r="S203" s="21"/>
    </row>
  </sheetData>
  <sortState xmlns:xlrd2="http://schemas.microsoft.com/office/spreadsheetml/2017/richdata2" ref="A2:S204">
    <sortCondition ref="F2:F204"/>
    <sortCondition ref="A2:A2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8"/>
  <sheetViews>
    <sheetView workbookViewId="0">
      <selection activeCell="N36" sqref="N36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182</v>
      </c>
      <c r="G1" s="2" t="s">
        <v>183</v>
      </c>
      <c r="H1" s="5" t="s">
        <v>7</v>
      </c>
      <c r="I1" s="6" t="s">
        <v>184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3">
        <v>45631</v>
      </c>
      <c r="B2" s="3"/>
      <c r="C2" t="s">
        <v>497</v>
      </c>
      <c r="D2">
        <v>465083897</v>
      </c>
      <c r="E2" t="s">
        <v>203</v>
      </c>
      <c r="F2" t="s">
        <v>208</v>
      </c>
      <c r="G2" t="s">
        <v>209</v>
      </c>
      <c r="H2" s="4">
        <v>453.75</v>
      </c>
      <c r="I2" s="4">
        <f>H2/11</f>
        <v>41.25</v>
      </c>
      <c r="J2" t="s">
        <v>205</v>
      </c>
      <c r="K2">
        <v>14469.08</v>
      </c>
      <c r="L2" t="s">
        <v>205</v>
      </c>
      <c r="M2">
        <v>112879</v>
      </c>
      <c r="N2">
        <v>995</v>
      </c>
    </row>
    <row r="3" spans="1:19" x14ac:dyDescent="0.2">
      <c r="A3" s="3">
        <v>45646</v>
      </c>
      <c r="B3" s="3"/>
      <c r="C3" t="s">
        <v>498</v>
      </c>
      <c r="D3">
        <v>465083897</v>
      </c>
      <c r="E3" t="s">
        <v>203</v>
      </c>
      <c r="F3" t="s">
        <v>208</v>
      </c>
      <c r="G3" t="s">
        <v>209</v>
      </c>
      <c r="H3" s="4">
        <v>8439.92</v>
      </c>
      <c r="I3" s="4">
        <f t="shared" ref="I3:I4" si="0">H3/11</f>
        <v>767.26545454545453</v>
      </c>
      <c r="J3" t="s">
        <v>205</v>
      </c>
      <c r="K3">
        <v>22504.12</v>
      </c>
      <c r="L3" t="s">
        <v>205</v>
      </c>
      <c r="M3">
        <v>112879</v>
      </c>
      <c r="N3">
        <v>995</v>
      </c>
    </row>
    <row r="4" spans="1:19" x14ac:dyDescent="0.2">
      <c r="A4" s="3">
        <v>45649</v>
      </c>
      <c r="B4" s="3"/>
      <c r="C4" t="s">
        <v>499</v>
      </c>
      <c r="D4">
        <v>465083897</v>
      </c>
      <c r="E4" t="s">
        <v>203</v>
      </c>
      <c r="F4" t="s">
        <v>208</v>
      </c>
      <c r="G4" t="s">
        <v>209</v>
      </c>
      <c r="H4" s="4">
        <v>2301.1999999999998</v>
      </c>
      <c r="I4" s="4">
        <f t="shared" si="0"/>
        <v>209.2</v>
      </c>
      <c r="J4" t="s">
        <v>205</v>
      </c>
      <c r="K4">
        <v>14723.48</v>
      </c>
      <c r="L4" t="s">
        <v>205</v>
      </c>
      <c r="M4">
        <v>112879</v>
      </c>
      <c r="N4">
        <v>995</v>
      </c>
    </row>
    <row r="5" spans="1:19" x14ac:dyDescent="0.2">
      <c r="A5" s="3">
        <v>45657</v>
      </c>
      <c r="B5" s="3"/>
      <c r="C5" t="s">
        <v>207</v>
      </c>
      <c r="D5">
        <v>465083897</v>
      </c>
      <c r="E5" t="s">
        <v>203</v>
      </c>
      <c r="F5" t="s">
        <v>210</v>
      </c>
      <c r="G5" t="s">
        <v>501</v>
      </c>
      <c r="H5" s="4">
        <v>22.3</v>
      </c>
      <c r="J5" t="s">
        <v>205</v>
      </c>
      <c r="K5">
        <v>14605.78</v>
      </c>
      <c r="L5" t="s">
        <v>205</v>
      </c>
      <c r="M5">
        <v>112879</v>
      </c>
      <c r="N5">
        <v>995</v>
      </c>
    </row>
    <row r="6" spans="1:19" x14ac:dyDescent="0.2">
      <c r="A6" s="3">
        <v>45657</v>
      </c>
      <c r="B6" s="3"/>
      <c r="C6" t="s">
        <v>500</v>
      </c>
      <c r="D6">
        <v>465083897</v>
      </c>
      <c r="E6" t="s">
        <v>203</v>
      </c>
      <c r="F6" t="s">
        <v>210</v>
      </c>
      <c r="G6" t="s">
        <v>501</v>
      </c>
      <c r="H6" s="4">
        <v>39.78</v>
      </c>
      <c r="J6" t="s">
        <v>205</v>
      </c>
      <c r="K6">
        <v>14645.56</v>
      </c>
      <c r="L6" t="s">
        <v>205</v>
      </c>
      <c r="M6">
        <v>112879</v>
      </c>
      <c r="N6">
        <v>995</v>
      </c>
    </row>
    <row r="7" spans="1:19" x14ac:dyDescent="0.2">
      <c r="A7" s="3"/>
      <c r="B7" s="3"/>
    </row>
    <row r="8" spans="1:19" x14ac:dyDescent="0.2">
      <c r="H8" s="4">
        <f>SUM(H2:H7)</f>
        <v>11256.949999999999</v>
      </c>
      <c r="I8" s="4">
        <f>SUM(I2:I7)</f>
        <v>1017.7154545454546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2025-07-22T08:58:15Z</dcterms:modified>
</cp:coreProperties>
</file>