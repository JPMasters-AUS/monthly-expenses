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"/>
    </mc:Choice>
  </mc:AlternateContent>
  <xr:revisionPtr revIDLastSave="0" documentId="13_ncr:1_{45962DEB-E7AC-144D-9338-1EA1E98E95C7}" xr6:coauthVersionLast="47" xr6:coauthVersionMax="47" xr10:uidLastSave="{00000000-0000-0000-0000-000000000000}"/>
  <bookViews>
    <workbookView xWindow="30780" yWindow="500" windowWidth="22260" windowHeight="27920" xr2:uid="{D3CE120B-6FEB-D24C-AE3E-49A402DE099C}"/>
  </bookViews>
  <sheets>
    <sheet name="Transaction_Import" sheetId="1" r:id="rId1"/>
    <sheet name="Merchant_Lookup" sheetId="2" r:id="rId2"/>
    <sheet name="Monthly_Summary" sheetId="3" r:id="rId3"/>
    <sheet name="Instru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F4" i="1" s="1"/>
  <c r="E5" i="1" a="1"/>
  <c r="E5" i="1" s="1"/>
  <c r="E6" i="1" a="1"/>
  <c r="E6" i="1" s="1"/>
  <c r="E7" i="1" a="1"/>
  <c r="E7" i="1" s="1"/>
  <c r="I7" i="1" s="1"/>
  <c r="K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F12" i="1" s="1"/>
  <c r="E13" i="1" a="1"/>
  <c r="E13" i="1" s="1"/>
  <c r="E14" i="1" a="1"/>
  <c r="E14" i="1" s="1"/>
  <c r="E15" i="1" a="1"/>
  <c r="E15" i="1" s="1"/>
  <c r="I15" i="1" s="1"/>
  <c r="K15" i="1" s="1"/>
  <c r="E16" i="1" a="1"/>
  <c r="E16" i="1" s="1"/>
  <c r="J16" i="1" s="1"/>
  <c r="E17" i="1" a="1"/>
  <c r="E17" i="1" s="1"/>
  <c r="I17" i="1" s="1"/>
  <c r="K17" i="1" s="1"/>
  <c r="E18" i="1" a="1"/>
  <c r="E18" i="1" s="1"/>
  <c r="E19" i="1" a="1"/>
  <c r="E19" i="1" s="1"/>
  <c r="E20" i="1" a="1"/>
  <c r="E20" i="1" s="1"/>
  <c r="F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I26" i="1" s="1"/>
  <c r="K26" i="1" s="1"/>
  <c r="E27" i="1" a="1"/>
  <c r="E27" i="1" s="1"/>
  <c r="E28" i="1" a="1"/>
  <c r="E28" i="1" s="1"/>
  <c r="F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F33" i="1" s="1"/>
  <c r="E34" i="1" a="1"/>
  <c r="E34" i="1" s="1"/>
  <c r="I34" i="1" s="1"/>
  <c r="K34" i="1" s="1"/>
  <c r="E35" i="1" a="1"/>
  <c r="E35" i="1" s="1"/>
  <c r="E36" i="1" a="1"/>
  <c r="E36" i="1" s="1"/>
  <c r="F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G41" i="1" s="1"/>
  <c r="E42" i="1" a="1"/>
  <c r="E42" i="1" s="1"/>
  <c r="F42" i="1" s="1"/>
  <c r="E43" i="1" a="1"/>
  <c r="E43" i="1" s="1"/>
  <c r="F43" i="1" s="1"/>
  <c r="E44" i="1" a="1"/>
  <c r="E44" i="1" s="1"/>
  <c r="E45" i="1" a="1"/>
  <c r="E45" i="1" s="1"/>
  <c r="F45" i="1" s="1"/>
  <c r="E46" i="1" a="1"/>
  <c r="E46" i="1" s="1"/>
  <c r="G46" i="1" s="1"/>
  <c r="E47" i="1" a="1"/>
  <c r="E47" i="1" s="1"/>
  <c r="E48" i="1" a="1"/>
  <c r="E48" i="1" s="1"/>
  <c r="E49" i="1" a="1"/>
  <c r="E49" i="1" s="1"/>
  <c r="E50" i="1" a="1"/>
  <c r="E50" i="1" s="1"/>
  <c r="J50" i="1" s="1"/>
  <c r="E51" i="1" a="1"/>
  <c r="E51" i="1" s="1"/>
  <c r="F51" i="1" s="1"/>
  <c r="E52" i="1" a="1"/>
  <c r="E52" i="1" s="1"/>
  <c r="E53" i="1" a="1"/>
  <c r="E53" i="1" s="1"/>
  <c r="F53" i="1" s="1"/>
  <c r="E54" i="1" a="1"/>
  <c r="E54" i="1" s="1"/>
  <c r="G54" i="1" s="1"/>
  <c r="E55" i="1" a="1"/>
  <c r="E55" i="1" s="1"/>
  <c r="E56" i="1" a="1"/>
  <c r="E56" i="1" s="1"/>
  <c r="F56" i="1" s="1"/>
  <c r="E57" i="1" a="1"/>
  <c r="E57" i="1" s="1"/>
  <c r="E58" i="1" a="1"/>
  <c r="E58" i="1" s="1"/>
  <c r="J58" i="1" s="1"/>
  <c r="E59" i="1" a="1"/>
  <c r="E59" i="1" s="1"/>
  <c r="F59" i="1" s="1"/>
  <c r="E60" i="1" a="1"/>
  <c r="E60" i="1" s="1"/>
  <c r="I60" i="1" s="1"/>
  <c r="K60" i="1" s="1"/>
  <c r="E61" i="1" a="1"/>
  <c r="E61" i="1" s="1"/>
  <c r="F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J66" i="1" s="1"/>
  <c r="E67" i="1" a="1"/>
  <c r="E67" i="1" s="1"/>
  <c r="F67" i="1" s="1"/>
  <c r="E68" i="1" a="1"/>
  <c r="E68" i="1" s="1"/>
  <c r="E69" i="1" a="1"/>
  <c r="E69" i="1" s="1"/>
  <c r="F69" i="1" s="1"/>
  <c r="E70" i="1" a="1"/>
  <c r="E70" i="1" s="1"/>
  <c r="G70" i="1" s="1"/>
  <c r="E71" i="1" a="1"/>
  <c r="E71" i="1" s="1"/>
  <c r="E72" i="1" a="1"/>
  <c r="E72" i="1" s="1"/>
  <c r="F72" i="1" s="1"/>
  <c r="E73" i="1" a="1"/>
  <c r="E73" i="1" s="1"/>
  <c r="E74" i="1" a="1"/>
  <c r="E74" i="1" s="1"/>
  <c r="J74" i="1" s="1"/>
  <c r="E75" i="1" a="1"/>
  <c r="E75" i="1" s="1"/>
  <c r="F75" i="1" s="1"/>
  <c r="E76" i="1" a="1"/>
  <c r="E76" i="1" s="1"/>
  <c r="I76" i="1" s="1"/>
  <c r="K76" i="1" s="1"/>
  <c r="E77" i="1" a="1"/>
  <c r="E77" i="1" s="1"/>
  <c r="F77" i="1" s="1"/>
  <c r="E78" i="1" a="1"/>
  <c r="E78" i="1" s="1"/>
  <c r="G78" i="1" s="1"/>
  <c r="E79" i="1" a="1"/>
  <c r="E79" i="1" s="1"/>
  <c r="E80" i="1" a="1"/>
  <c r="E80" i="1" s="1"/>
  <c r="F80" i="1" s="1"/>
  <c r="E81" i="1" a="1"/>
  <c r="E81" i="1" s="1"/>
  <c r="E82" i="1" a="1"/>
  <c r="E82" i="1" s="1"/>
  <c r="J82" i="1" s="1"/>
  <c r="E83" i="1" a="1"/>
  <c r="E83" i="1" s="1"/>
  <c r="F83" i="1" s="1"/>
  <c r="E84" i="1" a="1"/>
  <c r="E84" i="1" s="1"/>
  <c r="E85" i="1" a="1"/>
  <c r="E85" i="1" s="1"/>
  <c r="F85" i="1" s="1"/>
  <c r="E86" i="1" a="1"/>
  <c r="E86" i="1" s="1"/>
  <c r="E87" i="1" a="1"/>
  <c r="E87" i="1" s="1"/>
  <c r="E88" i="1" a="1"/>
  <c r="E88" i="1" s="1"/>
  <c r="F88" i="1" s="1"/>
  <c r="E89" i="1" a="1"/>
  <c r="E89" i="1" s="1"/>
  <c r="E90" i="1" a="1"/>
  <c r="E90" i="1" s="1"/>
  <c r="J90" i="1" s="1"/>
  <c r="E91" i="1" a="1"/>
  <c r="E91" i="1" s="1"/>
  <c r="F91" i="1" s="1"/>
  <c r="E92" i="1" a="1"/>
  <c r="E92" i="1" s="1"/>
  <c r="I92" i="1" s="1"/>
  <c r="K92" i="1" s="1"/>
  <c r="E93" i="1" a="1"/>
  <c r="E93" i="1" s="1"/>
  <c r="F93" i="1" s="1"/>
  <c r="E94" i="1" a="1"/>
  <c r="E94" i="1" s="1"/>
  <c r="G94" i="1" s="1"/>
  <c r="E95" i="1" a="1"/>
  <c r="E95" i="1" s="1"/>
  <c r="E96" i="1" a="1"/>
  <c r="E96" i="1" s="1"/>
  <c r="F96" i="1" s="1"/>
  <c r="E97" i="1" a="1"/>
  <c r="E97" i="1" s="1"/>
  <c r="E98" i="1" a="1"/>
  <c r="E98" i="1" s="1"/>
  <c r="J98" i="1" s="1"/>
  <c r="E99" i="1" a="1"/>
  <c r="E99" i="1" s="1"/>
  <c r="E100" i="1" a="1"/>
  <c r="E100" i="1" s="1"/>
  <c r="I100" i="1" s="1"/>
  <c r="K100" i="1" s="1"/>
  <c r="E101" i="1" a="1"/>
  <c r="E101" i="1" s="1"/>
  <c r="F101" i="1" s="1"/>
  <c r="E102" i="1" a="1"/>
  <c r="E102" i="1" s="1"/>
  <c r="G102" i="1" s="1"/>
  <c r="E103" i="1" a="1"/>
  <c r="E103" i="1" s="1"/>
  <c r="G103" i="1" s="1"/>
  <c r="E104" i="1" a="1"/>
  <c r="E104" i="1" s="1"/>
  <c r="E105" i="1" a="1"/>
  <c r="E105" i="1" s="1"/>
  <c r="F105" i="1" s="1"/>
  <c r="E106" i="1" a="1"/>
  <c r="E106" i="1" s="1"/>
  <c r="F106" i="1" s="1"/>
  <c r="E107" i="1" a="1"/>
  <c r="E107" i="1" s="1"/>
  <c r="E108" i="1" a="1"/>
  <c r="E108" i="1" s="1"/>
  <c r="E109" i="1" a="1"/>
  <c r="E109" i="1" s="1"/>
  <c r="I109" i="1" s="1"/>
  <c r="K109" i="1" s="1"/>
  <c r="E110" i="1" a="1"/>
  <c r="E110" i="1" s="1"/>
  <c r="E111" i="1" a="1"/>
  <c r="E111" i="1" s="1"/>
  <c r="E112" i="1" a="1"/>
  <c r="E112" i="1" s="1"/>
  <c r="I112" i="1" s="1"/>
  <c r="K112" i="1" s="1"/>
  <c r="E113" i="1" a="1"/>
  <c r="E113" i="1" s="1"/>
  <c r="J113" i="1" s="1"/>
  <c r="E114" i="1" a="1"/>
  <c r="E114" i="1" s="1"/>
  <c r="J114" i="1" s="1"/>
  <c r="E115" i="1" a="1"/>
  <c r="E115" i="1" s="1"/>
  <c r="E116" i="1" a="1"/>
  <c r="E116" i="1" s="1"/>
  <c r="I116" i="1" s="1"/>
  <c r="K116" i="1" s="1"/>
  <c r="E117" i="1" a="1"/>
  <c r="E117" i="1" s="1"/>
  <c r="E118" i="1" a="1"/>
  <c r="E118" i="1" s="1"/>
  <c r="F118" i="1" s="1"/>
  <c r="E119" i="1" a="1"/>
  <c r="E119" i="1" s="1"/>
  <c r="I119" i="1" s="1"/>
  <c r="K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F124" i="1" s="1"/>
  <c r="E125" i="1" a="1"/>
  <c r="E125" i="1" s="1"/>
  <c r="I125" i="1" s="1"/>
  <c r="K125" i="1" s="1"/>
  <c r="E126" i="1" a="1"/>
  <c r="E126" i="1" s="1"/>
  <c r="E127" i="1" a="1"/>
  <c r="E127" i="1" s="1"/>
  <c r="I127" i="1" s="1"/>
  <c r="K127" i="1" s="1"/>
  <c r="E128" i="1" a="1"/>
  <c r="E128" i="1" s="1"/>
  <c r="J128" i="1" s="1"/>
  <c r="E129" i="1" a="1"/>
  <c r="E129" i="1" s="1"/>
  <c r="F129" i="1" s="1"/>
  <c r="E130" i="1" a="1"/>
  <c r="E130" i="1" s="1"/>
  <c r="E131" i="1" a="1"/>
  <c r="E131" i="1" s="1"/>
  <c r="J131" i="1" s="1"/>
  <c r="E132" i="1" a="1"/>
  <c r="E132" i="1" s="1"/>
  <c r="E133" i="1" a="1"/>
  <c r="E133" i="1" s="1"/>
  <c r="E134" i="1" a="1"/>
  <c r="E134" i="1" s="1"/>
  <c r="E135" i="1" a="1"/>
  <c r="E135" i="1" s="1"/>
  <c r="F135" i="1" s="1"/>
  <c r="E136" i="1" a="1"/>
  <c r="E136" i="1" s="1"/>
  <c r="E137" i="1" a="1"/>
  <c r="E137" i="1" s="1"/>
  <c r="E138" i="1" a="1"/>
  <c r="E138" i="1" s="1"/>
  <c r="F138" i="1" s="1"/>
  <c r="E139" i="1" a="1"/>
  <c r="E139" i="1" s="1"/>
  <c r="E140" i="1" a="1"/>
  <c r="E140" i="1" s="1"/>
  <c r="E141" i="1" a="1"/>
  <c r="E141" i="1" s="1"/>
  <c r="I141" i="1" s="1"/>
  <c r="K141" i="1" s="1"/>
  <c r="E142" i="1" a="1"/>
  <c r="E142" i="1" s="1"/>
  <c r="I142" i="1" s="1"/>
  <c r="K142" i="1" s="1"/>
  <c r="E143" i="1" a="1"/>
  <c r="E143" i="1" s="1"/>
  <c r="F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G148" i="1" s="1"/>
  <c r="E149" i="1" a="1"/>
  <c r="E149" i="1" s="1"/>
  <c r="F149" i="1" s="1"/>
  <c r="E150" i="1" a="1"/>
  <c r="E150" i="1" s="1"/>
  <c r="E151" i="1" a="1"/>
  <c r="E151" i="1" s="1"/>
  <c r="F151" i="1" s="1"/>
  <c r="E152" i="1" a="1"/>
  <c r="E152" i="1" s="1"/>
  <c r="E153" i="1" a="1"/>
  <c r="E153" i="1" s="1"/>
  <c r="E154" i="1" a="1"/>
  <c r="E154" i="1" s="1"/>
  <c r="E155" i="1" a="1"/>
  <c r="E155" i="1" s="1"/>
  <c r="G155" i="1" s="1"/>
  <c r="E156" i="1" a="1"/>
  <c r="E156" i="1" s="1"/>
  <c r="E157" i="1" a="1"/>
  <c r="E157" i="1" s="1"/>
  <c r="E158" i="1" a="1"/>
  <c r="E158" i="1" s="1"/>
  <c r="E159" i="1" a="1"/>
  <c r="E159" i="1" s="1"/>
  <c r="F159" i="1" s="1"/>
  <c r="E160" i="1" a="1"/>
  <c r="E160" i="1" s="1"/>
  <c r="E161" i="1" a="1"/>
  <c r="E161" i="1" s="1"/>
  <c r="E162" i="1" a="1"/>
  <c r="E162" i="1" s="1"/>
  <c r="G162" i="1" s="1"/>
  <c r="E163" i="1" a="1"/>
  <c r="E163" i="1" s="1"/>
  <c r="E164" i="1" a="1"/>
  <c r="E164" i="1" s="1"/>
  <c r="E165" i="1" a="1"/>
  <c r="E165" i="1" s="1"/>
  <c r="J165" i="1" s="1"/>
  <c r="E166" i="1" a="1"/>
  <c r="E166" i="1" s="1"/>
  <c r="E167" i="1" a="1"/>
  <c r="E167" i="1" s="1"/>
  <c r="F167" i="1" s="1"/>
  <c r="E168" i="1" a="1"/>
  <c r="E168" i="1" s="1"/>
  <c r="E169" i="1" a="1"/>
  <c r="E169" i="1" s="1"/>
  <c r="J169" i="1" s="1"/>
  <c r="E170" i="1" a="1"/>
  <c r="E170" i="1" s="1"/>
  <c r="F170" i="1" s="1"/>
  <c r="E171" i="1" a="1"/>
  <c r="E171" i="1" s="1"/>
  <c r="E172" i="1" a="1"/>
  <c r="E172" i="1" s="1"/>
  <c r="F172" i="1" s="1"/>
  <c r="E173" i="1" a="1"/>
  <c r="E173" i="1" s="1"/>
  <c r="E174" i="1" a="1"/>
  <c r="E174" i="1" s="1"/>
  <c r="E175" i="1" a="1"/>
  <c r="E175" i="1" s="1"/>
  <c r="E176" i="1" a="1"/>
  <c r="E176" i="1" s="1"/>
  <c r="G176" i="1" s="1"/>
  <c r="E177" i="1" a="1"/>
  <c r="E177" i="1" s="1"/>
  <c r="G177" i="1" s="1"/>
  <c r="E178" i="1" a="1"/>
  <c r="E178" i="1" s="1"/>
  <c r="I178" i="1" s="1"/>
  <c r="K178" i="1" s="1"/>
  <c r="E179" i="1" a="1"/>
  <c r="E179" i="1" s="1"/>
  <c r="E180" i="1" a="1"/>
  <c r="E180" i="1" s="1"/>
  <c r="E181" i="1" a="1"/>
  <c r="E181" i="1" s="1"/>
  <c r="J181" i="1" s="1"/>
  <c r="E182" i="1" a="1"/>
  <c r="E182" i="1" s="1"/>
  <c r="E183" i="1" a="1"/>
  <c r="E183" i="1" s="1"/>
  <c r="I183" i="1" s="1"/>
  <c r="K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F188" i="1" s="1"/>
  <c r="E189" i="1" a="1"/>
  <c r="E189" i="1" s="1"/>
  <c r="E190" i="1" a="1"/>
  <c r="E190" i="1" s="1"/>
  <c r="J190" i="1" s="1"/>
  <c r="E191" i="1" a="1"/>
  <c r="E191" i="1" s="1"/>
  <c r="J191" i="1" s="1"/>
  <c r="E192" i="1" a="1"/>
  <c r="E192" i="1" s="1"/>
  <c r="F192" i="1" s="1"/>
  <c r="E193" i="1" a="1"/>
  <c r="E193" i="1" s="1"/>
  <c r="E194" i="1" a="1"/>
  <c r="E194" i="1" s="1"/>
  <c r="E195" i="1" a="1"/>
  <c r="E195" i="1" s="1"/>
  <c r="E196" i="1" a="1"/>
  <c r="E196" i="1" s="1"/>
  <c r="F196" i="1" s="1"/>
  <c r="E197" i="1" a="1"/>
  <c r="E197" i="1" s="1"/>
  <c r="E198" i="1" a="1"/>
  <c r="E198" i="1" s="1"/>
  <c r="J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F204" i="1" s="1"/>
  <c r="E205" i="1" a="1"/>
  <c r="E205" i="1" s="1"/>
  <c r="F205" i="1" s="1"/>
  <c r="E206" i="1" a="1"/>
  <c r="E206" i="1" s="1"/>
  <c r="E207" i="1" a="1"/>
  <c r="E207" i="1" s="1"/>
  <c r="F207" i="1" s="1"/>
  <c r="E208" i="1" a="1"/>
  <c r="E208" i="1" s="1"/>
  <c r="E209" i="1" a="1"/>
  <c r="E209" i="1" s="1"/>
  <c r="J209" i="1" s="1"/>
  <c r="E210" i="1" a="1"/>
  <c r="E210" i="1" s="1"/>
  <c r="E211" i="1" a="1"/>
  <c r="E211" i="1" s="1"/>
  <c r="E212" i="1" a="1"/>
  <c r="E212" i="1" s="1"/>
  <c r="E213" i="1" a="1"/>
  <c r="E213" i="1" s="1"/>
  <c r="F213" i="1" s="1"/>
  <c r="E214" i="1" a="1"/>
  <c r="E214" i="1" s="1"/>
  <c r="E215" i="1" a="1"/>
  <c r="E215" i="1" s="1"/>
  <c r="F215" i="1" s="1"/>
  <c r="E216" i="1" a="1"/>
  <c r="E216" i="1" s="1"/>
  <c r="F216" i="1" s="1"/>
  <c r="E217" i="1" a="1"/>
  <c r="E217" i="1" s="1"/>
  <c r="J217" i="1" s="1"/>
  <c r="E218" i="1" a="1"/>
  <c r="E218" i="1" s="1"/>
  <c r="E219" i="1" a="1"/>
  <c r="E219" i="1" s="1"/>
  <c r="E220" i="1" a="1"/>
  <c r="E220" i="1" s="1"/>
  <c r="E221" i="1" a="1"/>
  <c r="E221" i="1" s="1"/>
  <c r="F221" i="1" s="1"/>
  <c r="E222" i="1" a="1"/>
  <c r="E222" i="1" s="1"/>
  <c r="J222" i="1" s="1"/>
  <c r="E223" i="1" a="1"/>
  <c r="E223" i="1" s="1"/>
  <c r="E2" i="1" a="1"/>
  <c r="E2" i="1" s="1"/>
  <c r="J2" i="1" s="1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F8" i="4" s="1"/>
  <c r="K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J15" i="4" s="1"/>
  <c r="E16" i="4" a="1"/>
  <c r="E16" i="4" s="1"/>
  <c r="E17" i="4" a="1"/>
  <c r="E17" i="4" s="1"/>
  <c r="E18" i="4" a="1"/>
  <c r="E18" i="4" s="1"/>
  <c r="E19" i="4" a="1"/>
  <c r="E19" i="4" s="1"/>
  <c r="F19" i="4" s="1"/>
  <c r="K19" i="4" s="1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5" i="4" a="1"/>
  <c r="E25" i="4" s="1"/>
  <c r="E26" i="4" a="1"/>
  <c r="E26" i="4" s="1"/>
  <c r="E27" i="4" a="1"/>
  <c r="E27" i="4" s="1"/>
  <c r="E28" i="4" a="1"/>
  <c r="E28" i="4" s="1"/>
  <c r="E29" i="4" a="1"/>
  <c r="E29" i="4" s="1"/>
  <c r="E30" i="4" a="1"/>
  <c r="E30" i="4" s="1"/>
  <c r="E31" i="4" a="1"/>
  <c r="E31" i="4" s="1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 s="1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 s="1"/>
  <c r="F43" i="4" s="1"/>
  <c r="K43" i="4" s="1"/>
  <c r="E44" i="4" a="1"/>
  <c r="E44" i="4" s="1"/>
  <c r="E45" i="4" a="1"/>
  <c r="E45" i="4" s="1"/>
  <c r="E46" i="4" a="1"/>
  <c r="E46" i="4" s="1"/>
  <c r="E47" i="4" a="1"/>
  <c r="E47" i="4" s="1"/>
  <c r="E48" i="4" a="1"/>
  <c r="E48" i="4" s="1"/>
  <c r="E49" i="4" a="1"/>
  <c r="E49" i="4" s="1"/>
  <c r="E50" i="4" a="1"/>
  <c r="E50" i="4" s="1"/>
  <c r="E51" i="4" a="1"/>
  <c r="E51" i="4" s="1"/>
  <c r="E52" i="4" a="1"/>
  <c r="E52" i="4" s="1"/>
  <c r="E53" i="4" a="1"/>
  <c r="E53" i="4" s="1"/>
  <c r="E54" i="4" a="1"/>
  <c r="E54" i="4" s="1"/>
  <c r="E55" i="4" a="1"/>
  <c r="E55" i="4" s="1"/>
  <c r="E56" i="4" a="1"/>
  <c r="E56" i="4" s="1"/>
  <c r="E57" i="4" a="1"/>
  <c r="E57" i="4" s="1"/>
  <c r="E58" i="4" a="1"/>
  <c r="E58" i="4" s="1"/>
  <c r="E59" i="4" a="1"/>
  <c r="E59" i="4" s="1"/>
  <c r="E60" i="4" a="1"/>
  <c r="E60" i="4" s="1"/>
  <c r="E61" i="4" a="1"/>
  <c r="E61" i="4" s="1"/>
  <c r="E62" i="4" a="1"/>
  <c r="E62" i="4" s="1"/>
  <c r="E63" i="4" a="1"/>
  <c r="E63" i="4" s="1"/>
  <c r="E64" i="4" a="1"/>
  <c r="E64" i="4" s="1"/>
  <c r="F64" i="4" s="1"/>
  <c r="K64" i="4" s="1"/>
  <c r="E65" i="4" a="1"/>
  <c r="E65" i="4" s="1"/>
  <c r="E66" i="4" a="1"/>
  <c r="E66" i="4" s="1"/>
  <c r="E67" i="4" a="1"/>
  <c r="E67" i="4" s="1"/>
  <c r="E68" i="4" a="1"/>
  <c r="E68" i="4" s="1"/>
  <c r="E69" i="4" a="1"/>
  <c r="E69" i="4" s="1"/>
  <c r="E70" i="4" a="1"/>
  <c r="E70" i="4" s="1"/>
  <c r="E71" i="4" a="1"/>
  <c r="E71" i="4" s="1"/>
  <c r="E72" i="4" a="1"/>
  <c r="E72" i="4" s="1"/>
  <c r="E73" i="4" a="1"/>
  <c r="E73" i="4" s="1"/>
  <c r="E74" i="4" a="1"/>
  <c r="E74" i="4" s="1"/>
  <c r="E75" i="4" a="1"/>
  <c r="E75" i="4" s="1"/>
  <c r="E76" i="4" a="1"/>
  <c r="E76" i="4" s="1"/>
  <c r="E77" i="4" a="1"/>
  <c r="E77" i="4" s="1"/>
  <c r="E78" i="4" a="1"/>
  <c r="E78" i="4" s="1"/>
  <c r="E79" i="4" a="1"/>
  <c r="E79" i="4" s="1"/>
  <c r="E80" i="4" a="1"/>
  <c r="E80" i="4" s="1"/>
  <c r="E81" i="4" a="1"/>
  <c r="E81" i="4" s="1"/>
  <c r="E82" i="4" a="1"/>
  <c r="E82" i="4" s="1"/>
  <c r="E83" i="4" a="1"/>
  <c r="E83" i="4" s="1"/>
  <c r="E84" i="4" a="1"/>
  <c r="E84" i="4" s="1"/>
  <c r="E85" i="4" a="1"/>
  <c r="E85" i="4" s="1"/>
  <c r="E86" i="4" a="1"/>
  <c r="E86" i="4" s="1"/>
  <c r="F86" i="4" s="1"/>
  <c r="K86" i="4" s="1"/>
  <c r="E87" i="4" a="1"/>
  <c r="E87" i="4" s="1"/>
  <c r="E88" i="4" a="1"/>
  <c r="E88" i="4" s="1"/>
  <c r="E89" i="4" a="1"/>
  <c r="E89" i="4" s="1"/>
  <c r="E90" i="4" a="1"/>
  <c r="E90" i="4" s="1"/>
  <c r="E91" i="4" a="1"/>
  <c r="E91" i="4" s="1"/>
  <c r="E92" i="4" a="1"/>
  <c r="E92" i="4" s="1"/>
  <c r="E93" i="4" a="1"/>
  <c r="E93" i="4" s="1"/>
  <c r="E94" i="4" a="1"/>
  <c r="E94" i="4" s="1"/>
  <c r="F94" i="4" s="1"/>
  <c r="K94" i="4" s="1"/>
  <c r="E95" i="4" a="1"/>
  <c r="E95" i="4" s="1"/>
  <c r="E96" i="4" a="1"/>
  <c r="E96" i="4" s="1"/>
  <c r="E97" i="4" a="1"/>
  <c r="E97" i="4" s="1"/>
  <c r="E98" i="4" a="1"/>
  <c r="E98" i="4" s="1"/>
  <c r="F98" i="4" s="1"/>
  <c r="K98" i="4" s="1"/>
  <c r="E99" i="4" a="1"/>
  <c r="E99" i="4" s="1"/>
  <c r="F99" i="4" s="1"/>
  <c r="K99" i="4" s="1"/>
  <c r="E100" i="4" a="1"/>
  <c r="E100" i="4" s="1"/>
  <c r="E101" i="4" a="1"/>
  <c r="E101" i="4" s="1"/>
  <c r="E102" i="4" a="1"/>
  <c r="E102" i="4" s="1"/>
  <c r="E103" i="4" a="1"/>
  <c r="E103" i="4" s="1"/>
  <c r="E104" i="4" a="1"/>
  <c r="E104" i="4" s="1"/>
  <c r="E105" i="4" a="1"/>
  <c r="E105" i="4" s="1"/>
  <c r="E106" i="4" a="1"/>
  <c r="E106" i="4" s="1"/>
  <c r="E107" i="4" a="1"/>
  <c r="E107" i="4" s="1"/>
  <c r="E108" i="4" a="1"/>
  <c r="E108" i="4" s="1"/>
  <c r="E109" i="4" a="1"/>
  <c r="E109" i="4" s="1"/>
  <c r="F109" i="4" s="1"/>
  <c r="K109" i="4" s="1"/>
  <c r="E110" i="4" a="1"/>
  <c r="E110" i="4" s="1"/>
  <c r="E111" i="4" a="1"/>
  <c r="E111" i="4" s="1"/>
  <c r="E112" i="4" a="1"/>
  <c r="E112" i="4" s="1"/>
  <c r="E113" i="4" a="1"/>
  <c r="E113" i="4" s="1"/>
  <c r="E114" i="4" a="1"/>
  <c r="E114" i="4" s="1"/>
  <c r="E115" i="4" a="1"/>
  <c r="E115" i="4" s="1"/>
  <c r="E116" i="4" a="1"/>
  <c r="E116" i="4" s="1"/>
  <c r="E117" i="4" a="1"/>
  <c r="E117" i="4" s="1"/>
  <c r="E118" i="4" a="1"/>
  <c r="E118" i="4" s="1"/>
  <c r="E119" i="4" a="1"/>
  <c r="E119" i="4" s="1"/>
  <c r="E120" i="4" a="1"/>
  <c r="E120" i="4" s="1"/>
  <c r="E121" i="4" a="1"/>
  <c r="E121" i="4" s="1"/>
  <c r="F121" i="4" s="1"/>
  <c r="K121" i="4" s="1"/>
  <c r="E122" i="4" a="1"/>
  <c r="E122" i="4" s="1"/>
  <c r="E123" i="4" a="1"/>
  <c r="E123" i="4" s="1"/>
  <c r="E124" i="4" a="1"/>
  <c r="E124" i="4" s="1"/>
  <c r="E125" i="4" a="1"/>
  <c r="E125" i="4" s="1"/>
  <c r="E126" i="4" a="1"/>
  <c r="E126" i="4" s="1"/>
  <c r="E127" i="4" a="1"/>
  <c r="E127" i="4" s="1"/>
  <c r="E128" i="4" a="1"/>
  <c r="E128" i="4" s="1"/>
  <c r="E129" i="4" a="1"/>
  <c r="E129" i="4" s="1"/>
  <c r="E130" i="4" a="1"/>
  <c r="E130" i="4" s="1"/>
  <c r="E131" i="4" a="1"/>
  <c r="E131" i="4" s="1"/>
  <c r="F131" i="4" s="1"/>
  <c r="K131" i="4" s="1"/>
  <c r="E132" i="4" a="1"/>
  <c r="E132" i="4" s="1"/>
  <c r="E133" i="4" a="1"/>
  <c r="E133" i="4" s="1"/>
  <c r="E134" i="4" a="1"/>
  <c r="E134" i="4" s="1"/>
  <c r="E135" i="4" a="1"/>
  <c r="E135" i="4" s="1"/>
  <c r="E136" i="4" a="1"/>
  <c r="E136" i="4" s="1"/>
  <c r="E137" i="4" a="1"/>
  <c r="E137" i="4" s="1"/>
  <c r="E138" i="4" a="1"/>
  <c r="E138" i="4" s="1"/>
  <c r="E139" i="4" a="1"/>
  <c r="E139" i="4" s="1"/>
  <c r="E140" i="4" a="1"/>
  <c r="E140" i="4" s="1"/>
  <c r="E141" i="4" a="1"/>
  <c r="E141" i="4" s="1"/>
  <c r="E142" i="4" a="1"/>
  <c r="E142" i="4" s="1"/>
  <c r="E143" i="4" a="1"/>
  <c r="E143" i="4" s="1"/>
  <c r="E144" i="4" a="1"/>
  <c r="E144" i="4" s="1"/>
  <c r="E145" i="4" a="1"/>
  <c r="E145" i="4" s="1"/>
  <c r="E146" i="4" a="1"/>
  <c r="E146" i="4" s="1"/>
  <c r="E147" i="4" a="1"/>
  <c r="E147" i="4" s="1"/>
  <c r="E148" i="4" a="1"/>
  <c r="E148" i="4" s="1"/>
  <c r="E149" i="4" a="1"/>
  <c r="E149" i="4" s="1"/>
  <c r="E150" i="4" a="1"/>
  <c r="E150" i="4" s="1"/>
  <c r="E151" i="4" a="1"/>
  <c r="E151" i="4" s="1"/>
  <c r="E152" i="4" a="1"/>
  <c r="E152" i="4" s="1"/>
  <c r="E153" i="4" a="1"/>
  <c r="E153" i="4" s="1"/>
  <c r="F153" i="4" s="1"/>
  <c r="K153" i="4" s="1"/>
  <c r="E154" i="4" a="1"/>
  <c r="E154" i="4" s="1"/>
  <c r="E155" i="4" a="1"/>
  <c r="E155" i="4" s="1"/>
  <c r="E156" i="4" a="1"/>
  <c r="E156" i="4" s="1"/>
  <c r="E157" i="4" a="1"/>
  <c r="E157" i="4" s="1"/>
  <c r="E158" i="4" a="1"/>
  <c r="E158" i="4" s="1"/>
  <c r="F158" i="4" s="1"/>
  <c r="K158" i="4" s="1"/>
  <c r="E159" i="4" a="1"/>
  <c r="E159" i="4" s="1"/>
  <c r="E160" i="4" a="1"/>
  <c r="E160" i="4" s="1"/>
  <c r="E161" i="4" a="1"/>
  <c r="E161" i="4" s="1"/>
  <c r="E162" i="4" a="1"/>
  <c r="E162" i="4" s="1"/>
  <c r="E163" i="4" a="1"/>
  <c r="E163" i="4" s="1"/>
  <c r="E164" i="4" a="1"/>
  <c r="E164" i="4" s="1"/>
  <c r="E165" i="4" a="1"/>
  <c r="E165" i="4" s="1"/>
  <c r="E166" i="4" a="1"/>
  <c r="E166" i="4" s="1"/>
  <c r="E167" i="4" a="1"/>
  <c r="E167" i="4" s="1"/>
  <c r="E168" i="4" a="1"/>
  <c r="E168" i="4" s="1"/>
  <c r="E169" i="4" a="1"/>
  <c r="E169" i="4" s="1"/>
  <c r="E170" i="4" a="1"/>
  <c r="E170" i="4" s="1"/>
  <c r="E171" i="4" a="1"/>
  <c r="E171" i="4" s="1"/>
  <c r="E172" i="4" a="1"/>
  <c r="E172" i="4" s="1"/>
  <c r="E173" i="4" a="1"/>
  <c r="E173" i="4" s="1"/>
  <c r="E174" i="4" a="1"/>
  <c r="E174" i="4" s="1"/>
  <c r="E175" i="4" a="1"/>
  <c r="E175" i="4" s="1"/>
  <c r="E176" i="4" a="1"/>
  <c r="E176" i="4" s="1"/>
  <c r="E177" i="4" a="1"/>
  <c r="E177" i="4" s="1"/>
  <c r="E178" i="4" a="1"/>
  <c r="E178" i="4" s="1"/>
  <c r="E179" i="4" a="1"/>
  <c r="E179" i="4" s="1"/>
  <c r="E180" i="4" a="1"/>
  <c r="E180" i="4" s="1"/>
  <c r="E181" i="4" a="1"/>
  <c r="E181" i="4" s="1"/>
  <c r="F181" i="4" s="1"/>
  <c r="K181" i="4" s="1"/>
  <c r="E182" i="4" a="1"/>
  <c r="E182" i="4" s="1"/>
  <c r="F182" i="4" s="1"/>
  <c r="K182" i="4" s="1"/>
  <c r="E183" i="4" a="1"/>
  <c r="E183" i="4" s="1"/>
  <c r="E184" i="4" a="1"/>
  <c r="E184" i="4" s="1"/>
  <c r="E185" i="4" a="1"/>
  <c r="E185" i="4" s="1"/>
  <c r="E186" i="4" a="1"/>
  <c r="E186" i="4" s="1"/>
  <c r="E187" i="4" a="1"/>
  <c r="E187" i="4" s="1"/>
  <c r="E188" i="4" a="1"/>
  <c r="E188" i="4" s="1"/>
  <c r="E189" i="4" a="1"/>
  <c r="E189" i="4" s="1"/>
  <c r="E190" i="4" a="1"/>
  <c r="E190" i="4" s="1"/>
  <c r="E191" i="4" a="1"/>
  <c r="E191" i="4" s="1"/>
  <c r="E192" i="4" a="1"/>
  <c r="E192" i="4" s="1"/>
  <c r="E193" i="4" a="1"/>
  <c r="E193" i="4" s="1"/>
  <c r="E194" i="4" a="1"/>
  <c r="E194" i="4" s="1"/>
  <c r="E195" i="4" a="1"/>
  <c r="E195" i="4" s="1"/>
  <c r="E196" i="4" a="1"/>
  <c r="E196" i="4" s="1"/>
  <c r="E197" i="4" a="1"/>
  <c r="E197" i="4" s="1"/>
  <c r="E198" i="4" a="1"/>
  <c r="E198" i="4" s="1"/>
  <c r="E199" i="4" a="1"/>
  <c r="E199" i="4" s="1"/>
  <c r="E200" i="4" a="1"/>
  <c r="E200" i="4" s="1"/>
  <c r="E201" i="4" a="1"/>
  <c r="E201" i="4" s="1"/>
  <c r="E202" i="4" a="1"/>
  <c r="E202" i="4" s="1"/>
  <c r="E203" i="4" a="1"/>
  <c r="E203" i="4" s="1"/>
  <c r="F203" i="4" s="1"/>
  <c r="K203" i="4" s="1"/>
  <c r="E204" i="4" a="1"/>
  <c r="E204" i="4" s="1"/>
  <c r="F204" i="4" s="1"/>
  <c r="K204" i="4" s="1"/>
  <c r="E205" i="4" a="1"/>
  <c r="E205" i="4" s="1"/>
  <c r="F205" i="4" s="1"/>
  <c r="K205" i="4" s="1"/>
  <c r="E206" i="4" a="1"/>
  <c r="E206" i="4" s="1"/>
  <c r="E207" i="4" a="1"/>
  <c r="E207" i="4" s="1"/>
  <c r="E208" i="4" a="1"/>
  <c r="E208" i="4" s="1"/>
  <c r="E209" i="4" a="1"/>
  <c r="E209" i="4" s="1"/>
  <c r="E210" i="4" a="1"/>
  <c r="E210" i="4" s="1"/>
  <c r="E211" i="4" a="1"/>
  <c r="E211" i="4" s="1"/>
  <c r="E212" i="4" a="1"/>
  <c r="E212" i="4" s="1"/>
  <c r="E213" i="4" a="1"/>
  <c r="E213" i="4" s="1"/>
  <c r="E214" i="4" a="1"/>
  <c r="E214" i="4" s="1"/>
  <c r="E215" i="4" a="1"/>
  <c r="E215" i="4" s="1"/>
  <c r="E216" i="4" a="1"/>
  <c r="E216" i="4" s="1"/>
  <c r="E217" i="4" a="1"/>
  <c r="E217" i="4" s="1"/>
  <c r="E218" i="4" a="1"/>
  <c r="E218" i="4" s="1"/>
  <c r="E219" i="4" a="1"/>
  <c r="E219" i="4" s="1"/>
  <c r="E220" i="4" a="1"/>
  <c r="E220" i="4" s="1"/>
  <c r="E221" i="4" a="1"/>
  <c r="E221" i="4" s="1"/>
  <c r="E222" i="4" a="1"/>
  <c r="E222" i="4" s="1"/>
  <c r="E223" i="4" a="1"/>
  <c r="E223" i="4" s="1"/>
  <c r="E224" i="4" a="1"/>
  <c r="E224" i="4" s="1"/>
  <c r="E225" i="4" a="1"/>
  <c r="E225" i="4" s="1"/>
  <c r="F225" i="4" s="1"/>
  <c r="K225" i="4" s="1"/>
  <c r="E226" i="4" a="1"/>
  <c r="E226" i="4" s="1"/>
  <c r="F226" i="4" s="1"/>
  <c r="K226" i="4" s="1"/>
  <c r="E227" i="4" a="1"/>
  <c r="E227" i="4" s="1"/>
  <c r="E228" i="4" a="1"/>
  <c r="E228" i="4" s="1"/>
  <c r="E229" i="4" a="1"/>
  <c r="E229" i="4" s="1"/>
  <c r="E230" i="4" a="1"/>
  <c r="E230" i="4" s="1"/>
  <c r="E231" i="4" a="1"/>
  <c r="E231" i="4" s="1"/>
  <c r="E232" i="4" a="1"/>
  <c r="E232" i="4" s="1"/>
  <c r="E233" i="4" a="1"/>
  <c r="E233" i="4" s="1"/>
  <c r="E234" i="4" a="1"/>
  <c r="E234" i="4" s="1"/>
  <c r="E235" i="4" a="1"/>
  <c r="E235" i="4" s="1"/>
  <c r="E236" i="4" a="1"/>
  <c r="E236" i="4" s="1"/>
  <c r="E237" i="4" a="1"/>
  <c r="E237" i="4" s="1"/>
  <c r="E238" i="4" a="1"/>
  <c r="E238" i="4" s="1"/>
  <c r="E239" i="4" a="1"/>
  <c r="E239" i="4" s="1"/>
  <c r="E240" i="4" a="1"/>
  <c r="E240" i="4" s="1"/>
  <c r="E241" i="4" a="1"/>
  <c r="E241" i="4" s="1"/>
  <c r="E242" i="4" a="1"/>
  <c r="E242" i="4" s="1"/>
  <c r="E243" i="4" a="1"/>
  <c r="E243" i="4" s="1"/>
  <c r="E244" i="4" a="1"/>
  <c r="E244" i="4" s="1"/>
  <c r="E245" i="4" a="1"/>
  <c r="E245" i="4" s="1"/>
  <c r="F245" i="4" s="1"/>
  <c r="K245" i="4" s="1"/>
  <c r="E246" i="4" a="1"/>
  <c r="E246" i="4" s="1"/>
  <c r="F246" i="4" s="1"/>
  <c r="K246" i="4" s="1"/>
  <c r="E247" i="4" a="1"/>
  <c r="E247" i="4" s="1"/>
  <c r="E248" i="4" a="1"/>
  <c r="E248" i="4" s="1"/>
  <c r="E249" i="4" a="1"/>
  <c r="E249" i="4" s="1"/>
  <c r="F249" i="4" s="1"/>
  <c r="K249" i="4" s="1"/>
  <c r="E250" i="4" a="1"/>
  <c r="E250" i="4" s="1"/>
  <c r="E251" i="4" a="1"/>
  <c r="E251" i="4" s="1"/>
  <c r="E252" i="4" a="1"/>
  <c r="E252" i="4" s="1"/>
  <c r="E253" i="4" a="1"/>
  <c r="E253" i="4" s="1"/>
  <c r="E254" i="4" a="1"/>
  <c r="E254" i="4" s="1"/>
  <c r="E255" i="4" a="1"/>
  <c r="E255" i="4" s="1"/>
  <c r="E256" i="4" a="1"/>
  <c r="E256" i="4" s="1"/>
  <c r="E257" i="4" a="1"/>
  <c r="E257" i="4" s="1"/>
  <c r="F257" i="4" s="1"/>
  <c r="K257" i="4" s="1"/>
  <c r="E258" i="4" a="1"/>
  <c r="E258" i="4" s="1"/>
  <c r="E259" i="4" a="1"/>
  <c r="E259" i="4" s="1"/>
  <c r="E260" i="4" a="1"/>
  <c r="E260" i="4" s="1"/>
  <c r="E261" i="4" a="1"/>
  <c r="E261" i="4" s="1"/>
  <c r="E262" i="4" a="1"/>
  <c r="E262" i="4" s="1"/>
  <c r="E263" i="4" a="1"/>
  <c r="E263" i="4" s="1"/>
  <c r="E264" i="4" a="1"/>
  <c r="E264" i="4" s="1"/>
  <c r="E265" i="4" a="1"/>
  <c r="E265" i="4" s="1"/>
  <c r="E266" i="4" a="1"/>
  <c r="E266" i="4" s="1"/>
  <c r="F266" i="4" s="1"/>
  <c r="K266" i="4" s="1"/>
  <c r="E267" i="4" a="1"/>
  <c r="E267" i="4" s="1"/>
  <c r="E268" i="4" a="1"/>
  <c r="E268" i="4" s="1"/>
  <c r="E269" i="4" a="1"/>
  <c r="E269" i="4" s="1"/>
  <c r="E270" i="4" a="1"/>
  <c r="E270" i="4" s="1"/>
  <c r="E271" i="4" a="1"/>
  <c r="E271" i="4" s="1"/>
  <c r="E272" i="4" a="1"/>
  <c r="E272" i="4" s="1"/>
  <c r="E273" i="4" a="1"/>
  <c r="E273" i="4" s="1"/>
  <c r="E274" i="4" a="1"/>
  <c r="E274" i="4" s="1"/>
  <c r="E275" i="4" a="1"/>
  <c r="E275" i="4" s="1"/>
  <c r="E276" i="4" a="1"/>
  <c r="E276" i="4" s="1"/>
  <c r="E277" i="4" a="1"/>
  <c r="E277" i="4" s="1"/>
  <c r="E278" i="4" a="1"/>
  <c r="E278" i="4" s="1"/>
  <c r="E279" i="4" a="1"/>
  <c r="E279" i="4" s="1"/>
  <c r="E280" i="4" a="1"/>
  <c r="E280" i="4" s="1"/>
  <c r="E281" i="4" a="1"/>
  <c r="E281" i="4" s="1"/>
  <c r="F281" i="4" s="1"/>
  <c r="K281" i="4" s="1"/>
  <c r="E282" i="4" a="1"/>
  <c r="E282" i="4" s="1"/>
  <c r="E283" i="4" a="1"/>
  <c r="E283" i="4" s="1"/>
  <c r="F283" i="4" s="1"/>
  <c r="K283" i="4" s="1"/>
  <c r="E284" i="4" a="1"/>
  <c r="E284" i="4" s="1"/>
  <c r="E285" i="4" a="1"/>
  <c r="E285" i="4" s="1"/>
  <c r="E286" i="4" a="1"/>
  <c r="E286" i="4" s="1"/>
  <c r="F286" i="4" s="1"/>
  <c r="K286" i="4" s="1"/>
  <c r="E287" i="4" a="1"/>
  <c r="E287" i="4" s="1"/>
  <c r="E288" i="4" a="1"/>
  <c r="E288" i="4" s="1"/>
  <c r="E289" i="4" a="1"/>
  <c r="E289" i="4" s="1"/>
  <c r="E290" i="4" a="1"/>
  <c r="E290" i="4" s="1"/>
  <c r="E291" i="4" a="1"/>
  <c r="E291" i="4" s="1"/>
  <c r="E292" i="4" a="1"/>
  <c r="E292" i="4" s="1"/>
  <c r="E293" i="4" a="1"/>
  <c r="E293" i="4" s="1"/>
  <c r="E294" i="4" a="1"/>
  <c r="E294" i="4" s="1"/>
  <c r="E295" i="4" a="1"/>
  <c r="E295" i="4" s="1"/>
  <c r="E296" i="4" a="1"/>
  <c r="E296" i="4" s="1"/>
  <c r="E297" i="4" a="1"/>
  <c r="E297" i="4" s="1"/>
  <c r="E298" i="4" a="1"/>
  <c r="E298" i="4" s="1"/>
  <c r="E299" i="4" a="1"/>
  <c r="E299" i="4" s="1"/>
  <c r="F299" i="4" s="1"/>
  <c r="K299" i="4" s="1"/>
  <c r="E300" i="4" a="1"/>
  <c r="E300" i="4" s="1"/>
  <c r="F300" i="4" s="1"/>
  <c r="K300" i="4" s="1"/>
  <c r="E301" i="4" a="1"/>
  <c r="E301" i="4" s="1"/>
  <c r="F301" i="4" s="1"/>
  <c r="K301" i="4" s="1"/>
  <c r="E302" i="4" a="1"/>
  <c r="E302" i="4" s="1"/>
  <c r="E303" i="4" a="1"/>
  <c r="E303" i="4" s="1"/>
  <c r="E304" i="4" a="1"/>
  <c r="E304" i="4" s="1"/>
  <c r="E305" i="4" a="1"/>
  <c r="E305" i="4" s="1"/>
  <c r="E306" i="4" a="1"/>
  <c r="E306" i="4" s="1"/>
  <c r="E307" i="4" a="1"/>
  <c r="E307" i="4" s="1"/>
  <c r="E308" i="4" a="1"/>
  <c r="E308" i="4" s="1"/>
  <c r="E309" i="4" a="1"/>
  <c r="E309" i="4" s="1"/>
  <c r="E310" i="4" a="1"/>
  <c r="E310" i="4" s="1"/>
  <c r="E311" i="4" a="1"/>
  <c r="E311" i="4" s="1"/>
  <c r="E312" i="4" a="1"/>
  <c r="E312" i="4" s="1"/>
  <c r="E313" i="4" a="1"/>
  <c r="E313" i="4" s="1"/>
  <c r="F313" i="4" s="1"/>
  <c r="K313" i="4" s="1"/>
  <c r="E314" i="4" a="1"/>
  <c r="E314" i="4" s="1"/>
  <c r="E315" i="4" a="1"/>
  <c r="E315" i="4" s="1"/>
  <c r="F315" i="4" s="1"/>
  <c r="K315" i="4" s="1"/>
  <c r="E316" i="4" a="1"/>
  <c r="E316" i="4" s="1"/>
  <c r="E317" i="4" a="1"/>
  <c r="E317" i="4" s="1"/>
  <c r="E318" i="4" a="1"/>
  <c r="E318" i="4" s="1"/>
  <c r="F318" i="4" s="1"/>
  <c r="K318" i="4" s="1"/>
  <c r="E319" i="4" a="1"/>
  <c r="E319" i="4" s="1"/>
  <c r="E320" i="4" a="1"/>
  <c r="E320" i="4" s="1"/>
  <c r="E321" i="4" a="1"/>
  <c r="E321" i="4" s="1"/>
  <c r="F321" i="4" s="1"/>
  <c r="K321" i="4" s="1"/>
  <c r="E322" i="4" a="1"/>
  <c r="E322" i="4" s="1"/>
  <c r="E323" i="4" a="1"/>
  <c r="E323" i="4" s="1"/>
  <c r="J323" i="4" s="1"/>
  <c r="E324" i="4" a="1"/>
  <c r="E324" i="4" s="1"/>
  <c r="E325" i="4" a="1"/>
  <c r="E325" i="4" s="1"/>
  <c r="E326" i="4" a="1"/>
  <c r="E326" i="4" s="1"/>
  <c r="E327" i="4" a="1"/>
  <c r="E327" i="4" s="1"/>
  <c r="E328" i="4" a="1"/>
  <c r="E328" i="4" s="1"/>
  <c r="E329" i="4" a="1"/>
  <c r="E329" i="4" s="1"/>
  <c r="E330" i="4" a="1"/>
  <c r="E330" i="4" s="1"/>
  <c r="F330" i="4" s="1"/>
  <c r="K330" i="4" s="1"/>
  <c r="E331" i="4" a="1"/>
  <c r="E331" i="4" s="1"/>
  <c r="F331" i="4" s="1"/>
  <c r="K331" i="4" s="1"/>
  <c r="E332" i="4" a="1"/>
  <c r="E332" i="4" s="1"/>
  <c r="F332" i="4" s="1"/>
  <c r="K332" i="4" s="1"/>
  <c r="E333" i="4" a="1"/>
  <c r="E333" i="4" s="1"/>
  <c r="E334" i="4" a="1"/>
  <c r="E334" i="4" s="1"/>
  <c r="E335" i="4" a="1"/>
  <c r="E335" i="4" s="1"/>
  <c r="E336" i="4" a="1"/>
  <c r="E336" i="4" s="1"/>
  <c r="E337" i="4" a="1"/>
  <c r="E337" i="4" s="1"/>
  <c r="E338" i="4" a="1"/>
  <c r="E338" i="4" s="1"/>
  <c r="E339" i="4" a="1"/>
  <c r="E339" i="4" s="1"/>
  <c r="E340" i="4" a="1"/>
  <c r="E340" i="4" s="1"/>
  <c r="E341" i="4" a="1"/>
  <c r="E341" i="4" s="1"/>
  <c r="E342" i="4" a="1"/>
  <c r="E342" i="4" s="1"/>
  <c r="E343" i="4" a="1"/>
  <c r="E343" i="4" s="1"/>
  <c r="E344" i="4" a="1"/>
  <c r="E344" i="4" s="1"/>
  <c r="E345" i="4" a="1"/>
  <c r="E345" i="4" s="1"/>
  <c r="E346" i="4" a="1"/>
  <c r="E346" i="4" s="1"/>
  <c r="E347" i="4" a="1"/>
  <c r="E347" i="4" s="1"/>
  <c r="E348" i="4" a="1"/>
  <c r="E348" i="4" s="1"/>
  <c r="E349" i="4" a="1"/>
  <c r="E349" i="4" s="1"/>
  <c r="E350" i="4" a="1"/>
  <c r="E350" i="4" s="1"/>
  <c r="F350" i="4" s="1"/>
  <c r="K350" i="4" s="1"/>
  <c r="E351" i="4" a="1"/>
  <c r="E351" i="4" s="1"/>
  <c r="E352" i="4" a="1"/>
  <c r="E352" i="4" s="1"/>
  <c r="E353" i="4" a="1"/>
  <c r="E353" i="4" s="1"/>
  <c r="F353" i="4" s="1"/>
  <c r="K353" i="4" s="1"/>
  <c r="E354" i="4" a="1"/>
  <c r="E354" i="4" s="1"/>
  <c r="F354" i="4" s="1"/>
  <c r="K354" i="4" s="1"/>
  <c r="E355" i="4" a="1"/>
  <c r="E355" i="4" s="1"/>
  <c r="E356" i="4" a="1"/>
  <c r="E356" i="4" s="1"/>
  <c r="E357" i="4" a="1"/>
  <c r="E357" i="4" s="1"/>
  <c r="E358" i="4" a="1"/>
  <c r="E358" i="4" s="1"/>
  <c r="E359" i="4" a="1"/>
  <c r="E359" i="4" s="1"/>
  <c r="E360" i="4" a="1"/>
  <c r="E360" i="4" s="1"/>
  <c r="E361" i="4" a="1"/>
  <c r="E361" i="4" s="1"/>
  <c r="E362" i="4" a="1"/>
  <c r="E362" i="4" s="1"/>
  <c r="J362" i="4" s="1"/>
  <c r="E363" i="4" a="1"/>
  <c r="E363" i="4" s="1"/>
  <c r="E364" i="4" a="1"/>
  <c r="E364" i="4" s="1"/>
  <c r="E365" i="4" a="1"/>
  <c r="E365" i="4" s="1"/>
  <c r="F365" i="4" s="1"/>
  <c r="K365" i="4" s="1"/>
  <c r="E366" i="4" a="1"/>
  <c r="E366" i="4" s="1"/>
  <c r="E367" i="4" a="1"/>
  <c r="E367" i="4" s="1"/>
  <c r="E368" i="4" a="1"/>
  <c r="E368" i="4" s="1"/>
  <c r="E369" i="4" a="1"/>
  <c r="E369" i="4" s="1"/>
  <c r="F369" i="4" s="1"/>
  <c r="K369" i="4" s="1"/>
  <c r="E370" i="4" a="1"/>
  <c r="E370" i="4" s="1"/>
  <c r="E371" i="4" a="1"/>
  <c r="E371" i="4" s="1"/>
  <c r="E372" i="4" a="1"/>
  <c r="E372" i="4" s="1"/>
  <c r="E373" i="4" a="1"/>
  <c r="E373" i="4" s="1"/>
  <c r="E374" i="4" a="1"/>
  <c r="E374" i="4" s="1"/>
  <c r="E375" i="4" a="1"/>
  <c r="E375" i="4" s="1"/>
  <c r="E376" i="4" a="1"/>
  <c r="E376" i="4" s="1"/>
  <c r="E377" i="4" a="1"/>
  <c r="E377" i="4" s="1"/>
  <c r="E378" i="4" a="1"/>
  <c r="E378" i="4" s="1"/>
  <c r="E379" i="4" a="1"/>
  <c r="E379" i="4" s="1"/>
  <c r="J379" i="4" s="1"/>
  <c r="E380" i="4" a="1"/>
  <c r="E380" i="4" s="1"/>
  <c r="E381" i="4" a="1"/>
  <c r="E381" i="4" s="1"/>
  <c r="E382" i="4" a="1"/>
  <c r="E382" i="4" s="1"/>
  <c r="E383" i="4" a="1"/>
  <c r="E383" i="4" s="1"/>
  <c r="E384" i="4" a="1"/>
  <c r="E384" i="4" s="1"/>
  <c r="E385" i="4" a="1"/>
  <c r="E385" i="4" s="1"/>
  <c r="F385" i="4" s="1"/>
  <c r="K385" i="4" s="1"/>
  <c r="E386" i="4" a="1"/>
  <c r="E386" i="4" s="1"/>
  <c r="E387" i="4" a="1"/>
  <c r="E387" i="4" s="1"/>
  <c r="E388" i="4" a="1"/>
  <c r="E388" i="4" s="1"/>
  <c r="E389" i="4" a="1"/>
  <c r="E389" i="4" s="1"/>
  <c r="E390" i="4" a="1"/>
  <c r="E390" i="4" s="1"/>
  <c r="E391" i="4" a="1"/>
  <c r="E391" i="4" s="1"/>
  <c r="E392" i="4" a="1"/>
  <c r="E392" i="4" s="1"/>
  <c r="E393" i="4" a="1"/>
  <c r="E393" i="4" s="1"/>
  <c r="E394" i="4" a="1"/>
  <c r="E394" i="4" s="1"/>
  <c r="E395" i="4" a="1"/>
  <c r="E395" i="4" s="1"/>
  <c r="E396" i="4" a="1"/>
  <c r="E396" i="4" s="1"/>
  <c r="F396" i="4" s="1"/>
  <c r="K396" i="4" s="1"/>
  <c r="E397" i="4" a="1"/>
  <c r="E397" i="4" s="1"/>
  <c r="F397" i="4" s="1"/>
  <c r="K397" i="4" s="1"/>
  <c r="E398" i="4" a="1"/>
  <c r="E398" i="4" s="1"/>
  <c r="E399" i="4" a="1"/>
  <c r="E399" i="4" s="1"/>
  <c r="E400" i="4" a="1"/>
  <c r="E400" i="4" s="1"/>
  <c r="E401" i="4" a="1"/>
  <c r="E401" i="4" s="1"/>
  <c r="F401" i="4" s="1"/>
  <c r="K401" i="4" s="1"/>
  <c r="E402" i="4" a="1"/>
  <c r="E402" i="4" s="1"/>
  <c r="E403" i="4" a="1"/>
  <c r="E403" i="4" s="1"/>
  <c r="E404" i="4" a="1"/>
  <c r="E404" i="4" s="1"/>
  <c r="E405" i="4" a="1"/>
  <c r="E405" i="4" s="1"/>
  <c r="E406" i="4" a="1"/>
  <c r="E406" i="4" s="1"/>
  <c r="E407" i="4" a="1"/>
  <c r="E407" i="4" s="1"/>
  <c r="E408" i="4" a="1"/>
  <c r="E408" i="4" s="1"/>
  <c r="E409" i="4" a="1"/>
  <c r="E409" i="4" s="1"/>
  <c r="E410" i="4" a="1"/>
  <c r="E410" i="4" s="1"/>
  <c r="E411" i="4" a="1"/>
  <c r="E411" i="4" s="1"/>
  <c r="E412" i="4" a="1"/>
  <c r="E412" i="4" s="1"/>
  <c r="E413" i="4" a="1"/>
  <c r="E413" i="4" s="1"/>
  <c r="E414" i="4" a="1"/>
  <c r="E414" i="4" s="1"/>
  <c r="E415" i="4" a="1"/>
  <c r="E415" i="4" s="1"/>
  <c r="E416" i="4" a="1"/>
  <c r="E416" i="4" s="1"/>
  <c r="E417" i="4" a="1"/>
  <c r="E417" i="4" s="1"/>
  <c r="F417" i="4" s="1"/>
  <c r="K417" i="4" s="1"/>
  <c r="E418" i="4" a="1"/>
  <c r="E418" i="4" s="1"/>
  <c r="E419" i="4" a="1"/>
  <c r="E419" i="4" s="1"/>
  <c r="F419" i="4" s="1"/>
  <c r="K419" i="4" s="1"/>
  <c r="E420" i="4" a="1"/>
  <c r="E420" i="4" s="1"/>
  <c r="E421" i="4" a="1"/>
  <c r="E421" i="4" s="1"/>
  <c r="E422" i="4" a="1"/>
  <c r="E422" i="4" s="1"/>
  <c r="E423" i="4" a="1"/>
  <c r="E423" i="4" s="1"/>
  <c r="E424" i="4" a="1"/>
  <c r="E424" i="4" s="1"/>
  <c r="E425" i="4" a="1"/>
  <c r="E425" i="4" s="1"/>
  <c r="E426" i="4" a="1"/>
  <c r="E426" i="4" s="1"/>
  <c r="E427" i="4" a="1"/>
  <c r="E427" i="4" s="1"/>
  <c r="E428" i="4" a="1"/>
  <c r="E428" i="4" s="1"/>
  <c r="E429" i="4" a="1"/>
  <c r="E429" i="4" s="1"/>
  <c r="E430" i="4" a="1"/>
  <c r="E430" i="4" s="1"/>
  <c r="E431" i="4" a="1"/>
  <c r="E431" i="4" s="1"/>
  <c r="E432" i="4" a="1"/>
  <c r="E432" i="4" s="1"/>
  <c r="E433" i="4" a="1"/>
  <c r="E433" i="4" s="1"/>
  <c r="F433" i="4" s="1"/>
  <c r="K433" i="4" s="1"/>
  <c r="E434" i="4" a="1"/>
  <c r="E434" i="4" s="1"/>
  <c r="E435" i="4" a="1"/>
  <c r="E435" i="4" s="1"/>
  <c r="E436" i="4" a="1"/>
  <c r="E436" i="4" s="1"/>
  <c r="E437" i="4" a="1"/>
  <c r="E437" i="4" s="1"/>
  <c r="E438" i="4" a="1"/>
  <c r="E438" i="4" s="1"/>
  <c r="E439" i="4" a="1"/>
  <c r="E439" i="4" s="1"/>
  <c r="E440" i="4" a="1"/>
  <c r="E440" i="4" s="1"/>
  <c r="E441" i="4" a="1"/>
  <c r="E441" i="4" s="1"/>
  <c r="E442" i="4" a="1"/>
  <c r="E442" i="4" s="1"/>
  <c r="E443" i="4" a="1"/>
  <c r="E443" i="4" s="1"/>
  <c r="E444" i="4" a="1"/>
  <c r="E444" i="4" s="1"/>
  <c r="E445" i="4" a="1"/>
  <c r="E445" i="4" s="1"/>
  <c r="E446" i="4" a="1"/>
  <c r="E446" i="4" s="1"/>
  <c r="E447" i="4" a="1"/>
  <c r="E447" i="4" s="1"/>
  <c r="E448" i="4" a="1"/>
  <c r="E448" i="4" s="1"/>
  <c r="E449" i="4" a="1"/>
  <c r="E449" i="4" s="1"/>
  <c r="E450" i="4" a="1"/>
  <c r="E450" i="4" s="1"/>
  <c r="E451" i="4" a="1"/>
  <c r="E451" i="4" s="1"/>
  <c r="E452" i="4" a="1"/>
  <c r="E452" i="4" s="1"/>
  <c r="E453" i="4" a="1"/>
  <c r="E453" i="4" s="1"/>
  <c r="E454" i="4" a="1"/>
  <c r="E454" i="4" s="1"/>
  <c r="E455" i="4" a="1"/>
  <c r="E455" i="4" s="1"/>
  <c r="E456" i="4" a="1"/>
  <c r="E456" i="4" s="1"/>
  <c r="E457" i="4" a="1"/>
  <c r="E457" i="4" s="1"/>
  <c r="E458" i="4" a="1"/>
  <c r="E458" i="4" s="1"/>
  <c r="E459" i="4" a="1"/>
  <c r="E459" i="4" s="1"/>
  <c r="E460" i="4" a="1"/>
  <c r="E460" i="4" s="1"/>
  <c r="E461" i="4" a="1"/>
  <c r="E461" i="4" s="1"/>
  <c r="F461" i="4" s="1"/>
  <c r="K461" i="4" s="1"/>
  <c r="E462" i="4" a="1"/>
  <c r="E462" i="4" s="1"/>
  <c r="E463" i="4" a="1"/>
  <c r="E463" i="4" s="1"/>
  <c r="E464" i="4" a="1"/>
  <c r="E464" i="4" s="1"/>
  <c r="E465" i="4" a="1"/>
  <c r="E465" i="4" s="1"/>
  <c r="J465" i="4" s="1"/>
  <c r="E466" i="4" a="1"/>
  <c r="E466" i="4" s="1"/>
  <c r="E467" i="4" a="1"/>
  <c r="E467" i="4" s="1"/>
  <c r="E468" i="4" a="1"/>
  <c r="E468" i="4" s="1"/>
  <c r="E469" i="4" a="1"/>
  <c r="E469" i="4" s="1"/>
  <c r="F469" i="4" s="1"/>
  <c r="K469" i="4" s="1"/>
  <c r="E470" i="4" a="1"/>
  <c r="E470" i="4" s="1"/>
  <c r="E471" i="4" a="1"/>
  <c r="E471" i="4" s="1"/>
  <c r="E472" i="4" a="1"/>
  <c r="E472" i="4" s="1"/>
  <c r="E473" i="4" a="1"/>
  <c r="E473" i="4" s="1"/>
  <c r="F473" i="4" s="1"/>
  <c r="K473" i="4" s="1"/>
  <c r="E474" i="4" a="1"/>
  <c r="E474" i="4" s="1"/>
  <c r="E475" i="4" a="1"/>
  <c r="E475" i="4" s="1"/>
  <c r="E476" i="4" a="1"/>
  <c r="E476" i="4" s="1"/>
  <c r="E477" i="4" a="1"/>
  <c r="E477" i="4" s="1"/>
  <c r="E478" i="4" a="1"/>
  <c r="E478" i="4" s="1"/>
  <c r="E479" i="4" a="1"/>
  <c r="E479" i="4" s="1"/>
  <c r="E480" i="4" a="1"/>
  <c r="E480" i="4" s="1"/>
  <c r="E481" i="4" a="1"/>
  <c r="E481" i="4" s="1"/>
  <c r="E482" i="4" a="1"/>
  <c r="E482" i="4" s="1"/>
  <c r="E483" i="4" a="1"/>
  <c r="E483" i="4" s="1"/>
  <c r="E484" i="4" a="1"/>
  <c r="E484" i="4" s="1"/>
  <c r="E485" i="4" a="1"/>
  <c r="E485" i="4" s="1"/>
  <c r="E486" i="4" a="1"/>
  <c r="E486" i="4" s="1"/>
  <c r="E487" i="4" a="1"/>
  <c r="E487" i="4" s="1"/>
  <c r="E488" i="4" a="1"/>
  <c r="E488" i="4" s="1"/>
  <c r="E489" i="4" a="1"/>
  <c r="E489" i="4" s="1"/>
  <c r="E490" i="4" a="1"/>
  <c r="E490" i="4" s="1"/>
  <c r="E491" i="4" a="1"/>
  <c r="E491" i="4" s="1"/>
  <c r="E492" i="4" a="1"/>
  <c r="E492" i="4" s="1"/>
  <c r="E493" i="4" a="1"/>
  <c r="E493" i="4" s="1"/>
  <c r="F493" i="4" s="1"/>
  <c r="K493" i="4" s="1"/>
  <c r="E494" i="4" a="1"/>
  <c r="E494" i="4" s="1"/>
  <c r="E495" i="4" a="1"/>
  <c r="E495" i="4" s="1"/>
  <c r="E496" i="4" a="1"/>
  <c r="E496" i="4" s="1"/>
  <c r="E497" i="4" a="1"/>
  <c r="E497" i="4" s="1"/>
  <c r="E498" i="4" a="1"/>
  <c r="E498" i="4" s="1"/>
  <c r="E499" i="4" a="1"/>
  <c r="E499" i="4" s="1"/>
  <c r="E500" i="4" a="1"/>
  <c r="E500" i="4" s="1"/>
  <c r="E501" i="4" a="1"/>
  <c r="E501" i="4" s="1"/>
  <c r="E502" i="4" a="1"/>
  <c r="E502" i="4" s="1"/>
  <c r="F502" i="4" s="1"/>
  <c r="K502" i="4" s="1"/>
  <c r="E503" i="4" a="1"/>
  <c r="E503" i="4" s="1"/>
  <c r="E504" i="4" a="1"/>
  <c r="E504" i="4" s="1"/>
  <c r="E505" i="4" a="1"/>
  <c r="E505" i="4" s="1"/>
  <c r="E506" i="4" a="1"/>
  <c r="E506" i="4" s="1"/>
  <c r="E507" i="4" a="1"/>
  <c r="E507" i="4" s="1"/>
  <c r="E508" i="4" a="1"/>
  <c r="E508" i="4" s="1"/>
  <c r="E509" i="4" a="1"/>
  <c r="E509" i="4" s="1"/>
  <c r="E510" i="4" a="1"/>
  <c r="E510" i="4" s="1"/>
  <c r="E511" i="4" a="1"/>
  <c r="E511" i="4" s="1"/>
  <c r="E512" i="4" a="1"/>
  <c r="E512" i="4" s="1"/>
  <c r="E513" i="4" a="1"/>
  <c r="E513" i="4" s="1"/>
  <c r="E514" i="4" a="1"/>
  <c r="E514" i="4" s="1"/>
  <c r="E515" i="4" a="1"/>
  <c r="E515" i="4" s="1"/>
  <c r="E516" i="4" a="1"/>
  <c r="E516" i="4" s="1"/>
  <c r="E517" i="4" a="1"/>
  <c r="E517" i="4" s="1"/>
  <c r="F517" i="4" s="1"/>
  <c r="K517" i="4" s="1"/>
  <c r="E518" i="4" a="1"/>
  <c r="E518" i="4" s="1"/>
  <c r="E519" i="4" a="1"/>
  <c r="E519" i="4" s="1"/>
  <c r="E520" i="4" a="1"/>
  <c r="E520" i="4" s="1"/>
  <c r="E521" i="4" a="1"/>
  <c r="E521" i="4" s="1"/>
  <c r="E522" i="4" a="1"/>
  <c r="E522" i="4" s="1"/>
  <c r="E523" i="4" a="1"/>
  <c r="E523" i="4" s="1"/>
  <c r="E524" i="4" a="1"/>
  <c r="E524" i="4" s="1"/>
  <c r="E525" i="4" a="1"/>
  <c r="E525" i="4" s="1"/>
  <c r="E526" i="4" a="1"/>
  <c r="E526" i="4" s="1"/>
  <c r="E527" i="4" a="1"/>
  <c r="E527" i="4" s="1"/>
  <c r="E528" i="4" a="1"/>
  <c r="E528" i="4" s="1"/>
  <c r="E529" i="4" a="1"/>
  <c r="E529" i="4" s="1"/>
  <c r="E530" i="4" a="1"/>
  <c r="E530" i="4" s="1"/>
  <c r="E531" i="4" a="1"/>
  <c r="E531" i="4" s="1"/>
  <c r="E532" i="4" a="1"/>
  <c r="E532" i="4" s="1"/>
  <c r="E533" i="4" a="1"/>
  <c r="E533" i="4" s="1"/>
  <c r="F533" i="4" s="1"/>
  <c r="K533" i="4" s="1"/>
  <c r="E534" i="4" a="1"/>
  <c r="E534" i="4" s="1"/>
  <c r="E535" i="4" a="1"/>
  <c r="E535" i="4" s="1"/>
  <c r="E536" i="4" a="1"/>
  <c r="E536" i="4" s="1"/>
  <c r="E537" i="4" a="1"/>
  <c r="E537" i="4" s="1"/>
  <c r="E538" i="4" a="1"/>
  <c r="E538" i="4" s="1"/>
  <c r="E539" i="4" a="1"/>
  <c r="E539" i="4" s="1"/>
  <c r="E540" i="4" a="1"/>
  <c r="E540" i="4" s="1"/>
  <c r="E541" i="4" a="1"/>
  <c r="E541" i="4" s="1"/>
  <c r="E542" i="4" a="1"/>
  <c r="E542" i="4" s="1"/>
  <c r="E543" i="4" a="1"/>
  <c r="E543" i="4" s="1"/>
  <c r="E544" i="4" a="1"/>
  <c r="E544" i="4" s="1"/>
  <c r="E545" i="4" a="1"/>
  <c r="E545" i="4" s="1"/>
  <c r="E546" i="4" a="1"/>
  <c r="E546" i="4" s="1"/>
  <c r="E547" i="4" a="1"/>
  <c r="E547" i="4" s="1"/>
  <c r="E548" i="4" a="1"/>
  <c r="E548" i="4" s="1"/>
  <c r="E549" i="4" a="1"/>
  <c r="E549" i="4" s="1"/>
  <c r="E550" i="4" a="1"/>
  <c r="E550" i="4" s="1"/>
  <c r="E551" i="4" a="1"/>
  <c r="E551" i="4" s="1"/>
  <c r="E552" i="4" a="1"/>
  <c r="E552" i="4" s="1"/>
  <c r="E553" i="4" a="1"/>
  <c r="E553" i="4" s="1"/>
  <c r="E554" i="4" a="1"/>
  <c r="E554" i="4" s="1"/>
  <c r="E555" i="4" a="1"/>
  <c r="E555" i="4" s="1"/>
  <c r="E556" i="4" a="1"/>
  <c r="E556" i="4" s="1"/>
  <c r="E557" i="4" a="1"/>
  <c r="E557" i="4" s="1"/>
  <c r="E558" i="4" a="1"/>
  <c r="E558" i="4" s="1"/>
  <c r="E559" i="4" a="1"/>
  <c r="E559" i="4" s="1"/>
  <c r="E560" i="4" a="1"/>
  <c r="E560" i="4" s="1"/>
  <c r="E561" i="4" a="1"/>
  <c r="E561" i="4" s="1"/>
  <c r="E562" i="4" a="1"/>
  <c r="E562" i="4" s="1"/>
  <c r="E563" i="4" a="1"/>
  <c r="E563" i="4" s="1"/>
  <c r="E564" i="4" a="1"/>
  <c r="E564" i="4" s="1"/>
  <c r="E565" i="4" a="1"/>
  <c r="E565" i="4" s="1"/>
  <c r="E566" i="4" a="1"/>
  <c r="E566" i="4" s="1"/>
  <c r="E567" i="4" a="1"/>
  <c r="E567" i="4" s="1"/>
  <c r="E568" i="4" a="1"/>
  <c r="E568" i="4" s="1"/>
  <c r="E569" i="4" a="1"/>
  <c r="E569" i="4" s="1"/>
  <c r="E570" i="4" a="1"/>
  <c r="E570" i="4" s="1"/>
  <c r="E571" i="4" a="1"/>
  <c r="E571" i="4" s="1"/>
  <c r="E572" i="4" a="1"/>
  <c r="E572" i="4" s="1"/>
  <c r="E573" i="4" a="1"/>
  <c r="E573" i="4" s="1"/>
  <c r="E574" i="4" a="1"/>
  <c r="E574" i="4" s="1"/>
  <c r="E575" i="4" a="1"/>
  <c r="E575" i="4" s="1"/>
  <c r="E576" i="4" a="1"/>
  <c r="E576" i="4" s="1"/>
  <c r="E577" i="4" a="1"/>
  <c r="E577" i="4" s="1"/>
  <c r="E578" i="4" a="1"/>
  <c r="E578" i="4" s="1"/>
  <c r="E579" i="4" a="1"/>
  <c r="E579" i="4" s="1"/>
  <c r="E580" i="4" a="1"/>
  <c r="E580" i="4" s="1"/>
  <c r="E581" i="4" a="1"/>
  <c r="E581" i="4" s="1"/>
  <c r="E582" i="4" a="1"/>
  <c r="E582" i="4" s="1"/>
  <c r="E583" i="4" a="1"/>
  <c r="E583" i="4" s="1"/>
  <c r="E584" i="4" a="1"/>
  <c r="E584" i="4" s="1"/>
  <c r="E585" i="4" a="1"/>
  <c r="E585" i="4" s="1"/>
  <c r="G585" i="4" s="1"/>
  <c r="E586" i="4" a="1"/>
  <c r="E586" i="4" s="1"/>
  <c r="E587" i="4" a="1"/>
  <c r="E587" i="4" s="1"/>
  <c r="E588" i="4" a="1"/>
  <c r="E588" i="4" s="1"/>
  <c r="E589" i="4" a="1"/>
  <c r="E589" i="4" s="1"/>
  <c r="F589" i="4" s="1"/>
  <c r="K589" i="4" s="1"/>
  <c r="E590" i="4" a="1"/>
  <c r="E590" i="4" s="1"/>
  <c r="E591" i="4" a="1"/>
  <c r="E591" i="4" s="1"/>
  <c r="E592" i="4" a="1"/>
  <c r="E592" i="4" s="1"/>
  <c r="E593" i="4" a="1"/>
  <c r="E593" i="4" s="1"/>
  <c r="E594" i="4" a="1"/>
  <c r="E594" i="4" s="1"/>
  <c r="E595" i="4" a="1"/>
  <c r="E595" i="4" s="1"/>
  <c r="E596" i="4" a="1"/>
  <c r="E596" i="4" s="1"/>
  <c r="E597" i="4" a="1"/>
  <c r="E597" i="4" s="1"/>
  <c r="E598" i="4" a="1"/>
  <c r="E598" i="4" s="1"/>
  <c r="E599" i="4" a="1"/>
  <c r="E599" i="4" s="1"/>
  <c r="E600" i="4" a="1"/>
  <c r="E600" i="4" s="1"/>
  <c r="E601" i="4" a="1"/>
  <c r="E601" i="4" s="1"/>
  <c r="E602" i="4" a="1"/>
  <c r="E602" i="4" s="1"/>
  <c r="E603" i="4" a="1"/>
  <c r="E603" i="4" s="1"/>
  <c r="E604" i="4" a="1"/>
  <c r="E604" i="4" s="1"/>
  <c r="E605" i="4" a="1"/>
  <c r="E605" i="4" s="1"/>
  <c r="E606" i="4" a="1"/>
  <c r="E606" i="4" s="1"/>
  <c r="E607" i="4" a="1"/>
  <c r="E607" i="4" s="1"/>
  <c r="E608" i="4" a="1"/>
  <c r="E608" i="4" s="1"/>
  <c r="E609" i="4" a="1"/>
  <c r="E609" i="4" s="1"/>
  <c r="E610" i="4" a="1"/>
  <c r="E610" i="4" s="1"/>
  <c r="E611" i="4" a="1"/>
  <c r="E611" i="4" s="1"/>
  <c r="E612" i="4" a="1"/>
  <c r="E612" i="4" s="1"/>
  <c r="E613" i="4" a="1"/>
  <c r="E613" i="4" s="1"/>
  <c r="E614" i="4" a="1"/>
  <c r="E614" i="4" s="1"/>
  <c r="E615" i="4" a="1"/>
  <c r="E615" i="4" s="1"/>
  <c r="E616" i="4" a="1"/>
  <c r="E616" i="4" s="1"/>
  <c r="E617" i="4" a="1"/>
  <c r="E617" i="4" s="1"/>
  <c r="E618" i="4" a="1"/>
  <c r="E618" i="4" s="1"/>
  <c r="E619" i="4" a="1"/>
  <c r="E619" i="4" s="1"/>
  <c r="E620" i="4" a="1"/>
  <c r="E620" i="4" s="1"/>
  <c r="E621" i="4" a="1"/>
  <c r="E621" i="4" s="1"/>
  <c r="E622" i="4" a="1"/>
  <c r="E622" i="4" s="1"/>
  <c r="E623" i="4" a="1"/>
  <c r="E623" i="4" s="1"/>
  <c r="E624" i="4" a="1"/>
  <c r="E624" i="4" s="1"/>
  <c r="E625" i="4" a="1"/>
  <c r="E625" i="4" s="1"/>
  <c r="E626" i="4" a="1"/>
  <c r="E626" i="4" s="1"/>
  <c r="E627" i="4" a="1"/>
  <c r="E627" i="4" s="1"/>
  <c r="E628" i="4" a="1"/>
  <c r="E628" i="4" s="1"/>
  <c r="E629" i="4" a="1"/>
  <c r="E629" i="4" s="1"/>
  <c r="E630" i="4" a="1"/>
  <c r="E630" i="4" s="1"/>
  <c r="E631" i="4" a="1"/>
  <c r="E631" i="4" s="1"/>
  <c r="E632" i="4" a="1"/>
  <c r="E632" i="4" s="1"/>
  <c r="E633" i="4" a="1"/>
  <c r="E633" i="4" s="1"/>
  <c r="F633" i="4" s="1"/>
  <c r="K633" i="4" s="1"/>
  <c r="E634" i="4" a="1"/>
  <c r="E634" i="4" s="1"/>
  <c r="E635" i="4" a="1"/>
  <c r="E635" i="4" s="1"/>
  <c r="E636" i="4" a="1"/>
  <c r="E636" i="4" s="1"/>
  <c r="E637" i="4" a="1"/>
  <c r="E637" i="4" s="1"/>
  <c r="E638" i="4" a="1"/>
  <c r="E638" i="4" s="1"/>
  <c r="E639" i="4" a="1"/>
  <c r="E639" i="4" s="1"/>
  <c r="E640" i="4" a="1"/>
  <c r="E640" i="4" s="1"/>
  <c r="E641" i="4" a="1"/>
  <c r="E641" i="4" s="1"/>
  <c r="E642" i="4" a="1"/>
  <c r="E642" i="4" s="1"/>
  <c r="E643" i="4" a="1"/>
  <c r="E643" i="4" s="1"/>
  <c r="E644" i="4" a="1"/>
  <c r="E644" i="4" s="1"/>
  <c r="E645" i="4" a="1"/>
  <c r="E645" i="4" s="1"/>
  <c r="F645" i="4" s="1"/>
  <c r="K645" i="4" s="1"/>
  <c r="E646" i="4" a="1"/>
  <c r="E646" i="4" s="1"/>
  <c r="E647" i="4" a="1"/>
  <c r="E647" i="4" s="1"/>
  <c r="E648" i="4" a="1"/>
  <c r="E648" i="4" s="1"/>
  <c r="E2" i="4" a="1"/>
  <c r="E2" i="4" s="1"/>
  <c r="J88" i="1" l="1"/>
  <c r="G50" i="1"/>
  <c r="F50" i="1"/>
  <c r="I98" i="1"/>
  <c r="K98" i="1" s="1"/>
  <c r="I191" i="1"/>
  <c r="K191" i="1" s="1"/>
  <c r="J101" i="1"/>
  <c r="J106" i="1"/>
  <c r="F58" i="1"/>
  <c r="G106" i="1"/>
  <c r="F156" i="1"/>
  <c r="J156" i="1"/>
  <c r="J206" i="1"/>
  <c r="I206" i="1"/>
  <c r="K206" i="1" s="1"/>
  <c r="F133" i="1"/>
  <c r="J133" i="1"/>
  <c r="I133" i="1"/>
  <c r="K133" i="1" s="1"/>
  <c r="J8" i="1"/>
  <c r="F8" i="1"/>
  <c r="F158" i="1"/>
  <c r="I158" i="1"/>
  <c r="K158" i="1" s="1"/>
  <c r="J158" i="1"/>
  <c r="I25" i="1"/>
  <c r="K25" i="1" s="1"/>
  <c r="G25" i="1"/>
  <c r="F25" i="1"/>
  <c r="J124" i="1"/>
  <c r="J85" i="1"/>
  <c r="G74" i="1"/>
  <c r="I58" i="1"/>
  <c r="K58" i="1" s="1"/>
  <c r="I124" i="1"/>
  <c r="K124" i="1" s="1"/>
  <c r="F74" i="1"/>
  <c r="G58" i="1"/>
  <c r="J53" i="1"/>
  <c r="J72" i="1"/>
  <c r="I66" i="1"/>
  <c r="K66" i="1" s="1"/>
  <c r="J93" i="1"/>
  <c r="G82" i="1"/>
  <c r="G66" i="1"/>
  <c r="I50" i="1"/>
  <c r="K50" i="1" s="1"/>
  <c r="J109" i="1"/>
  <c r="I136" i="1"/>
  <c r="K136" i="1" s="1"/>
  <c r="J136" i="1"/>
  <c r="J44" i="1"/>
  <c r="I44" i="1"/>
  <c r="K44" i="1" s="1"/>
  <c r="F64" i="1"/>
  <c r="J64" i="1"/>
  <c r="F200" i="1"/>
  <c r="G200" i="1"/>
  <c r="I200" i="1"/>
  <c r="K200" i="1" s="1"/>
  <c r="J200" i="1"/>
  <c r="J189" i="1"/>
  <c r="G189" i="1"/>
  <c r="F189" i="1"/>
  <c r="F208" i="1"/>
  <c r="I208" i="1"/>
  <c r="K208" i="1" s="1"/>
  <c r="J208" i="1"/>
  <c r="G208" i="1"/>
  <c r="F146" i="1"/>
  <c r="G146" i="1"/>
  <c r="F107" i="1"/>
  <c r="G107" i="1"/>
  <c r="I107" i="1"/>
  <c r="K107" i="1" s="1"/>
  <c r="J107" i="1"/>
  <c r="J163" i="1"/>
  <c r="G163" i="1"/>
  <c r="I163" i="1"/>
  <c r="K163" i="1" s="1"/>
  <c r="F130" i="1"/>
  <c r="G130" i="1"/>
  <c r="I52" i="1"/>
  <c r="K52" i="1" s="1"/>
  <c r="J52" i="1"/>
  <c r="F132" i="1"/>
  <c r="G132" i="1"/>
  <c r="I132" i="1"/>
  <c r="K132" i="1" s="1"/>
  <c r="J132" i="1"/>
  <c r="F223" i="1"/>
  <c r="G223" i="1"/>
  <c r="I223" i="1"/>
  <c r="K223" i="1" s="1"/>
  <c r="J223" i="1"/>
  <c r="G134" i="1"/>
  <c r="I134" i="1"/>
  <c r="K134" i="1" s="1"/>
  <c r="J134" i="1"/>
  <c r="F134" i="1"/>
  <c r="J197" i="1"/>
  <c r="G197" i="1"/>
  <c r="F197" i="1"/>
  <c r="F174" i="1"/>
  <c r="G174" i="1"/>
  <c r="I174" i="1"/>
  <c r="K174" i="1" s="1"/>
  <c r="J174" i="1"/>
  <c r="J214" i="1"/>
  <c r="F214" i="1"/>
  <c r="G214" i="1"/>
  <c r="I214" i="1"/>
  <c r="K214" i="1" s="1"/>
  <c r="F184" i="1"/>
  <c r="G184" i="1"/>
  <c r="I184" i="1"/>
  <c r="K184" i="1" s="1"/>
  <c r="J184" i="1"/>
  <c r="F173" i="1"/>
  <c r="G173" i="1"/>
  <c r="I173" i="1"/>
  <c r="K173" i="1" s="1"/>
  <c r="J173" i="1"/>
  <c r="F157" i="1"/>
  <c r="J157" i="1"/>
  <c r="J152" i="1"/>
  <c r="I152" i="1"/>
  <c r="K152" i="1" s="1"/>
  <c r="J145" i="1"/>
  <c r="F145" i="1"/>
  <c r="J139" i="1"/>
  <c r="F139" i="1"/>
  <c r="G139" i="1"/>
  <c r="I139" i="1"/>
  <c r="K139" i="1" s="1"/>
  <c r="F117" i="1"/>
  <c r="G117" i="1"/>
  <c r="I117" i="1"/>
  <c r="K117" i="1" s="1"/>
  <c r="J117" i="1"/>
  <c r="I84" i="1"/>
  <c r="K84" i="1" s="1"/>
  <c r="J84" i="1"/>
  <c r="F48" i="1"/>
  <c r="J48" i="1"/>
  <c r="J24" i="1"/>
  <c r="F24" i="1"/>
  <c r="J182" i="1"/>
  <c r="F182" i="1"/>
  <c r="G182" i="1"/>
  <c r="I182" i="1"/>
  <c r="K182" i="1" s="1"/>
  <c r="G166" i="1"/>
  <c r="I166" i="1"/>
  <c r="K166" i="1" s="1"/>
  <c r="J166" i="1"/>
  <c r="F166" i="1"/>
  <c r="F150" i="1"/>
  <c r="G150" i="1"/>
  <c r="I150" i="1"/>
  <c r="K150" i="1" s="1"/>
  <c r="J150" i="1"/>
  <c r="J126" i="1"/>
  <c r="F126" i="1"/>
  <c r="G126" i="1"/>
  <c r="I126" i="1"/>
  <c r="K126" i="1" s="1"/>
  <c r="G110" i="1"/>
  <c r="I110" i="1"/>
  <c r="K110" i="1" s="1"/>
  <c r="I9" i="1"/>
  <c r="K9" i="1" s="1"/>
  <c r="F9" i="1"/>
  <c r="G9" i="1"/>
  <c r="G142" i="1"/>
  <c r="G125" i="1"/>
  <c r="G116" i="1"/>
  <c r="G113" i="1"/>
  <c r="J100" i="1"/>
  <c r="G90" i="1"/>
  <c r="J61" i="1"/>
  <c r="J45" i="1"/>
  <c r="I222" i="1"/>
  <c r="K222" i="1" s="1"/>
  <c r="J216" i="1"/>
  <c r="I159" i="1"/>
  <c r="K159" i="1" s="1"/>
  <c r="J149" i="1"/>
  <c r="F142" i="1"/>
  <c r="F125" i="1"/>
  <c r="J118" i="1"/>
  <c r="F116" i="1"/>
  <c r="F113" i="1"/>
  <c r="I106" i="1"/>
  <c r="K106" i="1" s="1"/>
  <c r="F90" i="1"/>
  <c r="I82" i="1"/>
  <c r="K82" i="1" s="1"/>
  <c r="I198" i="1"/>
  <c r="K198" i="1" s="1"/>
  <c r="J192" i="1"/>
  <c r="I190" i="1"/>
  <c r="K190" i="1" s="1"/>
  <c r="J177" i="1"/>
  <c r="J167" i="1"/>
  <c r="I149" i="1"/>
  <c r="K149" i="1" s="1"/>
  <c r="J143" i="1"/>
  <c r="I118" i="1"/>
  <c r="K118" i="1" s="1"/>
  <c r="G222" i="1"/>
  <c r="I216" i="1"/>
  <c r="K216" i="1" s="1"/>
  <c r="F222" i="1"/>
  <c r="G216" i="1"/>
  <c r="J207" i="1"/>
  <c r="G198" i="1"/>
  <c r="I192" i="1"/>
  <c r="K192" i="1" s="1"/>
  <c r="G190" i="1"/>
  <c r="I177" i="1"/>
  <c r="K177" i="1" s="1"/>
  <c r="I167" i="1"/>
  <c r="K167" i="1" s="1"/>
  <c r="G165" i="1"/>
  <c r="G149" i="1"/>
  <c r="I143" i="1"/>
  <c r="K143" i="1" s="1"/>
  <c r="J127" i="1"/>
  <c r="G118" i="1"/>
  <c r="J96" i="1"/>
  <c r="F82" i="1"/>
  <c r="J77" i="1"/>
  <c r="I74" i="1"/>
  <c r="K74" i="1" s="1"/>
  <c r="J60" i="1"/>
  <c r="G17" i="1"/>
  <c r="F198" i="1"/>
  <c r="G192" i="1"/>
  <c r="F190" i="1"/>
  <c r="F177" i="1"/>
  <c r="G170" i="1"/>
  <c r="F165" i="1"/>
  <c r="G143" i="1"/>
  <c r="F141" i="1"/>
  <c r="F17" i="1"/>
  <c r="G221" i="1"/>
  <c r="G215" i="1"/>
  <c r="G206" i="1"/>
  <c r="J183" i="1"/>
  <c r="G181" i="1"/>
  <c r="J178" i="1"/>
  <c r="I172" i="1"/>
  <c r="K172" i="1" s="1"/>
  <c r="G158" i="1"/>
  <c r="I156" i="1"/>
  <c r="K156" i="1" s="1"/>
  <c r="J142" i="1"/>
  <c r="G133" i="1"/>
  <c r="J125" i="1"/>
  <c r="G124" i="1"/>
  <c r="J119" i="1"/>
  <c r="J116" i="1"/>
  <c r="G109" i="1"/>
  <c r="G98" i="1"/>
  <c r="J76" i="1"/>
  <c r="J69" i="1"/>
  <c r="F66" i="1"/>
  <c r="J56" i="1"/>
  <c r="J43" i="1"/>
  <c r="F206" i="1"/>
  <c r="F181" i="1"/>
  <c r="G178" i="1"/>
  <c r="G172" i="1"/>
  <c r="G156" i="1"/>
  <c r="I113" i="1"/>
  <c r="K113" i="1" s="1"/>
  <c r="F98" i="1"/>
  <c r="I90" i="1"/>
  <c r="K90" i="1" s="1"/>
  <c r="I43" i="1"/>
  <c r="K43" i="1" s="1"/>
  <c r="G33" i="1"/>
  <c r="F16" i="1"/>
  <c r="I2" i="1"/>
  <c r="K2" i="1" s="1"/>
  <c r="F2" i="1"/>
  <c r="G2" i="1"/>
  <c r="I212" i="1"/>
  <c r="K212" i="1" s="1"/>
  <c r="J212" i="1"/>
  <c r="G212" i="1"/>
  <c r="F212" i="1"/>
  <c r="I220" i="1"/>
  <c r="K220" i="1" s="1"/>
  <c r="J220" i="1"/>
  <c r="G220" i="1"/>
  <c r="F220" i="1"/>
  <c r="G187" i="1"/>
  <c r="I187" i="1"/>
  <c r="K187" i="1" s="1"/>
  <c r="J187" i="1"/>
  <c r="F187" i="1"/>
  <c r="G195" i="1"/>
  <c r="I195" i="1"/>
  <c r="K195" i="1" s="1"/>
  <c r="J195" i="1"/>
  <c r="F195" i="1"/>
  <c r="F199" i="1"/>
  <c r="G199" i="1"/>
  <c r="J213" i="1"/>
  <c r="I213" i="1"/>
  <c r="K213" i="1" s="1"/>
  <c r="I204" i="1"/>
  <c r="K204" i="1" s="1"/>
  <c r="J204" i="1"/>
  <c r="G204" i="1"/>
  <c r="I193" i="1"/>
  <c r="K193" i="1" s="1"/>
  <c r="F193" i="1"/>
  <c r="G193" i="1"/>
  <c r="J193" i="1"/>
  <c r="F191" i="1"/>
  <c r="G191" i="1"/>
  <c r="I196" i="1"/>
  <c r="K196" i="1" s="1"/>
  <c r="J196" i="1"/>
  <c r="G196" i="1"/>
  <c r="F217" i="1"/>
  <c r="G217" i="1"/>
  <c r="I217" i="1"/>
  <c r="K217" i="1" s="1"/>
  <c r="I215" i="1"/>
  <c r="K215" i="1" s="1"/>
  <c r="G213" i="1"/>
  <c r="F201" i="1"/>
  <c r="I201" i="1"/>
  <c r="K201" i="1" s="1"/>
  <c r="G201" i="1"/>
  <c r="J201" i="1"/>
  <c r="I199" i="1"/>
  <c r="K199" i="1" s="1"/>
  <c r="F194" i="1"/>
  <c r="J194" i="1"/>
  <c r="G194" i="1"/>
  <c r="I194" i="1"/>
  <c r="K194" i="1" s="1"/>
  <c r="I180" i="1"/>
  <c r="K180" i="1" s="1"/>
  <c r="J180" i="1"/>
  <c r="G180" i="1"/>
  <c r="F168" i="1"/>
  <c r="G168" i="1"/>
  <c r="I168" i="1"/>
  <c r="K168" i="1" s="1"/>
  <c r="J168" i="1"/>
  <c r="J147" i="1"/>
  <c r="F147" i="1"/>
  <c r="G147" i="1"/>
  <c r="I147" i="1"/>
  <c r="K147" i="1" s="1"/>
  <c r="F144" i="1"/>
  <c r="G144" i="1"/>
  <c r="I144" i="1"/>
  <c r="K144" i="1" s="1"/>
  <c r="J144" i="1"/>
  <c r="J171" i="1"/>
  <c r="G171" i="1"/>
  <c r="I171" i="1"/>
  <c r="K171" i="1" s="1"/>
  <c r="F171" i="1"/>
  <c r="J179" i="1"/>
  <c r="F179" i="1"/>
  <c r="G179" i="1"/>
  <c r="I179" i="1"/>
  <c r="K179" i="1" s="1"/>
  <c r="J155" i="1"/>
  <c r="F155" i="1"/>
  <c r="I155" i="1"/>
  <c r="K155" i="1" s="1"/>
  <c r="J123" i="1"/>
  <c r="F123" i="1"/>
  <c r="G123" i="1"/>
  <c r="I123" i="1"/>
  <c r="K123" i="1" s="1"/>
  <c r="I154" i="1"/>
  <c r="K154" i="1" s="1"/>
  <c r="J154" i="1"/>
  <c r="F154" i="1"/>
  <c r="G154" i="1"/>
  <c r="I122" i="1"/>
  <c r="K122" i="1" s="1"/>
  <c r="J122" i="1"/>
  <c r="F122" i="1"/>
  <c r="G122" i="1"/>
  <c r="G219" i="1"/>
  <c r="I219" i="1"/>
  <c r="K219" i="1" s="1"/>
  <c r="J219" i="1"/>
  <c r="F219" i="1"/>
  <c r="G203" i="1"/>
  <c r="I203" i="1"/>
  <c r="K203" i="1" s="1"/>
  <c r="J203" i="1"/>
  <c r="F203" i="1"/>
  <c r="F185" i="1"/>
  <c r="G185" i="1"/>
  <c r="I185" i="1"/>
  <c r="K185" i="1" s="1"/>
  <c r="J185" i="1"/>
  <c r="G153" i="1"/>
  <c r="I153" i="1"/>
  <c r="K153" i="1" s="1"/>
  <c r="F153" i="1"/>
  <c r="J153" i="1"/>
  <c r="G121" i="1"/>
  <c r="I121" i="1"/>
  <c r="K121" i="1" s="1"/>
  <c r="J121" i="1"/>
  <c r="F121" i="1"/>
  <c r="F115" i="1"/>
  <c r="J115" i="1"/>
  <c r="G115" i="1"/>
  <c r="I115" i="1"/>
  <c r="K115" i="1" s="1"/>
  <c r="J221" i="1"/>
  <c r="I221" i="1"/>
  <c r="K221" i="1" s="1"/>
  <c r="F218" i="1"/>
  <c r="G218" i="1"/>
  <c r="I218" i="1"/>
  <c r="K218" i="1" s="1"/>
  <c r="J218" i="1"/>
  <c r="F209" i="1"/>
  <c r="G209" i="1"/>
  <c r="I209" i="1"/>
  <c r="K209" i="1" s="1"/>
  <c r="I207" i="1"/>
  <c r="K207" i="1" s="1"/>
  <c r="G205" i="1"/>
  <c r="G183" i="1"/>
  <c r="F183" i="1"/>
  <c r="I162" i="1"/>
  <c r="K162" i="1" s="1"/>
  <c r="J162" i="1"/>
  <c r="F162" i="1"/>
  <c r="F120" i="1"/>
  <c r="G120" i="1"/>
  <c r="I120" i="1"/>
  <c r="K120" i="1" s="1"/>
  <c r="J120" i="1"/>
  <c r="F186" i="1"/>
  <c r="J186" i="1"/>
  <c r="G186" i="1"/>
  <c r="I186" i="1"/>
  <c r="K186" i="1" s="1"/>
  <c r="G207" i="1"/>
  <c r="F202" i="1"/>
  <c r="G202" i="1"/>
  <c r="J202" i="1"/>
  <c r="I202" i="1"/>
  <c r="K202" i="1" s="1"/>
  <c r="I188" i="1"/>
  <c r="K188" i="1" s="1"/>
  <c r="J188" i="1"/>
  <c r="G188" i="1"/>
  <c r="F176" i="1"/>
  <c r="J176" i="1"/>
  <c r="I176" i="1"/>
  <c r="K176" i="1" s="1"/>
  <c r="G164" i="1"/>
  <c r="I164" i="1"/>
  <c r="K164" i="1" s="1"/>
  <c r="J164" i="1"/>
  <c r="F164" i="1"/>
  <c r="G161" i="1"/>
  <c r="I161" i="1"/>
  <c r="K161" i="1" s="1"/>
  <c r="F161" i="1"/>
  <c r="J161" i="1"/>
  <c r="F210" i="1"/>
  <c r="G210" i="1"/>
  <c r="I210" i="1"/>
  <c r="K210" i="1" s="1"/>
  <c r="J210" i="1"/>
  <c r="J215" i="1"/>
  <c r="G211" i="1"/>
  <c r="I211" i="1"/>
  <c r="K211" i="1" s="1"/>
  <c r="J211" i="1"/>
  <c r="F211" i="1"/>
  <c r="J205" i="1"/>
  <c r="I205" i="1"/>
  <c r="K205" i="1" s="1"/>
  <c r="J199" i="1"/>
  <c r="F180" i="1"/>
  <c r="G175" i="1"/>
  <c r="I175" i="1"/>
  <c r="K175" i="1" s="1"/>
  <c r="J175" i="1"/>
  <c r="F175" i="1"/>
  <c r="G169" i="1"/>
  <c r="I169" i="1"/>
  <c r="K169" i="1" s="1"/>
  <c r="F169" i="1"/>
  <c r="F160" i="1"/>
  <c r="G160" i="1"/>
  <c r="I160" i="1"/>
  <c r="K160" i="1" s="1"/>
  <c r="J160" i="1"/>
  <c r="J148" i="1"/>
  <c r="F148" i="1"/>
  <c r="I148" i="1"/>
  <c r="K148" i="1" s="1"/>
  <c r="F140" i="1"/>
  <c r="G140" i="1"/>
  <c r="I140" i="1"/>
  <c r="K140" i="1" s="1"/>
  <c r="J140" i="1"/>
  <c r="G137" i="1"/>
  <c r="I137" i="1"/>
  <c r="K137" i="1" s="1"/>
  <c r="F137" i="1"/>
  <c r="J137" i="1"/>
  <c r="I197" i="1"/>
  <c r="K197" i="1" s="1"/>
  <c r="I189" i="1"/>
  <c r="K189" i="1" s="1"/>
  <c r="I181" i="1"/>
  <c r="K181" i="1" s="1"/>
  <c r="J172" i="1"/>
  <c r="I165" i="1"/>
  <c r="K165" i="1" s="1"/>
  <c r="J159" i="1"/>
  <c r="G141" i="1"/>
  <c r="G138" i="1"/>
  <c r="I135" i="1"/>
  <c r="K135" i="1" s="1"/>
  <c r="G131" i="1"/>
  <c r="I103" i="1"/>
  <c r="K103" i="1" s="1"/>
  <c r="J95" i="1"/>
  <c r="F95" i="1"/>
  <c r="G95" i="1"/>
  <c r="I95" i="1"/>
  <c r="K95" i="1" s="1"/>
  <c r="I86" i="1"/>
  <c r="K86" i="1" s="1"/>
  <c r="J86" i="1"/>
  <c r="F86" i="1"/>
  <c r="F68" i="1"/>
  <c r="G68" i="1"/>
  <c r="I62" i="1"/>
  <c r="K62" i="1" s="1"/>
  <c r="J62" i="1"/>
  <c r="F62" i="1"/>
  <c r="G38" i="1"/>
  <c r="I38" i="1"/>
  <c r="K38" i="1" s="1"/>
  <c r="J38" i="1"/>
  <c r="F38" i="1"/>
  <c r="G135" i="1"/>
  <c r="F131" i="1"/>
  <c r="F103" i="1"/>
  <c r="F92" i="1"/>
  <c r="G92" i="1"/>
  <c r="G80" i="1"/>
  <c r="I80" i="1"/>
  <c r="K80" i="1" s="1"/>
  <c r="J47" i="1"/>
  <c r="F47" i="1"/>
  <c r="G47" i="1"/>
  <c r="I47" i="1"/>
  <c r="K47" i="1" s="1"/>
  <c r="G42" i="1"/>
  <c r="J42" i="1"/>
  <c r="F27" i="1"/>
  <c r="G27" i="1"/>
  <c r="I27" i="1"/>
  <c r="K27" i="1" s="1"/>
  <c r="J27" i="1"/>
  <c r="F19" i="1"/>
  <c r="G19" i="1"/>
  <c r="I19" i="1"/>
  <c r="K19" i="1" s="1"/>
  <c r="J19" i="1"/>
  <c r="F10" i="1"/>
  <c r="G10" i="1"/>
  <c r="I10" i="1"/>
  <c r="K10" i="1" s="1"/>
  <c r="J10" i="1"/>
  <c r="G159" i="1"/>
  <c r="F152" i="1"/>
  <c r="G152" i="1"/>
  <c r="G145" i="1"/>
  <c r="I145" i="1"/>
  <c r="K145" i="1" s="1"/>
  <c r="I138" i="1"/>
  <c r="K138" i="1" s="1"/>
  <c r="J138" i="1"/>
  <c r="G129" i="1"/>
  <c r="I129" i="1"/>
  <c r="K129" i="1" s="1"/>
  <c r="J129" i="1"/>
  <c r="G111" i="1"/>
  <c r="F111" i="1"/>
  <c r="I111" i="1"/>
  <c r="K111" i="1" s="1"/>
  <c r="J111" i="1"/>
  <c r="J79" i="1"/>
  <c r="F79" i="1"/>
  <c r="G79" i="1"/>
  <c r="I79" i="1"/>
  <c r="K79" i="1" s="1"/>
  <c r="I70" i="1"/>
  <c r="K70" i="1" s="1"/>
  <c r="J70" i="1"/>
  <c r="F70" i="1"/>
  <c r="F44" i="1"/>
  <c r="G44" i="1"/>
  <c r="F18" i="1"/>
  <c r="G18" i="1"/>
  <c r="I18" i="1"/>
  <c r="K18" i="1" s="1"/>
  <c r="J18" i="1"/>
  <c r="F127" i="1"/>
  <c r="G127" i="1"/>
  <c r="F109" i="1"/>
  <c r="J105" i="1"/>
  <c r="G105" i="1"/>
  <c r="I105" i="1"/>
  <c r="K105" i="1" s="1"/>
  <c r="I97" i="1"/>
  <c r="K97" i="1" s="1"/>
  <c r="J97" i="1"/>
  <c r="F97" i="1"/>
  <c r="G97" i="1"/>
  <c r="I94" i="1"/>
  <c r="K94" i="1" s="1"/>
  <c r="J94" i="1"/>
  <c r="F94" i="1"/>
  <c r="F76" i="1"/>
  <c r="G76" i="1"/>
  <c r="J55" i="1"/>
  <c r="F55" i="1"/>
  <c r="G55" i="1"/>
  <c r="I55" i="1"/>
  <c r="K55" i="1" s="1"/>
  <c r="I31" i="1"/>
  <c r="K31" i="1" s="1"/>
  <c r="J31" i="1"/>
  <c r="F31" i="1"/>
  <c r="G31" i="1"/>
  <c r="F136" i="1"/>
  <c r="G136" i="1"/>
  <c r="F119" i="1"/>
  <c r="G119" i="1"/>
  <c r="J102" i="1"/>
  <c r="F102" i="1"/>
  <c r="I102" i="1"/>
  <c r="K102" i="1" s="1"/>
  <c r="F100" i="1"/>
  <c r="G100" i="1"/>
  <c r="G88" i="1"/>
  <c r="I88" i="1"/>
  <c r="K88" i="1" s="1"/>
  <c r="F52" i="1"/>
  <c r="G52" i="1"/>
  <c r="I46" i="1"/>
  <c r="K46" i="1" s="1"/>
  <c r="J46" i="1"/>
  <c r="F46" i="1"/>
  <c r="F35" i="1"/>
  <c r="G35" i="1"/>
  <c r="I35" i="1"/>
  <c r="K35" i="1" s="1"/>
  <c r="J35" i="1"/>
  <c r="F178" i="1"/>
  <c r="G167" i="1"/>
  <c r="F163" i="1"/>
  <c r="I157" i="1"/>
  <c r="K157" i="1" s="1"/>
  <c r="J151" i="1"/>
  <c r="I146" i="1"/>
  <c r="K146" i="1" s="1"/>
  <c r="J146" i="1"/>
  <c r="J112" i="1"/>
  <c r="G108" i="1"/>
  <c r="F108" i="1"/>
  <c r="I108" i="1"/>
  <c r="K108" i="1" s="1"/>
  <c r="J108" i="1"/>
  <c r="J87" i="1"/>
  <c r="F87" i="1"/>
  <c r="G87" i="1"/>
  <c r="I87" i="1"/>
  <c r="K87" i="1" s="1"/>
  <c r="I78" i="1"/>
  <c r="K78" i="1" s="1"/>
  <c r="J78" i="1"/>
  <c r="F78" i="1"/>
  <c r="J63" i="1"/>
  <c r="F63" i="1"/>
  <c r="G63" i="1"/>
  <c r="I63" i="1"/>
  <c r="K63" i="1" s="1"/>
  <c r="G30" i="1"/>
  <c r="I30" i="1"/>
  <c r="K30" i="1" s="1"/>
  <c r="J30" i="1"/>
  <c r="F30" i="1"/>
  <c r="I170" i="1"/>
  <c r="K170" i="1" s="1"/>
  <c r="J170" i="1"/>
  <c r="G157" i="1"/>
  <c r="I151" i="1"/>
  <c r="K151" i="1" s="1"/>
  <c r="J141" i="1"/>
  <c r="I130" i="1"/>
  <c r="K130" i="1" s="1"/>
  <c r="J130" i="1"/>
  <c r="F128" i="1"/>
  <c r="G128" i="1"/>
  <c r="I128" i="1"/>
  <c r="K128" i="1" s="1"/>
  <c r="F114" i="1"/>
  <c r="G114" i="1"/>
  <c r="I114" i="1"/>
  <c r="K114" i="1" s="1"/>
  <c r="G112" i="1"/>
  <c r="I104" i="1"/>
  <c r="K104" i="1" s="1"/>
  <c r="F104" i="1"/>
  <c r="G104" i="1"/>
  <c r="J104" i="1"/>
  <c r="F99" i="1"/>
  <c r="G99" i="1"/>
  <c r="I99" i="1"/>
  <c r="K99" i="1" s="1"/>
  <c r="J99" i="1"/>
  <c r="F84" i="1"/>
  <c r="G84" i="1"/>
  <c r="G72" i="1"/>
  <c r="I72" i="1"/>
  <c r="K72" i="1" s="1"/>
  <c r="J68" i="1"/>
  <c r="F60" i="1"/>
  <c r="G60" i="1"/>
  <c r="I54" i="1"/>
  <c r="K54" i="1" s="1"/>
  <c r="J54" i="1"/>
  <c r="F54" i="1"/>
  <c r="I39" i="1"/>
  <c r="K39" i="1" s="1"/>
  <c r="J39" i="1"/>
  <c r="F39" i="1"/>
  <c r="G39" i="1"/>
  <c r="F34" i="1"/>
  <c r="G34" i="1"/>
  <c r="J34" i="1"/>
  <c r="G151" i="1"/>
  <c r="J135" i="1"/>
  <c r="I131" i="1"/>
  <c r="K131" i="1" s="1"/>
  <c r="F112" i="1"/>
  <c r="J103" i="1"/>
  <c r="G96" i="1"/>
  <c r="I96" i="1"/>
  <c r="K96" i="1" s="1"/>
  <c r="J92" i="1"/>
  <c r="G86" i="1"/>
  <c r="J80" i="1"/>
  <c r="J71" i="1"/>
  <c r="F71" i="1"/>
  <c r="G71" i="1"/>
  <c r="I71" i="1"/>
  <c r="K71" i="1" s="1"/>
  <c r="I68" i="1"/>
  <c r="K68" i="1" s="1"/>
  <c r="G62" i="1"/>
  <c r="I42" i="1"/>
  <c r="K42" i="1" s="1"/>
  <c r="I89" i="1"/>
  <c r="K89" i="1" s="1"/>
  <c r="J89" i="1"/>
  <c r="I81" i="1"/>
  <c r="K81" i="1" s="1"/>
  <c r="J81" i="1"/>
  <c r="I73" i="1"/>
  <c r="K73" i="1" s="1"/>
  <c r="J73" i="1"/>
  <c r="I65" i="1"/>
  <c r="K65" i="1" s="1"/>
  <c r="J65" i="1"/>
  <c r="I57" i="1"/>
  <c r="K57" i="1" s="1"/>
  <c r="J57" i="1"/>
  <c r="I49" i="1"/>
  <c r="K49" i="1" s="1"/>
  <c r="J49" i="1"/>
  <c r="J40" i="1"/>
  <c r="G40" i="1"/>
  <c r="I40" i="1"/>
  <c r="K40" i="1" s="1"/>
  <c r="J32" i="1"/>
  <c r="G32" i="1"/>
  <c r="I32" i="1"/>
  <c r="K32" i="1" s="1"/>
  <c r="F11" i="1"/>
  <c r="G11" i="1"/>
  <c r="I11" i="1"/>
  <c r="K11" i="1" s="1"/>
  <c r="J11" i="1"/>
  <c r="F26" i="1"/>
  <c r="G26" i="1"/>
  <c r="J26" i="1"/>
  <c r="I23" i="1"/>
  <c r="K23" i="1" s="1"/>
  <c r="J23" i="1"/>
  <c r="F23" i="1"/>
  <c r="G23" i="1"/>
  <c r="G6" i="1"/>
  <c r="I6" i="1"/>
  <c r="K6" i="1" s="1"/>
  <c r="J6" i="1"/>
  <c r="F6" i="1"/>
  <c r="G64" i="1"/>
  <c r="I64" i="1"/>
  <c r="K64" i="1" s="1"/>
  <c r="G56" i="1"/>
  <c r="I56" i="1"/>
  <c r="K56" i="1" s="1"/>
  <c r="G48" i="1"/>
  <c r="I48" i="1"/>
  <c r="K48" i="1" s="1"/>
  <c r="F37" i="1"/>
  <c r="G37" i="1"/>
  <c r="I37" i="1"/>
  <c r="K37" i="1" s="1"/>
  <c r="J37" i="1"/>
  <c r="F29" i="1"/>
  <c r="G29" i="1"/>
  <c r="I29" i="1"/>
  <c r="K29" i="1" s="1"/>
  <c r="J29" i="1"/>
  <c r="G14" i="1"/>
  <c r="I14" i="1"/>
  <c r="K14" i="1" s="1"/>
  <c r="J14" i="1"/>
  <c r="F14" i="1"/>
  <c r="F5" i="1"/>
  <c r="G5" i="1"/>
  <c r="I5" i="1"/>
  <c r="K5" i="1" s="1"/>
  <c r="J5" i="1"/>
  <c r="J110" i="1"/>
  <c r="F110" i="1"/>
  <c r="J91" i="1"/>
  <c r="J83" i="1"/>
  <c r="J75" i="1"/>
  <c r="J67" i="1"/>
  <c r="J59" i="1"/>
  <c r="J51" i="1"/>
  <c r="F41" i="1"/>
  <c r="I41" i="1"/>
  <c r="K41" i="1" s="1"/>
  <c r="J41" i="1"/>
  <c r="G22" i="1"/>
  <c r="I22" i="1"/>
  <c r="K22" i="1" s="1"/>
  <c r="J22" i="1"/>
  <c r="F22" i="1"/>
  <c r="F13" i="1"/>
  <c r="G13" i="1"/>
  <c r="I13" i="1"/>
  <c r="K13" i="1" s="1"/>
  <c r="J13" i="1"/>
  <c r="G101" i="1"/>
  <c r="I101" i="1"/>
  <c r="K101" i="1" s="1"/>
  <c r="I91" i="1"/>
  <c r="K91" i="1" s="1"/>
  <c r="G89" i="1"/>
  <c r="I83" i="1"/>
  <c r="K83" i="1" s="1"/>
  <c r="G81" i="1"/>
  <c r="I75" i="1"/>
  <c r="K75" i="1" s="1"/>
  <c r="G73" i="1"/>
  <c r="I67" i="1"/>
  <c r="K67" i="1" s="1"/>
  <c r="G65" i="1"/>
  <c r="I59" i="1"/>
  <c r="K59" i="1" s="1"/>
  <c r="G57" i="1"/>
  <c r="I51" i="1"/>
  <c r="K51" i="1" s="1"/>
  <c r="G49" i="1"/>
  <c r="F21" i="1"/>
  <c r="G21" i="1"/>
  <c r="I21" i="1"/>
  <c r="K21" i="1" s="1"/>
  <c r="J21" i="1"/>
  <c r="G93" i="1"/>
  <c r="I93" i="1"/>
  <c r="K93" i="1" s="1"/>
  <c r="G91" i="1"/>
  <c r="F89" i="1"/>
  <c r="G85" i="1"/>
  <c r="I85" i="1"/>
  <c r="K85" i="1" s="1"/>
  <c r="G83" i="1"/>
  <c r="F81" i="1"/>
  <c r="G77" i="1"/>
  <c r="I77" i="1"/>
  <c r="K77" i="1" s="1"/>
  <c r="G75" i="1"/>
  <c r="F73" i="1"/>
  <c r="G69" i="1"/>
  <c r="I69" i="1"/>
  <c r="K69" i="1" s="1"/>
  <c r="G67" i="1"/>
  <c r="F65" i="1"/>
  <c r="G61" i="1"/>
  <c r="I61" i="1"/>
  <c r="K61" i="1" s="1"/>
  <c r="G59" i="1"/>
  <c r="F57" i="1"/>
  <c r="G53" i="1"/>
  <c r="I53" i="1"/>
  <c r="K53" i="1" s="1"/>
  <c r="G51" i="1"/>
  <c r="F49" i="1"/>
  <c r="G45" i="1"/>
  <c r="I45" i="1"/>
  <c r="K45" i="1" s="1"/>
  <c r="G43" i="1"/>
  <c r="F40" i="1"/>
  <c r="F32" i="1"/>
  <c r="F3" i="1"/>
  <c r="G3" i="1"/>
  <c r="I3" i="1"/>
  <c r="K3" i="1" s="1"/>
  <c r="J3" i="1"/>
  <c r="J33" i="1"/>
  <c r="J25" i="1"/>
  <c r="I24" i="1"/>
  <c r="K24" i="1" s="1"/>
  <c r="J17" i="1"/>
  <c r="I16" i="1"/>
  <c r="K16" i="1" s="1"/>
  <c r="G15" i="1"/>
  <c r="J9" i="1"/>
  <c r="I8" i="1"/>
  <c r="K8" i="1" s="1"/>
  <c r="G7" i="1"/>
  <c r="I33" i="1"/>
  <c r="K33" i="1" s="1"/>
  <c r="G24" i="1"/>
  <c r="G16" i="1"/>
  <c r="F15" i="1"/>
  <c r="G8" i="1"/>
  <c r="F7" i="1"/>
  <c r="J36" i="1"/>
  <c r="J28" i="1"/>
  <c r="J20" i="1"/>
  <c r="J12" i="1"/>
  <c r="J4" i="1"/>
  <c r="I36" i="1"/>
  <c r="K36" i="1" s="1"/>
  <c r="I28" i="1"/>
  <c r="K28" i="1" s="1"/>
  <c r="I20" i="1"/>
  <c r="K20" i="1" s="1"/>
  <c r="I12" i="1"/>
  <c r="K12" i="1" s="1"/>
  <c r="I4" i="1"/>
  <c r="K4" i="1" s="1"/>
  <c r="G36" i="1"/>
  <c r="G28" i="1"/>
  <c r="G20" i="1"/>
  <c r="G12" i="1"/>
  <c r="G4" i="1"/>
  <c r="J15" i="1"/>
  <c r="J7" i="1"/>
  <c r="F15" i="4"/>
  <c r="K15" i="4" s="1"/>
  <c r="G465" i="4"/>
  <c r="G323" i="4"/>
  <c r="F648" i="4"/>
  <c r="K648" i="4" s="1"/>
  <c r="G648" i="4"/>
  <c r="J648" i="4"/>
  <c r="G626" i="4"/>
  <c r="F626" i="4"/>
  <c r="K626" i="4" s="1"/>
  <c r="J626" i="4"/>
  <c r="J607" i="4"/>
  <c r="F607" i="4"/>
  <c r="K607" i="4" s="1"/>
  <c r="G607" i="4"/>
  <c r="J559" i="4"/>
  <c r="F559" i="4"/>
  <c r="K559" i="4" s="1"/>
  <c r="G559" i="4"/>
  <c r="J500" i="4"/>
  <c r="G500" i="4"/>
  <c r="F500" i="4"/>
  <c r="K500" i="4" s="1"/>
  <c r="J606" i="4"/>
  <c r="G606" i="4"/>
  <c r="F606" i="4"/>
  <c r="K606" i="4" s="1"/>
  <c r="J588" i="4"/>
  <c r="G588" i="4"/>
  <c r="F588" i="4"/>
  <c r="K588" i="4" s="1"/>
  <c r="J571" i="4"/>
  <c r="G571" i="4"/>
  <c r="F571" i="4"/>
  <c r="K571" i="4" s="1"/>
  <c r="J612" i="4"/>
  <c r="G612" i="4"/>
  <c r="F612" i="4"/>
  <c r="K612" i="4" s="1"/>
  <c r="J570" i="4"/>
  <c r="G570" i="4"/>
  <c r="F570" i="4"/>
  <c r="K570" i="4" s="1"/>
  <c r="J510" i="4"/>
  <c r="G510" i="4"/>
  <c r="F510" i="4"/>
  <c r="K510" i="4" s="1"/>
  <c r="G622" i="4"/>
  <c r="J622" i="4"/>
  <c r="F622" i="4"/>
  <c r="K622" i="4" s="1"/>
  <c r="J624" i="4"/>
  <c r="F624" i="4"/>
  <c r="K624" i="4" s="1"/>
  <c r="G624" i="4"/>
  <c r="F640" i="4"/>
  <c r="K640" i="4" s="1"/>
  <c r="J640" i="4"/>
  <c r="G640" i="4"/>
  <c r="G491" i="4"/>
  <c r="J491" i="4"/>
  <c r="F491" i="4"/>
  <c r="K491" i="4" s="1"/>
  <c r="F544" i="4"/>
  <c r="K544" i="4" s="1"/>
  <c r="J544" i="4"/>
  <c r="G544" i="4"/>
  <c r="J496" i="4"/>
  <c r="F496" i="4"/>
  <c r="K496" i="4" s="1"/>
  <c r="G496" i="4"/>
  <c r="F616" i="4"/>
  <c r="K616" i="4" s="1"/>
  <c r="G616" i="4"/>
  <c r="J616" i="4"/>
  <c r="F512" i="4"/>
  <c r="K512" i="4" s="1"/>
  <c r="J512" i="4"/>
  <c r="G512" i="4"/>
  <c r="J611" i="4"/>
  <c r="G611" i="4"/>
  <c r="F611" i="4"/>
  <c r="K611" i="4" s="1"/>
  <c r="J594" i="4"/>
  <c r="G594" i="4"/>
  <c r="F594" i="4"/>
  <c r="K594" i="4" s="1"/>
  <c r="J522" i="4"/>
  <c r="G522" i="4"/>
  <c r="F522" i="4"/>
  <c r="K522" i="4" s="1"/>
  <c r="J575" i="4"/>
  <c r="F575" i="4"/>
  <c r="K575" i="4" s="1"/>
  <c r="G575" i="4"/>
  <c r="J634" i="4"/>
  <c r="G634" i="4"/>
  <c r="F634" i="4"/>
  <c r="K634" i="4" s="1"/>
  <c r="J592" i="4"/>
  <c r="F592" i="4"/>
  <c r="K592" i="4" s="1"/>
  <c r="G592" i="4"/>
  <c r="J580" i="4"/>
  <c r="G580" i="4"/>
  <c r="F580" i="4"/>
  <c r="K580" i="4" s="1"/>
  <c r="G555" i="4"/>
  <c r="J555" i="4"/>
  <c r="F555" i="4"/>
  <c r="K555" i="4" s="1"/>
  <c r="J554" i="4"/>
  <c r="G554" i="4"/>
  <c r="F554" i="4"/>
  <c r="K554" i="4" s="1"/>
  <c r="J531" i="4"/>
  <c r="F531" i="4"/>
  <c r="K531" i="4" s="1"/>
  <c r="G531" i="4"/>
  <c r="J643" i="4"/>
  <c r="G643" i="4"/>
  <c r="F643" i="4"/>
  <c r="K643" i="4" s="1"/>
  <c r="J627" i="4"/>
  <c r="G627" i="4"/>
  <c r="F627" i="4"/>
  <c r="K627" i="4" s="1"/>
  <c r="J566" i="4"/>
  <c r="G566" i="4"/>
  <c r="F566" i="4"/>
  <c r="K566" i="4" s="1"/>
  <c r="G536" i="4"/>
  <c r="F536" i="4"/>
  <c r="K536" i="4" s="1"/>
  <c r="J536" i="4"/>
  <c r="J474" i="4"/>
  <c r="G474" i="4"/>
  <c r="F474" i="4"/>
  <c r="K474" i="4" s="1"/>
  <c r="J644" i="4"/>
  <c r="G644" i="4"/>
  <c r="F644" i="4"/>
  <c r="K644" i="4" s="1"/>
  <c r="J625" i="4"/>
  <c r="G625" i="4"/>
  <c r="F625" i="4"/>
  <c r="K625" i="4" s="1"/>
  <c r="J600" i="4"/>
  <c r="G600" i="4"/>
  <c r="F600" i="4"/>
  <c r="K600" i="4" s="1"/>
  <c r="J569" i="4"/>
  <c r="F569" i="4"/>
  <c r="K569" i="4" s="1"/>
  <c r="G569" i="4"/>
  <c r="J563" i="4"/>
  <c r="F563" i="4"/>
  <c r="K563" i="4" s="1"/>
  <c r="G563" i="4"/>
  <c r="G558" i="4"/>
  <c r="J558" i="4"/>
  <c r="F558" i="4"/>
  <c r="K558" i="4" s="1"/>
  <c r="J547" i="4"/>
  <c r="G547" i="4"/>
  <c r="J542" i="4"/>
  <c r="G542" i="4"/>
  <c r="F542" i="4"/>
  <c r="K542" i="4" s="1"/>
  <c r="G526" i="4"/>
  <c r="J526" i="4"/>
  <c r="F526" i="4"/>
  <c r="K526" i="4" s="1"/>
  <c r="J482" i="4"/>
  <c r="G482" i="4"/>
  <c r="F482" i="4"/>
  <c r="K482" i="4" s="1"/>
  <c r="J629" i="4"/>
  <c r="G629" i="4"/>
  <c r="F629" i="4"/>
  <c r="K629" i="4" s="1"/>
  <c r="G619" i="4"/>
  <c r="J619" i="4"/>
  <c r="J604" i="4"/>
  <c r="G604" i="4"/>
  <c r="F604" i="4"/>
  <c r="K604" i="4" s="1"/>
  <c r="G599" i="4"/>
  <c r="F599" i="4"/>
  <c r="K599" i="4" s="1"/>
  <c r="J599" i="4"/>
  <c r="J568" i="4"/>
  <c r="G568" i="4"/>
  <c r="F568" i="4"/>
  <c r="K568" i="4" s="1"/>
  <c r="J552" i="4"/>
  <c r="F552" i="4"/>
  <c r="K552" i="4" s="1"/>
  <c r="G552" i="4"/>
  <c r="J521" i="4"/>
  <c r="F521" i="4"/>
  <c r="K521" i="4" s="1"/>
  <c r="G521" i="4"/>
  <c r="G504" i="4"/>
  <c r="F504" i="4"/>
  <c r="K504" i="4" s="1"/>
  <c r="J504" i="4"/>
  <c r="J499" i="4"/>
  <c r="F499" i="4"/>
  <c r="K499" i="4" s="1"/>
  <c r="G499" i="4"/>
  <c r="J481" i="4"/>
  <c r="G481" i="4"/>
  <c r="F481" i="4"/>
  <c r="K481" i="4" s="1"/>
  <c r="J468" i="4"/>
  <c r="G468" i="4"/>
  <c r="F468" i="4"/>
  <c r="K468" i="4" s="1"/>
  <c r="G462" i="4"/>
  <c r="J462" i="4"/>
  <c r="F462" i="4"/>
  <c r="K462" i="4" s="1"/>
  <c r="J454" i="4"/>
  <c r="F454" i="4"/>
  <c r="K454" i="4" s="1"/>
  <c r="G454" i="4"/>
  <c r="J447" i="4"/>
  <c r="F447" i="4"/>
  <c r="K447" i="4" s="1"/>
  <c r="G447" i="4"/>
  <c r="G439" i="4"/>
  <c r="F439" i="4"/>
  <c r="K439" i="4" s="1"/>
  <c r="J439" i="4"/>
  <c r="J426" i="4"/>
  <c r="G426" i="4"/>
  <c r="F426" i="4"/>
  <c r="K426" i="4" s="1"/>
  <c r="J412" i="4"/>
  <c r="G412" i="4"/>
  <c r="F412" i="4"/>
  <c r="K412" i="4" s="1"/>
  <c r="J398" i="4"/>
  <c r="G398" i="4"/>
  <c r="F398" i="4"/>
  <c r="K398" i="4" s="1"/>
  <c r="G386" i="4"/>
  <c r="J386" i="4"/>
  <c r="F386" i="4"/>
  <c r="K386" i="4" s="1"/>
  <c r="J372" i="4"/>
  <c r="G372" i="4"/>
  <c r="F372" i="4"/>
  <c r="K372" i="4" s="1"/>
  <c r="F279" i="4"/>
  <c r="K279" i="4" s="1"/>
  <c r="J279" i="4"/>
  <c r="G279" i="4"/>
  <c r="G264" i="4"/>
  <c r="J264" i="4"/>
  <c r="F264" i="4"/>
  <c r="K264" i="4" s="1"/>
  <c r="J250" i="4"/>
  <c r="G250" i="4"/>
  <c r="F250" i="4"/>
  <c r="K250" i="4" s="1"/>
  <c r="G237" i="4"/>
  <c r="J237" i="4"/>
  <c r="F237" i="4"/>
  <c r="K237" i="4" s="1"/>
  <c r="J224" i="4"/>
  <c r="F224" i="4"/>
  <c r="K224" i="4" s="1"/>
  <c r="G224" i="4"/>
  <c r="G202" i="4"/>
  <c r="J202" i="4"/>
  <c r="F202" i="4"/>
  <c r="K202" i="4" s="1"/>
  <c r="J167" i="4"/>
  <c r="F167" i="4"/>
  <c r="K167" i="4" s="1"/>
  <c r="G167" i="4"/>
  <c r="J161" i="4"/>
  <c r="G161" i="4"/>
  <c r="J154" i="4"/>
  <c r="G154" i="4"/>
  <c r="F154" i="4"/>
  <c r="K154" i="4" s="1"/>
  <c r="J134" i="4"/>
  <c r="G134" i="4"/>
  <c r="F134" i="4"/>
  <c r="K134" i="4" s="1"/>
  <c r="J84" i="4"/>
  <c r="G84" i="4"/>
  <c r="F84" i="4"/>
  <c r="K84" i="4" s="1"/>
  <c r="G46" i="4"/>
  <c r="F46" i="4"/>
  <c r="K46" i="4" s="1"/>
  <c r="J46" i="4"/>
  <c r="J17" i="4"/>
  <c r="F17" i="4"/>
  <c r="K17" i="4" s="1"/>
  <c r="G17" i="4"/>
  <c r="J2" i="4"/>
  <c r="F2" i="4"/>
  <c r="K2" i="4" s="1"/>
  <c r="G2" i="4"/>
  <c r="J614" i="4"/>
  <c r="F614" i="4"/>
  <c r="K614" i="4" s="1"/>
  <c r="G614" i="4"/>
  <c r="J557" i="4"/>
  <c r="G557" i="4"/>
  <c r="F557" i="4"/>
  <c r="K557" i="4" s="1"/>
  <c r="J525" i="4"/>
  <c r="G525" i="4"/>
  <c r="F525" i="4"/>
  <c r="K525" i="4" s="1"/>
  <c r="F520" i="4"/>
  <c r="K520" i="4" s="1"/>
  <c r="J520" i="4"/>
  <c r="G520" i="4"/>
  <c r="J515" i="4"/>
  <c r="G515" i="4"/>
  <c r="F515" i="4"/>
  <c r="K515" i="4" s="1"/>
  <c r="J498" i="4"/>
  <c r="G498" i="4"/>
  <c r="F498" i="4"/>
  <c r="K498" i="4" s="1"/>
  <c r="J486" i="4"/>
  <c r="F486" i="4"/>
  <c r="K486" i="4" s="1"/>
  <c r="G486" i="4"/>
  <c r="F480" i="4"/>
  <c r="K480" i="4" s="1"/>
  <c r="G480" i="4"/>
  <c r="J480" i="4"/>
  <c r="G418" i="4"/>
  <c r="J418" i="4"/>
  <c r="G411" i="4"/>
  <c r="J411" i="4"/>
  <c r="F411" i="4"/>
  <c r="K411" i="4" s="1"/>
  <c r="J378" i="4"/>
  <c r="G378" i="4"/>
  <c r="F378" i="4"/>
  <c r="K378" i="4" s="1"/>
  <c r="G371" i="4"/>
  <c r="F371" i="4"/>
  <c r="K371" i="4" s="1"/>
  <c r="J371" i="4"/>
  <c r="J364" i="4"/>
  <c r="G364" i="4"/>
  <c r="F364" i="4"/>
  <c r="K364" i="4" s="1"/>
  <c r="J356" i="4"/>
  <c r="G356" i="4"/>
  <c r="F356" i="4"/>
  <c r="K356" i="4" s="1"/>
  <c r="J349" i="4"/>
  <c r="G349" i="4"/>
  <c r="F349" i="4"/>
  <c r="K349" i="4" s="1"/>
  <c r="G328" i="4"/>
  <c r="F328" i="4"/>
  <c r="K328" i="4" s="1"/>
  <c r="J328" i="4"/>
  <c r="G293" i="4"/>
  <c r="J293" i="4"/>
  <c r="F293" i="4"/>
  <c r="K293" i="4" s="1"/>
  <c r="G285" i="4"/>
  <c r="J285" i="4"/>
  <c r="F285" i="4"/>
  <c r="K285" i="4" s="1"/>
  <c r="G242" i="4"/>
  <c r="F242" i="4"/>
  <c r="K242" i="4" s="1"/>
  <c r="J242" i="4"/>
  <c r="J216" i="4"/>
  <c r="G216" i="4"/>
  <c r="F216" i="4"/>
  <c r="K216" i="4" s="1"/>
  <c r="J209" i="4"/>
  <c r="F209" i="4"/>
  <c r="K209" i="4" s="1"/>
  <c r="G209" i="4"/>
  <c r="J194" i="4"/>
  <c r="G194" i="4"/>
  <c r="F194" i="4"/>
  <c r="K194" i="4" s="1"/>
  <c r="G174" i="4"/>
  <c r="J174" i="4"/>
  <c r="F174" i="4"/>
  <c r="K174" i="4" s="1"/>
  <c r="J146" i="4"/>
  <c r="G146" i="4"/>
  <c r="F146" i="4"/>
  <c r="K146" i="4" s="1"/>
  <c r="J90" i="4"/>
  <c r="G90" i="4"/>
  <c r="F90" i="4"/>
  <c r="K90" i="4" s="1"/>
  <c r="J58" i="4"/>
  <c r="F58" i="4"/>
  <c r="K58" i="4" s="1"/>
  <c r="G58" i="4"/>
  <c r="J50" i="4"/>
  <c r="G50" i="4"/>
  <c r="F50" i="4"/>
  <c r="K50" i="4" s="1"/>
  <c r="G641" i="4"/>
  <c r="J641" i="4"/>
  <c r="F641" i="4"/>
  <c r="K641" i="4" s="1"/>
  <c r="J636" i="4"/>
  <c r="G636" i="4"/>
  <c r="F636" i="4"/>
  <c r="K636" i="4" s="1"/>
  <c r="G631" i="4"/>
  <c r="F631" i="4"/>
  <c r="K631" i="4" s="1"/>
  <c r="J631" i="4"/>
  <c r="J628" i="4"/>
  <c r="G628" i="4"/>
  <c r="F628" i="4"/>
  <c r="K628" i="4" s="1"/>
  <c r="G609" i="4"/>
  <c r="J609" i="4"/>
  <c r="F609" i="4"/>
  <c r="K609" i="4" s="1"/>
  <c r="G598" i="4"/>
  <c r="J598" i="4"/>
  <c r="F598" i="4"/>
  <c r="K598" i="4" s="1"/>
  <c r="F583" i="4"/>
  <c r="K583" i="4" s="1"/>
  <c r="J583" i="4"/>
  <c r="G583" i="4"/>
  <c r="G578" i="4"/>
  <c r="J578" i="4"/>
  <c r="F578" i="4"/>
  <c r="K578" i="4" s="1"/>
  <c r="J551" i="4"/>
  <c r="F551" i="4"/>
  <c r="K551" i="4" s="1"/>
  <c r="G551" i="4"/>
  <c r="G546" i="4"/>
  <c r="J546" i="4"/>
  <c r="F546" i="4"/>
  <c r="K546" i="4" s="1"/>
  <c r="J623" i="4"/>
  <c r="F623" i="4"/>
  <c r="K623" i="4" s="1"/>
  <c r="G623" i="4"/>
  <c r="J618" i="4"/>
  <c r="G618" i="4"/>
  <c r="F618" i="4"/>
  <c r="K618" i="4" s="1"/>
  <c r="F608" i="4"/>
  <c r="K608" i="4" s="1"/>
  <c r="J608" i="4"/>
  <c r="G608" i="4"/>
  <c r="J603" i="4"/>
  <c r="G603" i="4"/>
  <c r="G593" i="4"/>
  <c r="J593" i="4"/>
  <c r="F593" i="4"/>
  <c r="K593" i="4" s="1"/>
  <c r="G587" i="4"/>
  <c r="J587" i="4"/>
  <c r="F587" i="4"/>
  <c r="K587" i="4" s="1"/>
  <c r="J572" i="4"/>
  <c r="G572" i="4"/>
  <c r="F572" i="4"/>
  <c r="K572" i="4" s="1"/>
  <c r="J556" i="4"/>
  <c r="G556" i="4"/>
  <c r="F556" i="4"/>
  <c r="K556" i="4" s="1"/>
  <c r="J550" i="4"/>
  <c r="F550" i="4"/>
  <c r="K550" i="4" s="1"/>
  <c r="G550" i="4"/>
  <c r="J540" i="4"/>
  <c r="G540" i="4"/>
  <c r="F540" i="4"/>
  <c r="K540" i="4" s="1"/>
  <c r="G535" i="4"/>
  <c r="F535" i="4"/>
  <c r="K535" i="4" s="1"/>
  <c r="J535" i="4"/>
  <c r="G530" i="4"/>
  <c r="F530" i="4"/>
  <c r="K530" i="4" s="1"/>
  <c r="J530" i="4"/>
  <c r="J524" i="4"/>
  <c r="G524" i="4"/>
  <c r="F524" i="4"/>
  <c r="K524" i="4" s="1"/>
  <c r="F519" i="4"/>
  <c r="K519" i="4" s="1"/>
  <c r="J519" i="4"/>
  <c r="G519" i="4"/>
  <c r="J492" i="4"/>
  <c r="G492" i="4"/>
  <c r="F492" i="4"/>
  <c r="K492" i="4" s="1"/>
  <c r="J485" i="4"/>
  <c r="G485" i="4"/>
  <c r="J467" i="4"/>
  <c r="F467" i="4"/>
  <c r="K467" i="4" s="1"/>
  <c r="G467" i="4"/>
  <c r="J460" i="4"/>
  <c r="G460" i="4"/>
  <c r="F460" i="4"/>
  <c r="K460" i="4" s="1"/>
  <c r="J452" i="4"/>
  <c r="G452" i="4"/>
  <c r="F452" i="4"/>
  <c r="K452" i="4" s="1"/>
  <c r="J445" i="4"/>
  <c r="G445" i="4"/>
  <c r="F445" i="4"/>
  <c r="K445" i="4" s="1"/>
  <c r="J431" i="4"/>
  <c r="F431" i="4"/>
  <c r="K431" i="4" s="1"/>
  <c r="G431" i="4"/>
  <c r="J410" i="4"/>
  <c r="G410" i="4"/>
  <c r="F410" i="4"/>
  <c r="K410" i="4" s="1"/>
  <c r="J404" i="4"/>
  <c r="G404" i="4"/>
  <c r="F404" i="4"/>
  <c r="K404" i="4" s="1"/>
  <c r="F384" i="4"/>
  <c r="K384" i="4" s="1"/>
  <c r="J384" i="4"/>
  <c r="G384" i="4"/>
  <c r="J363" i="4"/>
  <c r="G363" i="4"/>
  <c r="F363" i="4"/>
  <c r="K363" i="4" s="1"/>
  <c r="J355" i="4"/>
  <c r="G355" i="4"/>
  <c r="F355" i="4"/>
  <c r="K355" i="4" s="1"/>
  <c r="J327" i="4"/>
  <c r="G327" i="4"/>
  <c r="F327" i="4"/>
  <c r="K327" i="4" s="1"/>
  <c r="G306" i="4"/>
  <c r="J306" i="4"/>
  <c r="F306" i="4"/>
  <c r="K306" i="4" s="1"/>
  <c r="J292" i="4"/>
  <c r="G292" i="4"/>
  <c r="F292" i="4"/>
  <c r="K292" i="4" s="1"/>
  <c r="G262" i="4"/>
  <c r="J262" i="4"/>
  <c r="F262" i="4"/>
  <c r="K262" i="4" s="1"/>
  <c r="J248" i="4"/>
  <c r="F248" i="4"/>
  <c r="K248" i="4" s="1"/>
  <c r="G248" i="4"/>
  <c r="J208" i="4"/>
  <c r="F208" i="4"/>
  <c r="K208" i="4" s="1"/>
  <c r="G208" i="4"/>
  <c r="J200" i="4"/>
  <c r="G200" i="4"/>
  <c r="F200" i="4"/>
  <c r="K200" i="4" s="1"/>
  <c r="J180" i="4"/>
  <c r="G180" i="4"/>
  <c r="F180" i="4"/>
  <c r="K180" i="4" s="1"/>
  <c r="G173" i="4"/>
  <c r="J173" i="4"/>
  <c r="F173" i="4"/>
  <c r="K173" i="4" s="1"/>
  <c r="J160" i="4"/>
  <c r="G160" i="4"/>
  <c r="F160" i="4"/>
  <c r="K160" i="4" s="1"/>
  <c r="J145" i="4"/>
  <c r="G145" i="4"/>
  <c r="F145" i="4"/>
  <c r="K145" i="4" s="1"/>
  <c r="J139" i="4"/>
  <c r="G139" i="4"/>
  <c r="J96" i="4"/>
  <c r="F96" i="4"/>
  <c r="K96" i="4" s="1"/>
  <c r="G96" i="4"/>
  <c r="J82" i="4"/>
  <c r="G82" i="4"/>
  <c r="F82" i="4"/>
  <c r="K82" i="4" s="1"/>
  <c r="J57" i="4"/>
  <c r="G57" i="4"/>
  <c r="F57" i="4"/>
  <c r="K57" i="4" s="1"/>
  <c r="G29" i="4"/>
  <c r="J29" i="4"/>
  <c r="F29" i="4"/>
  <c r="K29" i="4" s="1"/>
  <c r="F619" i="4"/>
  <c r="K619" i="4" s="1"/>
  <c r="J639" i="4"/>
  <c r="F639" i="4"/>
  <c r="K639" i="4" s="1"/>
  <c r="G639" i="4"/>
  <c r="J638" i="4"/>
  <c r="G638" i="4"/>
  <c r="F638" i="4"/>
  <c r="K638" i="4" s="1"/>
  <c r="J573" i="4"/>
  <c r="G573" i="4"/>
  <c r="F573" i="4"/>
  <c r="K573" i="4" s="1"/>
  <c r="J567" i="4"/>
  <c r="G567" i="4"/>
  <c r="F567" i="4"/>
  <c r="K567" i="4" s="1"/>
  <c r="G562" i="4"/>
  <c r="F562" i="4"/>
  <c r="K562" i="4" s="1"/>
  <c r="J562" i="4"/>
  <c r="J541" i="4"/>
  <c r="G541" i="4"/>
  <c r="F541" i="4"/>
  <c r="K541" i="4" s="1"/>
  <c r="F647" i="4"/>
  <c r="K647" i="4" s="1"/>
  <c r="J647" i="4"/>
  <c r="G647" i="4"/>
  <c r="G642" i="4"/>
  <c r="J642" i="4"/>
  <c r="F642" i="4"/>
  <c r="K642" i="4" s="1"/>
  <c r="J633" i="4"/>
  <c r="G633" i="4"/>
  <c r="J613" i="4"/>
  <c r="G613" i="4"/>
  <c r="F613" i="4"/>
  <c r="K613" i="4" s="1"/>
  <c r="G632" i="4"/>
  <c r="F632" i="4"/>
  <c r="K632" i="4" s="1"/>
  <c r="J632" i="4"/>
  <c r="J597" i="4"/>
  <c r="G597" i="4"/>
  <c r="F597" i="4"/>
  <c r="K597" i="4" s="1"/>
  <c r="J582" i="4"/>
  <c r="F582" i="4"/>
  <c r="K582" i="4" s="1"/>
  <c r="G582" i="4"/>
  <c r="G577" i="4"/>
  <c r="J577" i="4"/>
  <c r="J561" i="4"/>
  <c r="G561" i="4"/>
  <c r="G545" i="4"/>
  <c r="J545" i="4"/>
  <c r="F545" i="4"/>
  <c r="K545" i="4" s="1"/>
  <c r="J514" i="4"/>
  <c r="G514" i="4"/>
  <c r="F514" i="4"/>
  <c r="K514" i="4" s="1"/>
  <c r="J484" i="4"/>
  <c r="G484" i="4"/>
  <c r="F484" i="4"/>
  <c r="K484" i="4" s="1"/>
  <c r="G472" i="4"/>
  <c r="F472" i="4"/>
  <c r="K472" i="4" s="1"/>
  <c r="J472" i="4"/>
  <c r="J466" i="4"/>
  <c r="G466" i="4"/>
  <c r="F466" i="4"/>
  <c r="K466" i="4" s="1"/>
  <c r="G459" i="4"/>
  <c r="J459" i="4"/>
  <c r="F459" i="4"/>
  <c r="K459" i="4" s="1"/>
  <c r="J436" i="4"/>
  <c r="G436" i="4"/>
  <c r="F423" i="4"/>
  <c r="K423" i="4" s="1"/>
  <c r="J423" i="4"/>
  <c r="G423" i="4"/>
  <c r="J409" i="4"/>
  <c r="G409" i="4"/>
  <c r="F409" i="4"/>
  <c r="K409" i="4" s="1"/>
  <c r="J376" i="4"/>
  <c r="G376" i="4"/>
  <c r="F376" i="4"/>
  <c r="K376" i="4" s="1"/>
  <c r="J347" i="4"/>
  <c r="G347" i="4"/>
  <c r="F347" i="4"/>
  <c r="K347" i="4" s="1"/>
  <c r="J340" i="4"/>
  <c r="G340" i="4"/>
  <c r="F340" i="4"/>
  <c r="K340" i="4" s="1"/>
  <c r="G333" i="4"/>
  <c r="J333" i="4"/>
  <c r="F333" i="4"/>
  <c r="K333" i="4" s="1"/>
  <c r="J305" i="4"/>
  <c r="G305" i="4"/>
  <c r="F305" i="4"/>
  <c r="K305" i="4" s="1"/>
  <c r="G269" i="4"/>
  <c r="J269" i="4"/>
  <c r="F269" i="4"/>
  <c r="K269" i="4" s="1"/>
  <c r="G261" i="4"/>
  <c r="J261" i="4"/>
  <c r="F261" i="4"/>
  <c r="K261" i="4" s="1"/>
  <c r="G254" i="4"/>
  <c r="J254" i="4"/>
  <c r="F254" i="4"/>
  <c r="K254" i="4" s="1"/>
  <c r="G229" i="4"/>
  <c r="J229" i="4"/>
  <c r="F229" i="4"/>
  <c r="K229" i="4" s="1"/>
  <c r="G221" i="4"/>
  <c r="J221" i="4"/>
  <c r="F221" i="4"/>
  <c r="K221" i="4" s="1"/>
  <c r="G214" i="4"/>
  <c r="J214" i="4"/>
  <c r="F214" i="4"/>
  <c r="K214" i="4" s="1"/>
  <c r="J193" i="4"/>
  <c r="G193" i="4"/>
  <c r="F193" i="4"/>
  <c r="K193" i="4" s="1"/>
  <c r="J186" i="4"/>
  <c r="G186" i="4"/>
  <c r="F186" i="4"/>
  <c r="K186" i="4" s="1"/>
  <c r="J102" i="4"/>
  <c r="G102" i="4"/>
  <c r="F102" i="4"/>
  <c r="K102" i="4" s="1"/>
  <c r="G95" i="4"/>
  <c r="F95" i="4"/>
  <c r="K95" i="4" s="1"/>
  <c r="J95" i="4"/>
  <c r="J69" i="4"/>
  <c r="G69" i="4"/>
  <c r="F69" i="4"/>
  <c r="K69" i="4" s="1"/>
  <c r="J28" i="4"/>
  <c r="G28" i="4"/>
  <c r="F28" i="4"/>
  <c r="K28" i="4" s="1"/>
  <c r="G21" i="4"/>
  <c r="F21" i="4"/>
  <c r="K21" i="4" s="1"/>
  <c r="J21" i="4"/>
  <c r="F603" i="4"/>
  <c r="K603" i="4" s="1"/>
  <c r="F485" i="4"/>
  <c r="K485" i="4" s="1"/>
  <c r="J646" i="4"/>
  <c r="F646" i="4"/>
  <c r="K646" i="4" s="1"/>
  <c r="G646" i="4"/>
  <c r="J602" i="4"/>
  <c r="F602" i="4"/>
  <c r="K602" i="4" s="1"/>
  <c r="G602" i="4"/>
  <c r="J596" i="4"/>
  <c r="G596" i="4"/>
  <c r="F596" i="4"/>
  <c r="K596" i="4" s="1"/>
  <c r="J586" i="4"/>
  <c r="G586" i="4"/>
  <c r="F586" i="4"/>
  <c r="K586" i="4" s="1"/>
  <c r="F576" i="4"/>
  <c r="K576" i="4" s="1"/>
  <c r="G576" i="4"/>
  <c r="J576" i="4"/>
  <c r="J560" i="4"/>
  <c r="F560" i="4"/>
  <c r="K560" i="4" s="1"/>
  <c r="G560" i="4"/>
  <c r="J549" i="4"/>
  <c r="G549" i="4"/>
  <c r="F549" i="4"/>
  <c r="K549" i="4" s="1"/>
  <c r="J539" i="4"/>
  <c r="G539" i="4"/>
  <c r="F539" i="4"/>
  <c r="K539" i="4" s="1"/>
  <c r="J534" i="4"/>
  <c r="G534" i="4"/>
  <c r="F534" i="4"/>
  <c r="K534" i="4" s="1"/>
  <c r="G529" i="4"/>
  <c r="J529" i="4"/>
  <c r="F529" i="4"/>
  <c r="K529" i="4" s="1"/>
  <c r="G523" i="4"/>
  <c r="J523" i="4"/>
  <c r="F523" i="4"/>
  <c r="K523" i="4" s="1"/>
  <c r="J518" i="4"/>
  <c r="F518" i="4"/>
  <c r="K518" i="4" s="1"/>
  <c r="G518" i="4"/>
  <c r="J507" i="4"/>
  <c r="G507" i="4"/>
  <c r="F507" i="4"/>
  <c r="K507" i="4" s="1"/>
  <c r="J502" i="4"/>
  <c r="G502" i="4"/>
  <c r="G478" i="4"/>
  <c r="J478" i="4"/>
  <c r="F478" i="4"/>
  <c r="K478" i="4" s="1"/>
  <c r="J458" i="4"/>
  <c r="G458" i="4"/>
  <c r="F458" i="4"/>
  <c r="K458" i="4" s="1"/>
  <c r="J451" i="4"/>
  <c r="G451" i="4"/>
  <c r="J443" i="4"/>
  <c r="G443" i="4"/>
  <c r="F443" i="4"/>
  <c r="K443" i="4" s="1"/>
  <c r="J422" i="4"/>
  <c r="G422" i="4"/>
  <c r="F422" i="4"/>
  <c r="K422" i="4" s="1"/>
  <c r="J416" i="4"/>
  <c r="F416" i="4"/>
  <c r="K416" i="4" s="1"/>
  <c r="G416" i="4"/>
  <c r="J402" i="4"/>
  <c r="G402" i="4"/>
  <c r="F402" i="4"/>
  <c r="K402" i="4" s="1"/>
  <c r="J382" i="4"/>
  <c r="G382" i="4"/>
  <c r="F382" i="4"/>
  <c r="K382" i="4" s="1"/>
  <c r="J346" i="4"/>
  <c r="F346" i="4"/>
  <c r="K346" i="4" s="1"/>
  <c r="G346" i="4"/>
  <c r="G325" i="4"/>
  <c r="J325" i="4"/>
  <c r="F325" i="4"/>
  <c r="K325" i="4" s="1"/>
  <c r="F304" i="4"/>
  <c r="K304" i="4" s="1"/>
  <c r="J304" i="4"/>
  <c r="G304" i="4"/>
  <c r="G297" i="4"/>
  <c r="J297" i="4"/>
  <c r="F297" i="4"/>
  <c r="K297" i="4" s="1"/>
  <c r="G290" i="4"/>
  <c r="J290" i="4"/>
  <c r="F290" i="4"/>
  <c r="K290" i="4" s="1"/>
  <c r="J234" i="4"/>
  <c r="F234" i="4"/>
  <c r="K234" i="4" s="1"/>
  <c r="G234" i="4"/>
  <c r="G206" i="4"/>
  <c r="J206" i="4"/>
  <c r="F206" i="4"/>
  <c r="K206" i="4" s="1"/>
  <c r="J185" i="4"/>
  <c r="G185" i="4"/>
  <c r="F185" i="4"/>
  <c r="K185" i="4" s="1"/>
  <c r="J178" i="4"/>
  <c r="G178" i="4"/>
  <c r="F178" i="4"/>
  <c r="K178" i="4" s="1"/>
  <c r="J137" i="4"/>
  <c r="G137" i="4"/>
  <c r="F137" i="4"/>
  <c r="K137" i="4" s="1"/>
  <c r="J113" i="4"/>
  <c r="G113" i="4"/>
  <c r="F113" i="4"/>
  <c r="K113" i="4" s="1"/>
  <c r="J101" i="4"/>
  <c r="G101" i="4"/>
  <c r="F101" i="4"/>
  <c r="K101" i="4" s="1"/>
  <c r="J617" i="4"/>
  <c r="F617" i="4"/>
  <c r="K617" i="4" s="1"/>
  <c r="G617" i="4"/>
  <c r="J645" i="4"/>
  <c r="G645" i="4"/>
  <c r="J621" i="4"/>
  <c r="G621" i="4"/>
  <c r="F621" i="4"/>
  <c r="K621" i="4" s="1"/>
  <c r="J591" i="4"/>
  <c r="F591" i="4"/>
  <c r="K591" i="4" s="1"/>
  <c r="G591" i="4"/>
  <c r="J565" i="4"/>
  <c r="G565" i="4"/>
  <c r="F565" i="4"/>
  <c r="K565" i="4" s="1"/>
  <c r="J548" i="4"/>
  <c r="G548" i="4"/>
  <c r="F548" i="4"/>
  <c r="K548" i="4" s="1"/>
  <c r="J528" i="4"/>
  <c r="F528" i="4"/>
  <c r="K528" i="4" s="1"/>
  <c r="G528" i="4"/>
  <c r="J506" i="4"/>
  <c r="G506" i="4"/>
  <c r="F506" i="4"/>
  <c r="K506" i="4" s="1"/>
  <c r="J501" i="4"/>
  <c r="G501" i="4"/>
  <c r="F501" i="4"/>
  <c r="K501" i="4" s="1"/>
  <c r="J495" i="4"/>
  <c r="F495" i="4"/>
  <c r="K495" i="4" s="1"/>
  <c r="G495" i="4"/>
  <c r="J490" i="4"/>
  <c r="G490" i="4"/>
  <c r="F490" i="4"/>
  <c r="K490" i="4" s="1"/>
  <c r="J483" i="4"/>
  <c r="F483" i="4"/>
  <c r="K483" i="4" s="1"/>
  <c r="G483" i="4"/>
  <c r="G471" i="4"/>
  <c r="F471" i="4"/>
  <c r="K471" i="4" s="1"/>
  <c r="J471" i="4"/>
  <c r="G450" i="4"/>
  <c r="J450" i="4"/>
  <c r="F450" i="4"/>
  <c r="K450" i="4" s="1"/>
  <c r="J442" i="4"/>
  <c r="G442" i="4"/>
  <c r="F442" i="4"/>
  <c r="K442" i="4" s="1"/>
  <c r="J429" i="4"/>
  <c r="G429" i="4"/>
  <c r="F429" i="4"/>
  <c r="K429" i="4" s="1"/>
  <c r="J415" i="4"/>
  <c r="F415" i="4"/>
  <c r="K415" i="4" s="1"/>
  <c r="G415" i="4"/>
  <c r="J395" i="4"/>
  <c r="G395" i="4"/>
  <c r="F395" i="4"/>
  <c r="K395" i="4" s="1"/>
  <c r="J388" i="4"/>
  <c r="G388" i="4"/>
  <c r="F388" i="4"/>
  <c r="K388" i="4" s="1"/>
  <c r="G375" i="4"/>
  <c r="F375" i="4"/>
  <c r="K375" i="4" s="1"/>
  <c r="J375" i="4"/>
  <c r="J360" i="4"/>
  <c r="F360" i="4"/>
  <c r="K360" i="4" s="1"/>
  <c r="G360" i="4"/>
  <c r="G338" i="4"/>
  <c r="J338" i="4"/>
  <c r="F338" i="4"/>
  <c r="K338" i="4" s="1"/>
  <c r="J324" i="4"/>
  <c r="G324" i="4"/>
  <c r="F324" i="4"/>
  <c r="K324" i="4" s="1"/>
  <c r="G317" i="4"/>
  <c r="J317" i="4"/>
  <c r="F317" i="4"/>
  <c r="K317" i="4" s="1"/>
  <c r="J282" i="4"/>
  <c r="F282" i="4"/>
  <c r="K282" i="4" s="1"/>
  <c r="G282" i="4"/>
  <c r="J233" i="4"/>
  <c r="G233" i="4"/>
  <c r="F233" i="4"/>
  <c r="K233" i="4" s="1"/>
  <c r="J227" i="4"/>
  <c r="G227" i="4"/>
  <c r="F227" i="4"/>
  <c r="K227" i="4" s="1"/>
  <c r="J212" i="4"/>
  <c r="G212" i="4"/>
  <c r="F212" i="4"/>
  <c r="K212" i="4" s="1"/>
  <c r="J184" i="4"/>
  <c r="F184" i="4"/>
  <c r="K184" i="4" s="1"/>
  <c r="G184" i="4"/>
  <c r="G150" i="4"/>
  <c r="J150" i="4"/>
  <c r="F150" i="4"/>
  <c r="K150" i="4" s="1"/>
  <c r="G130" i="4"/>
  <c r="J130" i="4"/>
  <c r="F130" i="4"/>
  <c r="K130" i="4" s="1"/>
  <c r="J124" i="4"/>
  <c r="G124" i="4"/>
  <c r="F124" i="4"/>
  <c r="K124" i="4" s="1"/>
  <c r="J112" i="4"/>
  <c r="F112" i="4"/>
  <c r="K112" i="4" s="1"/>
  <c r="G112" i="4"/>
  <c r="J106" i="4"/>
  <c r="G106" i="4"/>
  <c r="F106" i="4"/>
  <c r="K106" i="4" s="1"/>
  <c r="G93" i="4"/>
  <c r="J93" i="4"/>
  <c r="F93" i="4"/>
  <c r="K93" i="4" s="1"/>
  <c r="J73" i="4"/>
  <c r="G73" i="4"/>
  <c r="F73" i="4"/>
  <c r="K73" i="4" s="1"/>
  <c r="J67" i="4"/>
  <c r="G67" i="4"/>
  <c r="F67" i="4"/>
  <c r="K67" i="4" s="1"/>
  <c r="G61" i="4"/>
  <c r="J61" i="4"/>
  <c r="F61" i="4"/>
  <c r="K61" i="4" s="1"/>
  <c r="J41" i="4"/>
  <c r="G41" i="4"/>
  <c r="F41" i="4"/>
  <c r="K41" i="4" s="1"/>
  <c r="J34" i="4"/>
  <c r="G34" i="4"/>
  <c r="F34" i="4"/>
  <c r="K34" i="4" s="1"/>
  <c r="F577" i="4"/>
  <c r="K577" i="4" s="1"/>
  <c r="F451" i="4"/>
  <c r="K451" i="4" s="1"/>
  <c r="F161" i="4"/>
  <c r="K161" i="4" s="1"/>
  <c r="J620" i="4"/>
  <c r="G620" i="4"/>
  <c r="F620" i="4"/>
  <c r="K620" i="4" s="1"/>
  <c r="G590" i="4"/>
  <c r="J590" i="4"/>
  <c r="F590" i="4"/>
  <c r="K590" i="4" s="1"/>
  <c r="J585" i="4"/>
  <c r="F585" i="4"/>
  <c r="K585" i="4" s="1"/>
  <c r="J564" i="4"/>
  <c r="G564" i="4"/>
  <c r="F564" i="4"/>
  <c r="K564" i="4" s="1"/>
  <c r="J538" i="4"/>
  <c r="G538" i="4"/>
  <c r="F538" i="4"/>
  <c r="K538" i="4" s="1"/>
  <c r="J532" i="4"/>
  <c r="G532" i="4"/>
  <c r="F532" i="4"/>
  <c r="K532" i="4" s="1"/>
  <c r="J527" i="4"/>
  <c r="F527" i="4"/>
  <c r="K527" i="4" s="1"/>
  <c r="G527" i="4"/>
  <c r="J517" i="4"/>
  <c r="G517" i="4"/>
  <c r="J489" i="4"/>
  <c r="G489" i="4"/>
  <c r="F489" i="4"/>
  <c r="K489" i="4" s="1"/>
  <c r="J470" i="4"/>
  <c r="G470" i="4"/>
  <c r="F470" i="4"/>
  <c r="K470" i="4" s="1"/>
  <c r="J463" i="4"/>
  <c r="F463" i="4"/>
  <c r="K463" i="4" s="1"/>
  <c r="G463" i="4"/>
  <c r="F456" i="4"/>
  <c r="K456" i="4" s="1"/>
  <c r="J456" i="4"/>
  <c r="G456" i="4"/>
  <c r="J441" i="4"/>
  <c r="G441" i="4"/>
  <c r="F441" i="4"/>
  <c r="K441" i="4" s="1"/>
  <c r="J434" i="4"/>
  <c r="G434" i="4"/>
  <c r="F434" i="4"/>
  <c r="K434" i="4" s="1"/>
  <c r="J428" i="4"/>
  <c r="G428" i="4"/>
  <c r="F428" i="4"/>
  <c r="K428" i="4" s="1"/>
  <c r="J420" i="4"/>
  <c r="G420" i="4"/>
  <c r="F420" i="4"/>
  <c r="K420" i="4" s="1"/>
  <c r="G407" i="4"/>
  <c r="F407" i="4"/>
  <c r="K407" i="4" s="1"/>
  <c r="J407" i="4"/>
  <c r="J387" i="4"/>
  <c r="G387" i="4"/>
  <c r="F387" i="4"/>
  <c r="K387" i="4" s="1"/>
  <c r="F367" i="4"/>
  <c r="K367" i="4" s="1"/>
  <c r="J367" i="4"/>
  <c r="G367" i="4"/>
  <c r="J352" i="4"/>
  <c r="F352" i="4"/>
  <c r="K352" i="4" s="1"/>
  <c r="G352" i="4"/>
  <c r="J344" i="4"/>
  <c r="G344" i="4"/>
  <c r="F344" i="4"/>
  <c r="K344" i="4" s="1"/>
  <c r="J316" i="4"/>
  <c r="G316" i="4"/>
  <c r="F316" i="4"/>
  <c r="K316" i="4" s="1"/>
  <c r="G310" i="4"/>
  <c r="J310" i="4"/>
  <c r="F310" i="4"/>
  <c r="K310" i="4" s="1"/>
  <c r="J273" i="4"/>
  <c r="G273" i="4"/>
  <c r="F273" i="4"/>
  <c r="K273" i="4" s="1"/>
  <c r="J266" i="4"/>
  <c r="G266" i="4"/>
  <c r="J232" i="4"/>
  <c r="G232" i="4"/>
  <c r="F232" i="4"/>
  <c r="K232" i="4" s="1"/>
  <c r="J177" i="4"/>
  <c r="G177" i="4"/>
  <c r="F177" i="4"/>
  <c r="K177" i="4" s="1"/>
  <c r="J169" i="4"/>
  <c r="G169" i="4"/>
  <c r="F169" i="4"/>
  <c r="K169" i="4" s="1"/>
  <c r="J156" i="4"/>
  <c r="G156" i="4"/>
  <c r="F156" i="4"/>
  <c r="K156" i="4" s="1"/>
  <c r="J123" i="4"/>
  <c r="G123" i="4"/>
  <c r="F123" i="4"/>
  <c r="K123" i="4" s="1"/>
  <c r="G117" i="4"/>
  <c r="J117" i="4"/>
  <c r="J72" i="4"/>
  <c r="G72" i="4"/>
  <c r="F72" i="4"/>
  <c r="K72" i="4" s="1"/>
  <c r="J40" i="4"/>
  <c r="G40" i="4"/>
  <c r="F40" i="4"/>
  <c r="K40" i="4" s="1"/>
  <c r="J33" i="4"/>
  <c r="G33" i="4"/>
  <c r="F33" i="4"/>
  <c r="K33" i="4" s="1"/>
  <c r="J4" i="4"/>
  <c r="G4" i="4"/>
  <c r="F4" i="4"/>
  <c r="K4" i="4" s="1"/>
  <c r="F561" i="4"/>
  <c r="K561" i="4" s="1"/>
  <c r="F436" i="4"/>
  <c r="K436" i="4" s="1"/>
  <c r="F139" i="4"/>
  <c r="K139" i="4" s="1"/>
  <c r="J635" i="4"/>
  <c r="G635" i="4"/>
  <c r="F635" i="4"/>
  <c r="K635" i="4" s="1"/>
  <c r="J630" i="4"/>
  <c r="G630" i="4"/>
  <c r="F630" i="4"/>
  <c r="K630" i="4" s="1"/>
  <c r="J601" i="4"/>
  <c r="F601" i="4"/>
  <c r="K601" i="4" s="1"/>
  <c r="G601" i="4"/>
  <c r="J595" i="4"/>
  <c r="F595" i="4"/>
  <c r="K595" i="4" s="1"/>
  <c r="G595" i="4"/>
  <c r="F615" i="4"/>
  <c r="K615" i="4" s="1"/>
  <c r="J615" i="4"/>
  <c r="G615" i="4"/>
  <c r="G610" i="4"/>
  <c r="J610" i="4"/>
  <c r="F610" i="4"/>
  <c r="K610" i="4" s="1"/>
  <c r="J589" i="4"/>
  <c r="G589" i="4"/>
  <c r="J584" i="4"/>
  <c r="F584" i="4"/>
  <c r="K584" i="4" s="1"/>
  <c r="G584" i="4"/>
  <c r="J579" i="4"/>
  <c r="G579" i="4"/>
  <c r="F579" i="4"/>
  <c r="K579" i="4" s="1"/>
  <c r="J574" i="4"/>
  <c r="G574" i="4"/>
  <c r="F574" i="4"/>
  <c r="K574" i="4" s="1"/>
  <c r="J516" i="4"/>
  <c r="G516" i="4"/>
  <c r="F516" i="4"/>
  <c r="K516" i="4" s="1"/>
  <c r="J511" i="4"/>
  <c r="F511" i="4"/>
  <c r="K511" i="4" s="1"/>
  <c r="G511" i="4"/>
  <c r="J505" i="4"/>
  <c r="G505" i="4"/>
  <c r="F505" i="4"/>
  <c r="K505" i="4" s="1"/>
  <c r="G494" i="4"/>
  <c r="J494" i="4"/>
  <c r="F494" i="4"/>
  <c r="K494" i="4" s="1"/>
  <c r="J475" i="4"/>
  <c r="G475" i="4"/>
  <c r="F475" i="4"/>
  <c r="K475" i="4" s="1"/>
  <c r="J469" i="4"/>
  <c r="G469" i="4"/>
  <c r="J448" i="4"/>
  <c r="F448" i="4"/>
  <c r="K448" i="4" s="1"/>
  <c r="G448" i="4"/>
  <c r="G440" i="4"/>
  <c r="F440" i="4"/>
  <c r="K440" i="4" s="1"/>
  <c r="J440" i="4"/>
  <c r="G427" i="4"/>
  <c r="J427" i="4"/>
  <c r="F427" i="4"/>
  <c r="K427" i="4" s="1"/>
  <c r="J399" i="4"/>
  <c r="F399" i="4"/>
  <c r="K399" i="4" s="1"/>
  <c r="G399" i="4"/>
  <c r="J393" i="4"/>
  <c r="F393" i="4"/>
  <c r="K393" i="4" s="1"/>
  <c r="G393" i="4"/>
  <c r="J366" i="4"/>
  <c r="G366" i="4"/>
  <c r="F366" i="4"/>
  <c r="K366" i="4" s="1"/>
  <c r="J358" i="4"/>
  <c r="F358" i="4"/>
  <c r="K358" i="4" s="1"/>
  <c r="G358" i="4"/>
  <c r="J337" i="4"/>
  <c r="G337" i="4"/>
  <c r="F337" i="4"/>
  <c r="K337" i="4" s="1"/>
  <c r="J322" i="4"/>
  <c r="G322" i="4"/>
  <c r="F322" i="4"/>
  <c r="K322" i="4" s="1"/>
  <c r="G272" i="4"/>
  <c r="F272" i="4"/>
  <c r="K272" i="4" s="1"/>
  <c r="J272" i="4"/>
  <c r="J244" i="4"/>
  <c r="G244" i="4"/>
  <c r="F244" i="4"/>
  <c r="K244" i="4" s="1"/>
  <c r="G238" i="4"/>
  <c r="J238" i="4"/>
  <c r="F238" i="4"/>
  <c r="K238" i="4" s="1"/>
  <c r="J225" i="4"/>
  <c r="G225" i="4"/>
  <c r="J218" i="4"/>
  <c r="G218" i="4"/>
  <c r="F218" i="4"/>
  <c r="K218" i="4" s="1"/>
  <c r="J210" i="4"/>
  <c r="G210" i="4"/>
  <c r="F210" i="4"/>
  <c r="K210" i="4" s="1"/>
  <c r="G196" i="4"/>
  <c r="J196" i="4"/>
  <c r="F196" i="4"/>
  <c r="K196" i="4" s="1"/>
  <c r="G189" i="4"/>
  <c r="J189" i="4"/>
  <c r="F189" i="4"/>
  <c r="K189" i="4" s="1"/>
  <c r="J168" i="4"/>
  <c r="G168" i="4"/>
  <c r="F168" i="4"/>
  <c r="K168" i="4" s="1"/>
  <c r="J148" i="4"/>
  <c r="G148" i="4"/>
  <c r="F148" i="4"/>
  <c r="K148" i="4" s="1"/>
  <c r="J128" i="4"/>
  <c r="G128" i="4"/>
  <c r="F128" i="4"/>
  <c r="K128" i="4" s="1"/>
  <c r="G78" i="4"/>
  <c r="F78" i="4"/>
  <c r="K78" i="4" s="1"/>
  <c r="J78" i="4"/>
  <c r="J60" i="4"/>
  <c r="G60" i="4"/>
  <c r="F60" i="4"/>
  <c r="K60" i="4" s="1"/>
  <c r="J52" i="4"/>
  <c r="G52" i="4"/>
  <c r="F52" i="4"/>
  <c r="K52" i="4" s="1"/>
  <c r="G10" i="4"/>
  <c r="J10" i="4"/>
  <c r="F10" i="4"/>
  <c r="K10" i="4" s="1"/>
  <c r="F547" i="4"/>
  <c r="K547" i="4" s="1"/>
  <c r="F418" i="4"/>
  <c r="K418" i="4" s="1"/>
  <c r="F117" i="4"/>
  <c r="K117" i="4" s="1"/>
  <c r="J581" i="4"/>
  <c r="G581" i="4"/>
  <c r="J537" i="4"/>
  <c r="G537" i="4"/>
  <c r="G513" i="4"/>
  <c r="J513" i="4"/>
  <c r="J497" i="4"/>
  <c r="G497" i="4"/>
  <c r="G449" i="4"/>
  <c r="J449" i="4"/>
  <c r="J438" i="4"/>
  <c r="G438" i="4"/>
  <c r="J432" i="4"/>
  <c r="F432" i="4"/>
  <c r="K432" i="4" s="1"/>
  <c r="J421" i="4"/>
  <c r="G421" i="4"/>
  <c r="J405" i="4"/>
  <c r="G405" i="4"/>
  <c r="J351" i="4"/>
  <c r="F351" i="4"/>
  <c r="K351" i="4" s="1"/>
  <c r="G351" i="4"/>
  <c r="J345" i="4"/>
  <c r="G345" i="4"/>
  <c r="G334" i="4"/>
  <c r="J334" i="4"/>
  <c r="F334" i="4"/>
  <c r="K334" i="4" s="1"/>
  <c r="J312" i="4"/>
  <c r="F312" i="4"/>
  <c r="K312" i="4" s="1"/>
  <c r="G312" i="4"/>
  <c r="J299" i="4"/>
  <c r="G299" i="4"/>
  <c r="J287" i="4"/>
  <c r="G287" i="4"/>
  <c r="F287" i="4"/>
  <c r="K287" i="4" s="1"/>
  <c r="J281" i="4"/>
  <c r="G281" i="4"/>
  <c r="J268" i="4"/>
  <c r="G268" i="4"/>
  <c r="F256" i="4"/>
  <c r="K256" i="4" s="1"/>
  <c r="J256" i="4"/>
  <c r="G223" i="4"/>
  <c r="J223" i="4"/>
  <c r="F223" i="4"/>
  <c r="K223" i="4" s="1"/>
  <c r="J217" i="4"/>
  <c r="G217" i="4"/>
  <c r="J207" i="4"/>
  <c r="F207" i="4"/>
  <c r="K207" i="4" s="1"/>
  <c r="G207" i="4"/>
  <c r="J201" i="4"/>
  <c r="G201" i="4"/>
  <c r="F201" i="4"/>
  <c r="K201" i="4" s="1"/>
  <c r="G190" i="4"/>
  <c r="J190" i="4"/>
  <c r="J163" i="4"/>
  <c r="G163" i="4"/>
  <c r="G157" i="4"/>
  <c r="J157" i="4"/>
  <c r="F157" i="4"/>
  <c r="K157" i="4" s="1"/>
  <c r="J152" i="4"/>
  <c r="F152" i="4"/>
  <c r="K152" i="4" s="1"/>
  <c r="G152" i="4"/>
  <c r="G141" i="4"/>
  <c r="J141" i="4"/>
  <c r="J135" i="4"/>
  <c r="F135" i="4"/>
  <c r="K135" i="4" s="1"/>
  <c r="G135" i="4"/>
  <c r="J119" i="4"/>
  <c r="F119" i="4"/>
  <c r="K119" i="4" s="1"/>
  <c r="G119" i="4"/>
  <c r="J108" i="4"/>
  <c r="G108" i="4"/>
  <c r="J91" i="4"/>
  <c r="G91" i="4"/>
  <c r="F91" i="4"/>
  <c r="K91" i="4" s="1"/>
  <c r="G85" i="4"/>
  <c r="J85" i="4"/>
  <c r="F85" i="4"/>
  <c r="K85" i="4" s="1"/>
  <c r="J80" i="4"/>
  <c r="G80" i="4"/>
  <c r="F80" i="4"/>
  <c r="K80" i="4" s="1"/>
  <c r="G63" i="4"/>
  <c r="J63" i="4"/>
  <c r="J47" i="4"/>
  <c r="G47" i="4"/>
  <c r="J35" i="4"/>
  <c r="G35" i="4"/>
  <c r="F35" i="4"/>
  <c r="K35" i="4" s="1"/>
  <c r="J23" i="4"/>
  <c r="G23" i="4"/>
  <c r="F23" i="4"/>
  <c r="K23" i="4" s="1"/>
  <c r="F537" i="4"/>
  <c r="K537" i="4" s="1"/>
  <c r="F438" i="4"/>
  <c r="K438" i="4" s="1"/>
  <c r="F421" i="4"/>
  <c r="K421" i="4" s="1"/>
  <c r="F405" i="4"/>
  <c r="K405" i="4" s="1"/>
  <c r="F268" i="4"/>
  <c r="K268" i="4" s="1"/>
  <c r="F163" i="4"/>
  <c r="K163" i="4" s="1"/>
  <c r="F141" i="4"/>
  <c r="K141" i="4" s="1"/>
  <c r="G362" i="4"/>
  <c r="J464" i="4"/>
  <c r="F464" i="4"/>
  <c r="K464" i="4" s="1"/>
  <c r="G464" i="4"/>
  <c r="J453" i="4"/>
  <c r="G453" i="4"/>
  <c r="J437" i="4"/>
  <c r="G437" i="4"/>
  <c r="G394" i="4"/>
  <c r="J394" i="4"/>
  <c r="J383" i="4"/>
  <c r="F383" i="4"/>
  <c r="K383" i="4" s="1"/>
  <c r="G383" i="4"/>
  <c r="J377" i="4"/>
  <c r="G377" i="4"/>
  <c r="J361" i="4"/>
  <c r="F361" i="4"/>
  <c r="K361" i="4" s="1"/>
  <c r="G361" i="4"/>
  <c r="J350" i="4"/>
  <c r="G350" i="4"/>
  <c r="G339" i="4"/>
  <c r="J339" i="4"/>
  <c r="F339" i="4"/>
  <c r="K339" i="4" s="1"/>
  <c r="F311" i="4"/>
  <c r="K311" i="4" s="1"/>
  <c r="G311" i="4"/>
  <c r="J311" i="4"/>
  <c r="J298" i="4"/>
  <c r="G298" i="4"/>
  <c r="G286" i="4"/>
  <c r="J286" i="4"/>
  <c r="J280" i="4"/>
  <c r="F280" i="4"/>
  <c r="K280" i="4" s="1"/>
  <c r="G280" i="4"/>
  <c r="J267" i="4"/>
  <c r="G267" i="4"/>
  <c r="G255" i="4"/>
  <c r="J255" i="4"/>
  <c r="F255" i="4"/>
  <c r="K255" i="4" s="1"/>
  <c r="J249" i="4"/>
  <c r="G249" i="4"/>
  <c r="G243" i="4"/>
  <c r="J243" i="4"/>
  <c r="F243" i="4"/>
  <c r="K243" i="4" s="1"/>
  <c r="J228" i="4"/>
  <c r="G228" i="4"/>
  <c r="F228" i="4"/>
  <c r="K228" i="4" s="1"/>
  <c r="G222" i="4"/>
  <c r="J222" i="4"/>
  <c r="G211" i="4"/>
  <c r="J211" i="4"/>
  <c r="F211" i="4"/>
  <c r="K211" i="4" s="1"/>
  <c r="J195" i="4"/>
  <c r="G195" i="4"/>
  <c r="J179" i="4"/>
  <c r="G179" i="4"/>
  <c r="F179" i="4"/>
  <c r="K179" i="4" s="1"/>
  <c r="J162" i="4"/>
  <c r="G162" i="4"/>
  <c r="J151" i="4"/>
  <c r="F151" i="4"/>
  <c r="K151" i="4" s="1"/>
  <c r="G151" i="4"/>
  <c r="J140" i="4"/>
  <c r="G140" i="4"/>
  <c r="J129" i="4"/>
  <c r="G129" i="4"/>
  <c r="G118" i="4"/>
  <c r="J118" i="4"/>
  <c r="J107" i="4"/>
  <c r="G107" i="4"/>
  <c r="J79" i="4"/>
  <c r="F79" i="4"/>
  <c r="K79" i="4" s="1"/>
  <c r="G79" i="4"/>
  <c r="J68" i="4"/>
  <c r="F68" i="4"/>
  <c r="K68" i="4" s="1"/>
  <c r="G68" i="4"/>
  <c r="G62" i="4"/>
  <c r="F62" i="4"/>
  <c r="K62" i="4" s="1"/>
  <c r="J62" i="4"/>
  <c r="J51" i="4"/>
  <c r="G51" i="4"/>
  <c r="F51" i="4"/>
  <c r="K51" i="4" s="1"/>
  <c r="G22" i="4"/>
  <c r="F22" i="4"/>
  <c r="K22" i="4" s="1"/>
  <c r="J22" i="4"/>
  <c r="J16" i="4"/>
  <c r="F16" i="4"/>
  <c r="K16" i="4" s="1"/>
  <c r="G16" i="4"/>
  <c r="G9" i="4"/>
  <c r="J9" i="4"/>
  <c r="F9" i="4"/>
  <c r="K9" i="4" s="1"/>
  <c r="J3" i="4"/>
  <c r="G3" i="4"/>
  <c r="F453" i="4"/>
  <c r="K453" i="4" s="1"/>
  <c r="F437" i="4"/>
  <c r="K437" i="4" s="1"/>
  <c r="F267" i="4"/>
  <c r="K267" i="4" s="1"/>
  <c r="F162" i="4"/>
  <c r="K162" i="4" s="1"/>
  <c r="F140" i="4"/>
  <c r="K140" i="4" s="1"/>
  <c r="F118" i="4"/>
  <c r="K118" i="4" s="1"/>
  <c r="F63" i="4"/>
  <c r="K63" i="4" s="1"/>
  <c r="J430" i="4"/>
  <c r="G430" i="4"/>
  <c r="F430" i="4"/>
  <c r="K430" i="4" s="1"/>
  <c r="J425" i="4"/>
  <c r="F425" i="4"/>
  <c r="K425" i="4" s="1"/>
  <c r="G425" i="4"/>
  <c r="J419" i="4"/>
  <c r="G419" i="4"/>
  <c r="J414" i="4"/>
  <c r="G414" i="4"/>
  <c r="G408" i="4"/>
  <c r="F408" i="4"/>
  <c r="K408" i="4" s="1"/>
  <c r="J408" i="4"/>
  <c r="J403" i="4"/>
  <c r="G403" i="4"/>
  <c r="F403" i="4"/>
  <c r="K403" i="4" s="1"/>
  <c r="F392" i="4"/>
  <c r="K392" i="4" s="1"/>
  <c r="G392" i="4"/>
  <c r="J392" i="4"/>
  <c r="J381" i="4"/>
  <c r="G381" i="4"/>
  <c r="F381" i="4"/>
  <c r="K381" i="4" s="1"/>
  <c r="J370" i="4"/>
  <c r="G370" i="4"/>
  <c r="F370" i="4"/>
  <c r="K370" i="4" s="1"/>
  <c r="J365" i="4"/>
  <c r="G365" i="4"/>
  <c r="J359" i="4"/>
  <c r="F359" i="4"/>
  <c r="K359" i="4" s="1"/>
  <c r="G359" i="4"/>
  <c r="G354" i="4"/>
  <c r="J354" i="4"/>
  <c r="J348" i="4"/>
  <c r="G348" i="4"/>
  <c r="F348" i="4"/>
  <c r="K348" i="4" s="1"/>
  <c r="G343" i="4"/>
  <c r="F343" i="4"/>
  <c r="K343" i="4" s="1"/>
  <c r="J343" i="4"/>
  <c r="J332" i="4"/>
  <c r="G332" i="4"/>
  <c r="G326" i="4"/>
  <c r="J326" i="4"/>
  <c r="F326" i="4"/>
  <c r="K326" i="4" s="1"/>
  <c r="J321" i="4"/>
  <c r="G321" i="4"/>
  <c r="G309" i="4"/>
  <c r="J309" i="4"/>
  <c r="F303" i="4"/>
  <c r="K303" i="4" s="1"/>
  <c r="J303" i="4"/>
  <c r="G296" i="4"/>
  <c r="J296" i="4"/>
  <c r="F296" i="4"/>
  <c r="K296" i="4" s="1"/>
  <c r="J291" i="4"/>
  <c r="G291" i="4"/>
  <c r="G278" i="4"/>
  <c r="J278" i="4"/>
  <c r="G265" i="4"/>
  <c r="J265" i="4"/>
  <c r="F265" i="4"/>
  <c r="K265" i="4" s="1"/>
  <c r="J260" i="4"/>
  <c r="F260" i="4"/>
  <c r="K260" i="4" s="1"/>
  <c r="G260" i="4"/>
  <c r="G253" i="4"/>
  <c r="J253" i="4"/>
  <c r="F253" i="4"/>
  <c r="K253" i="4" s="1"/>
  <c r="J241" i="4"/>
  <c r="G241" i="4"/>
  <c r="F241" i="4"/>
  <c r="K241" i="4" s="1"/>
  <c r="J226" i="4"/>
  <c r="G226" i="4"/>
  <c r="J220" i="4"/>
  <c r="G220" i="4"/>
  <c r="F220" i="4"/>
  <c r="K220" i="4" s="1"/>
  <c r="G215" i="4"/>
  <c r="F215" i="4"/>
  <c r="K215" i="4" s="1"/>
  <c r="J215" i="4"/>
  <c r="G205" i="4"/>
  <c r="J205" i="4"/>
  <c r="J199" i="4"/>
  <c r="G199" i="4"/>
  <c r="F199" i="4"/>
  <c r="K199" i="4" s="1"/>
  <c r="J188" i="4"/>
  <c r="G188" i="4"/>
  <c r="F188" i="4"/>
  <c r="K188" i="4" s="1"/>
  <c r="J172" i="4"/>
  <c r="G172" i="4"/>
  <c r="J166" i="4"/>
  <c r="G166" i="4"/>
  <c r="F166" i="4"/>
  <c r="K166" i="4" s="1"/>
  <c r="J155" i="4"/>
  <c r="G155" i="4"/>
  <c r="F155" i="4"/>
  <c r="K155" i="4" s="1"/>
  <c r="G149" i="4"/>
  <c r="J149" i="4"/>
  <c r="J144" i="4"/>
  <c r="G144" i="4"/>
  <c r="F144" i="4"/>
  <c r="K144" i="4" s="1"/>
  <c r="J138" i="4"/>
  <c r="G138" i="4"/>
  <c r="J133" i="4"/>
  <c r="G133" i="4"/>
  <c r="F133" i="4"/>
  <c r="K133" i="4" s="1"/>
  <c r="J122" i="4"/>
  <c r="G122" i="4"/>
  <c r="F122" i="4"/>
  <c r="K122" i="4" s="1"/>
  <c r="J116" i="4"/>
  <c r="G116" i="4"/>
  <c r="J105" i="4"/>
  <c r="G105" i="4"/>
  <c r="F105" i="4"/>
  <c r="K105" i="4" s="1"/>
  <c r="G94" i="4"/>
  <c r="J94" i="4"/>
  <c r="J89" i="4"/>
  <c r="G89" i="4"/>
  <c r="J83" i="4"/>
  <c r="G83" i="4"/>
  <c r="G66" i="4"/>
  <c r="J66" i="4"/>
  <c r="F66" i="4"/>
  <c r="K66" i="4" s="1"/>
  <c r="J56" i="4"/>
  <c r="G56" i="4"/>
  <c r="F56" i="4"/>
  <c r="K56" i="4" s="1"/>
  <c r="G45" i="4"/>
  <c r="F45" i="4"/>
  <c r="K45" i="4" s="1"/>
  <c r="J45" i="4"/>
  <c r="J39" i="4"/>
  <c r="G39" i="4"/>
  <c r="F39" i="4"/>
  <c r="K39" i="4" s="1"/>
  <c r="J27" i="4"/>
  <c r="F27" i="4"/>
  <c r="K27" i="4" s="1"/>
  <c r="G27" i="4"/>
  <c r="J20" i="4"/>
  <c r="G20" i="4"/>
  <c r="F298" i="4"/>
  <c r="K298" i="4" s="1"/>
  <c r="F278" i="4"/>
  <c r="K278" i="4" s="1"/>
  <c r="F222" i="4"/>
  <c r="K222" i="4" s="1"/>
  <c r="F138" i="4"/>
  <c r="K138" i="4" s="1"/>
  <c r="F116" i="4"/>
  <c r="K116" i="4" s="1"/>
  <c r="F89" i="4"/>
  <c r="K89" i="4" s="1"/>
  <c r="F47" i="4"/>
  <c r="K47" i="4" s="1"/>
  <c r="F3" i="4"/>
  <c r="K3" i="4" s="1"/>
  <c r="G303" i="4"/>
  <c r="J479" i="4"/>
  <c r="F479" i="4"/>
  <c r="K479" i="4" s="1"/>
  <c r="G479" i="4"/>
  <c r="J473" i="4"/>
  <c r="G473" i="4"/>
  <c r="J457" i="4"/>
  <c r="G457" i="4"/>
  <c r="F457" i="4"/>
  <c r="K457" i="4" s="1"/>
  <c r="G446" i="4"/>
  <c r="J446" i="4"/>
  <c r="J435" i="4"/>
  <c r="F435" i="4"/>
  <c r="K435" i="4" s="1"/>
  <c r="G435" i="4"/>
  <c r="F424" i="4"/>
  <c r="K424" i="4" s="1"/>
  <c r="J424" i="4"/>
  <c r="G424" i="4"/>
  <c r="J413" i="4"/>
  <c r="G413" i="4"/>
  <c r="F413" i="4"/>
  <c r="K413" i="4" s="1"/>
  <c r="J397" i="4"/>
  <c r="G397" i="4"/>
  <c r="F391" i="4"/>
  <c r="K391" i="4" s="1"/>
  <c r="J391" i="4"/>
  <c r="G391" i="4"/>
  <c r="J380" i="4"/>
  <c r="G380" i="4"/>
  <c r="F380" i="4"/>
  <c r="K380" i="4" s="1"/>
  <c r="J331" i="4"/>
  <c r="G331" i="4"/>
  <c r="J315" i="4"/>
  <c r="G315" i="4"/>
  <c r="J308" i="4"/>
  <c r="G308" i="4"/>
  <c r="G302" i="4"/>
  <c r="J302" i="4"/>
  <c r="F302" i="4"/>
  <c r="K302" i="4" s="1"/>
  <c r="J284" i="4"/>
  <c r="G284" i="4"/>
  <c r="F284" i="4"/>
  <c r="K284" i="4" s="1"/>
  <c r="G277" i="4"/>
  <c r="J277" i="4"/>
  <c r="G271" i="4"/>
  <c r="F271" i="4"/>
  <c r="K271" i="4" s="1"/>
  <c r="J271" i="4"/>
  <c r="J259" i="4"/>
  <c r="G259" i="4"/>
  <c r="F247" i="4"/>
  <c r="K247" i="4" s="1"/>
  <c r="J247" i="4"/>
  <c r="G247" i="4"/>
  <c r="J236" i="4"/>
  <c r="G236" i="4"/>
  <c r="F231" i="4"/>
  <c r="K231" i="4" s="1"/>
  <c r="G231" i="4"/>
  <c r="J231" i="4"/>
  <c r="J204" i="4"/>
  <c r="G204" i="4"/>
  <c r="J198" i="4"/>
  <c r="G198" i="4"/>
  <c r="F198" i="4"/>
  <c r="K198" i="4" s="1"/>
  <c r="F183" i="4"/>
  <c r="K183" i="4" s="1"/>
  <c r="J183" i="4"/>
  <c r="G183" i="4"/>
  <c r="J171" i="4"/>
  <c r="G171" i="4"/>
  <c r="G127" i="4"/>
  <c r="J127" i="4"/>
  <c r="F127" i="4"/>
  <c r="K127" i="4" s="1"/>
  <c r="J111" i="4"/>
  <c r="F111" i="4"/>
  <c r="K111" i="4" s="1"/>
  <c r="G111" i="4"/>
  <c r="J100" i="4"/>
  <c r="G100" i="4"/>
  <c r="F100" i="4"/>
  <c r="K100" i="4" s="1"/>
  <c r="G77" i="4"/>
  <c r="F77" i="4"/>
  <c r="K77" i="4" s="1"/>
  <c r="J77" i="4"/>
  <c r="J71" i="4"/>
  <c r="F71" i="4"/>
  <c r="K71" i="4" s="1"/>
  <c r="G71" i="4"/>
  <c r="J55" i="4"/>
  <c r="F55" i="4"/>
  <c r="K55" i="4" s="1"/>
  <c r="G55" i="4"/>
  <c r="J49" i="4"/>
  <c r="F49" i="4"/>
  <c r="K49" i="4" s="1"/>
  <c r="G49" i="4"/>
  <c r="G44" i="4"/>
  <c r="J44" i="4"/>
  <c r="F44" i="4"/>
  <c r="K44" i="4" s="1"/>
  <c r="J38" i="4"/>
  <c r="G38" i="4"/>
  <c r="F38" i="4"/>
  <c r="K38" i="4" s="1"/>
  <c r="J26" i="4"/>
  <c r="F26" i="4"/>
  <c r="K26" i="4" s="1"/>
  <c r="G26" i="4"/>
  <c r="G19" i="4"/>
  <c r="J19" i="4"/>
  <c r="J13" i="4"/>
  <c r="G13" i="4"/>
  <c r="F13" i="4"/>
  <c r="K13" i="4" s="1"/>
  <c r="J6" i="4"/>
  <c r="G6" i="4"/>
  <c r="F6" i="4"/>
  <c r="K6" i="4" s="1"/>
  <c r="F465" i="4"/>
  <c r="K465" i="4" s="1"/>
  <c r="F449" i="4"/>
  <c r="K449" i="4" s="1"/>
  <c r="F414" i="4"/>
  <c r="K414" i="4" s="1"/>
  <c r="F379" i="4"/>
  <c r="K379" i="4" s="1"/>
  <c r="F345" i="4"/>
  <c r="K345" i="4" s="1"/>
  <c r="F277" i="4"/>
  <c r="K277" i="4" s="1"/>
  <c r="F259" i="4"/>
  <c r="K259" i="4" s="1"/>
  <c r="F217" i="4"/>
  <c r="K217" i="4" s="1"/>
  <c r="F195" i="4"/>
  <c r="K195" i="4" s="1"/>
  <c r="G432" i="4"/>
  <c r="J396" i="4"/>
  <c r="G396" i="4"/>
  <c r="J390" i="4"/>
  <c r="F390" i="4"/>
  <c r="K390" i="4" s="1"/>
  <c r="G390" i="4"/>
  <c r="G353" i="4"/>
  <c r="J353" i="4"/>
  <c r="G342" i="4"/>
  <c r="J342" i="4"/>
  <c r="J320" i="4"/>
  <c r="F320" i="4"/>
  <c r="K320" i="4" s="1"/>
  <c r="G320" i="4"/>
  <c r="G314" i="4"/>
  <c r="J314" i="4"/>
  <c r="F314" i="4"/>
  <c r="K314" i="4" s="1"/>
  <c r="G307" i="4"/>
  <c r="J307" i="4"/>
  <c r="F307" i="4"/>
  <c r="K307" i="4" s="1"/>
  <c r="G301" i="4"/>
  <c r="J301" i="4"/>
  <c r="F295" i="4"/>
  <c r="K295" i="4" s="1"/>
  <c r="J295" i="4"/>
  <c r="G295" i="4"/>
  <c r="G283" i="4"/>
  <c r="J283" i="4"/>
  <c r="J276" i="4"/>
  <c r="G276" i="4"/>
  <c r="G270" i="4"/>
  <c r="J270" i="4"/>
  <c r="F270" i="4"/>
  <c r="K270" i="4" s="1"/>
  <c r="G258" i="4"/>
  <c r="J258" i="4"/>
  <c r="J252" i="4"/>
  <c r="G252" i="4"/>
  <c r="F252" i="4"/>
  <c r="K252" i="4" s="1"/>
  <c r="G246" i="4"/>
  <c r="J246" i="4"/>
  <c r="J240" i="4"/>
  <c r="F240" i="4"/>
  <c r="K240" i="4" s="1"/>
  <c r="G240" i="4"/>
  <c r="J235" i="4"/>
  <c r="G235" i="4"/>
  <c r="G230" i="4"/>
  <c r="J230" i="4"/>
  <c r="F230" i="4"/>
  <c r="K230" i="4" s="1"/>
  <c r="J219" i="4"/>
  <c r="G219" i="4"/>
  <c r="F219" i="4"/>
  <c r="K219" i="4" s="1"/>
  <c r="J203" i="4"/>
  <c r="G203" i="4"/>
  <c r="J197" i="4"/>
  <c r="G197" i="4"/>
  <c r="F197" i="4"/>
  <c r="K197" i="4" s="1"/>
  <c r="J187" i="4"/>
  <c r="G187" i="4"/>
  <c r="F187" i="4"/>
  <c r="K187" i="4" s="1"/>
  <c r="G182" i="4"/>
  <c r="J182" i="4"/>
  <c r="J170" i="4"/>
  <c r="G170" i="4"/>
  <c r="J165" i="4"/>
  <c r="G165" i="4"/>
  <c r="F165" i="4"/>
  <c r="K165" i="4" s="1"/>
  <c r="J143" i="4"/>
  <c r="G143" i="4"/>
  <c r="F143" i="4"/>
  <c r="K143" i="4" s="1"/>
  <c r="J132" i="4"/>
  <c r="G132" i="4"/>
  <c r="F132" i="4"/>
  <c r="K132" i="4" s="1"/>
  <c r="G126" i="4"/>
  <c r="J126" i="4"/>
  <c r="J121" i="4"/>
  <c r="G121" i="4"/>
  <c r="J115" i="4"/>
  <c r="G115" i="4"/>
  <c r="F115" i="4"/>
  <c r="K115" i="4" s="1"/>
  <c r="G110" i="4"/>
  <c r="J110" i="4"/>
  <c r="F110" i="4"/>
  <c r="K110" i="4" s="1"/>
  <c r="J104" i="4"/>
  <c r="G104" i="4"/>
  <c r="F104" i="4"/>
  <c r="K104" i="4" s="1"/>
  <c r="J99" i="4"/>
  <c r="G99" i="4"/>
  <c r="J88" i="4"/>
  <c r="G88" i="4"/>
  <c r="F88" i="4"/>
  <c r="K88" i="4" s="1"/>
  <c r="J76" i="4"/>
  <c r="G76" i="4"/>
  <c r="F76" i="4"/>
  <c r="K76" i="4" s="1"/>
  <c r="J70" i="4"/>
  <c r="G70" i="4"/>
  <c r="F70" i="4"/>
  <c r="K70" i="4" s="1"/>
  <c r="J65" i="4"/>
  <c r="G65" i="4"/>
  <c r="F65" i="4"/>
  <c r="K65" i="4" s="1"/>
  <c r="G54" i="4"/>
  <c r="F54" i="4"/>
  <c r="K54" i="4" s="1"/>
  <c r="J54" i="4"/>
  <c r="J32" i="4"/>
  <c r="F32" i="4"/>
  <c r="K32" i="4" s="1"/>
  <c r="G32" i="4"/>
  <c r="J25" i="4"/>
  <c r="G25" i="4"/>
  <c r="F25" i="4"/>
  <c r="K25" i="4" s="1"/>
  <c r="G18" i="4"/>
  <c r="J18" i="4"/>
  <c r="F18" i="4"/>
  <c r="K18" i="4" s="1"/>
  <c r="J12" i="4"/>
  <c r="G12" i="4"/>
  <c r="F12" i="4"/>
  <c r="K12" i="4" s="1"/>
  <c r="J5" i="4"/>
  <c r="G5" i="4"/>
  <c r="F5" i="4"/>
  <c r="K5" i="4" s="1"/>
  <c r="F497" i="4"/>
  <c r="K497" i="4" s="1"/>
  <c r="F446" i="4"/>
  <c r="K446" i="4" s="1"/>
  <c r="F377" i="4"/>
  <c r="K377" i="4" s="1"/>
  <c r="F362" i="4"/>
  <c r="K362" i="4" s="1"/>
  <c r="F342" i="4"/>
  <c r="K342" i="4" s="1"/>
  <c r="F309" i="4"/>
  <c r="K309" i="4" s="1"/>
  <c r="F291" i="4"/>
  <c r="K291" i="4" s="1"/>
  <c r="F276" i="4"/>
  <c r="K276" i="4" s="1"/>
  <c r="F258" i="4"/>
  <c r="K258" i="4" s="1"/>
  <c r="F236" i="4"/>
  <c r="K236" i="4" s="1"/>
  <c r="F172" i="4"/>
  <c r="K172" i="4" s="1"/>
  <c r="F108" i="4"/>
  <c r="K108" i="4" s="1"/>
  <c r="F83" i="4"/>
  <c r="K83" i="4" s="1"/>
  <c r="G256" i="4"/>
  <c r="J369" i="4"/>
  <c r="G369" i="4"/>
  <c r="J330" i="4"/>
  <c r="G330" i="4"/>
  <c r="J637" i="4"/>
  <c r="G637" i="4"/>
  <c r="F637" i="4"/>
  <c r="K637" i="4" s="1"/>
  <c r="J605" i="4"/>
  <c r="G605" i="4"/>
  <c r="F605" i="4"/>
  <c r="K605" i="4" s="1"/>
  <c r="J553" i="4"/>
  <c r="F553" i="4"/>
  <c r="K553" i="4" s="1"/>
  <c r="G553" i="4"/>
  <c r="J543" i="4"/>
  <c r="F543" i="4"/>
  <c r="K543" i="4" s="1"/>
  <c r="G543" i="4"/>
  <c r="J533" i="4"/>
  <c r="G533" i="4"/>
  <c r="J509" i="4"/>
  <c r="G509" i="4"/>
  <c r="F509" i="4"/>
  <c r="K509" i="4" s="1"/>
  <c r="F488" i="4"/>
  <c r="K488" i="4" s="1"/>
  <c r="J488" i="4"/>
  <c r="G488" i="4"/>
  <c r="J477" i="4"/>
  <c r="G477" i="4"/>
  <c r="F477" i="4"/>
  <c r="K477" i="4" s="1"/>
  <c r="J461" i="4"/>
  <c r="G461" i="4"/>
  <c r="F455" i="4"/>
  <c r="K455" i="4" s="1"/>
  <c r="J455" i="4"/>
  <c r="G455" i="4"/>
  <c r="J444" i="4"/>
  <c r="G444" i="4"/>
  <c r="F444" i="4"/>
  <c r="K444" i="4" s="1"/>
  <c r="J401" i="4"/>
  <c r="G401" i="4"/>
  <c r="G385" i="4"/>
  <c r="J385" i="4"/>
  <c r="J374" i="4"/>
  <c r="G374" i="4"/>
  <c r="F368" i="4"/>
  <c r="K368" i="4" s="1"/>
  <c r="J368" i="4"/>
  <c r="G368" i="4"/>
  <c r="J357" i="4"/>
  <c r="G357" i="4"/>
  <c r="G341" i="4"/>
  <c r="J341" i="4"/>
  <c r="J336" i="4"/>
  <c r="F336" i="4"/>
  <c r="K336" i="4" s="1"/>
  <c r="G336" i="4"/>
  <c r="G319" i="4"/>
  <c r="J319" i="4"/>
  <c r="F319" i="4"/>
  <c r="K319" i="4" s="1"/>
  <c r="G294" i="4"/>
  <c r="J294" i="4"/>
  <c r="F294" i="4"/>
  <c r="K294" i="4" s="1"/>
  <c r="J289" i="4"/>
  <c r="G289" i="4"/>
  <c r="G275" i="4"/>
  <c r="J275" i="4"/>
  <c r="F275" i="4"/>
  <c r="K275" i="4" s="1"/>
  <c r="J263" i="4"/>
  <c r="F263" i="4"/>
  <c r="K263" i="4" s="1"/>
  <c r="G263" i="4"/>
  <c r="J251" i="4"/>
  <c r="G251" i="4"/>
  <c r="F251" i="4"/>
  <c r="K251" i="4" s="1"/>
  <c r="G245" i="4"/>
  <c r="J245" i="4"/>
  <c r="G213" i="4"/>
  <c r="J213" i="4"/>
  <c r="J192" i="4"/>
  <c r="F192" i="4"/>
  <c r="K192" i="4" s="1"/>
  <c r="G192" i="4"/>
  <c r="G181" i="4"/>
  <c r="J181" i="4"/>
  <c r="J176" i="4"/>
  <c r="F176" i="4"/>
  <c r="K176" i="4" s="1"/>
  <c r="G176" i="4"/>
  <c r="G159" i="4"/>
  <c r="J159" i="4"/>
  <c r="F159" i="4"/>
  <c r="K159" i="4" s="1"/>
  <c r="J153" i="4"/>
  <c r="G153" i="4"/>
  <c r="J147" i="4"/>
  <c r="G147" i="4"/>
  <c r="F147" i="4"/>
  <c r="K147" i="4" s="1"/>
  <c r="G142" i="4"/>
  <c r="J142" i="4"/>
  <c r="F142" i="4"/>
  <c r="K142" i="4" s="1"/>
  <c r="J136" i="4"/>
  <c r="G136" i="4"/>
  <c r="F136" i="4"/>
  <c r="K136" i="4" s="1"/>
  <c r="J131" i="4"/>
  <c r="G131" i="4"/>
  <c r="G125" i="4"/>
  <c r="J125" i="4"/>
  <c r="F125" i="4"/>
  <c r="K125" i="4" s="1"/>
  <c r="J114" i="4"/>
  <c r="G114" i="4"/>
  <c r="F114" i="4"/>
  <c r="K114" i="4" s="1"/>
  <c r="G98" i="4"/>
  <c r="J98" i="4"/>
  <c r="J92" i="4"/>
  <c r="G92" i="4"/>
  <c r="F92" i="4"/>
  <c r="K92" i="4" s="1"/>
  <c r="J87" i="4"/>
  <c r="F87" i="4"/>
  <c r="K87" i="4" s="1"/>
  <c r="G87" i="4"/>
  <c r="J81" i="4"/>
  <c r="F81" i="4"/>
  <c r="K81" i="4" s="1"/>
  <c r="G81" i="4"/>
  <c r="J75" i="4"/>
  <c r="G75" i="4"/>
  <c r="J64" i="4"/>
  <c r="G64" i="4"/>
  <c r="J59" i="4"/>
  <c r="F59" i="4"/>
  <c r="K59" i="4" s="1"/>
  <c r="G59" i="4"/>
  <c r="G53" i="4"/>
  <c r="F53" i="4"/>
  <c r="K53" i="4" s="1"/>
  <c r="J53" i="4"/>
  <c r="J48" i="4"/>
  <c r="F48" i="4"/>
  <c r="K48" i="4" s="1"/>
  <c r="G48" i="4"/>
  <c r="J42" i="4"/>
  <c r="G42" i="4"/>
  <c r="F42" i="4"/>
  <c r="K42" i="4" s="1"/>
  <c r="J37" i="4"/>
  <c r="G37" i="4"/>
  <c r="F37" i="4"/>
  <c r="K37" i="4" s="1"/>
  <c r="G31" i="4"/>
  <c r="J31" i="4"/>
  <c r="F31" i="4"/>
  <c r="K31" i="4" s="1"/>
  <c r="J24" i="4"/>
  <c r="G24" i="4"/>
  <c r="F24" i="4"/>
  <c r="K24" i="4" s="1"/>
  <c r="J11" i="4"/>
  <c r="G11" i="4"/>
  <c r="F11" i="4"/>
  <c r="K11" i="4" s="1"/>
  <c r="F581" i="4"/>
  <c r="K581" i="4" s="1"/>
  <c r="F513" i="4"/>
  <c r="K513" i="4" s="1"/>
  <c r="F394" i="4"/>
  <c r="K394" i="4" s="1"/>
  <c r="F374" i="4"/>
  <c r="K374" i="4" s="1"/>
  <c r="F357" i="4"/>
  <c r="K357" i="4" s="1"/>
  <c r="F341" i="4"/>
  <c r="K341" i="4" s="1"/>
  <c r="F323" i="4"/>
  <c r="K323" i="4" s="1"/>
  <c r="F308" i="4"/>
  <c r="K308" i="4" s="1"/>
  <c r="F235" i="4"/>
  <c r="K235" i="4" s="1"/>
  <c r="F213" i="4"/>
  <c r="K213" i="4" s="1"/>
  <c r="F171" i="4"/>
  <c r="K171" i="4" s="1"/>
  <c r="F149" i="4"/>
  <c r="K149" i="4" s="1"/>
  <c r="F129" i="4"/>
  <c r="K129" i="4" s="1"/>
  <c r="F107" i="4"/>
  <c r="K107" i="4" s="1"/>
  <c r="F75" i="4"/>
  <c r="K75" i="4" s="1"/>
  <c r="J508" i="4"/>
  <c r="G508" i="4"/>
  <c r="F508" i="4"/>
  <c r="K508" i="4" s="1"/>
  <c r="G503" i="4"/>
  <c r="F503" i="4"/>
  <c r="K503" i="4" s="1"/>
  <c r="J503" i="4"/>
  <c r="J493" i="4"/>
  <c r="G493" i="4"/>
  <c r="F487" i="4"/>
  <c r="K487" i="4" s="1"/>
  <c r="J487" i="4"/>
  <c r="G487" i="4"/>
  <c r="J476" i="4"/>
  <c r="G476" i="4"/>
  <c r="F476" i="4"/>
  <c r="K476" i="4" s="1"/>
  <c r="J433" i="4"/>
  <c r="G433" i="4"/>
  <c r="G417" i="4"/>
  <c r="J417" i="4"/>
  <c r="J406" i="4"/>
  <c r="G406" i="4"/>
  <c r="J400" i="4"/>
  <c r="F400" i="4"/>
  <c r="K400" i="4" s="1"/>
  <c r="G400" i="4"/>
  <c r="J389" i="4"/>
  <c r="G389" i="4"/>
  <c r="J373" i="4"/>
  <c r="G373" i="4"/>
  <c r="F335" i="4"/>
  <c r="K335" i="4" s="1"/>
  <c r="G335" i="4"/>
  <c r="J335" i="4"/>
  <c r="G329" i="4"/>
  <c r="J329" i="4"/>
  <c r="F329" i="4"/>
  <c r="K329" i="4" s="1"/>
  <c r="G318" i="4"/>
  <c r="J318" i="4"/>
  <c r="J313" i="4"/>
  <c r="G313" i="4"/>
  <c r="J300" i="4"/>
  <c r="G300" i="4"/>
  <c r="J288" i="4"/>
  <c r="G288" i="4"/>
  <c r="F288" i="4"/>
  <c r="K288" i="4" s="1"/>
  <c r="G274" i="4"/>
  <c r="J274" i="4"/>
  <c r="F274" i="4"/>
  <c r="K274" i="4" s="1"/>
  <c r="G257" i="4"/>
  <c r="J257" i="4"/>
  <c r="J239" i="4"/>
  <c r="F239" i="4"/>
  <c r="K239" i="4" s="1"/>
  <c r="G239" i="4"/>
  <c r="G191" i="4"/>
  <c r="J191" i="4"/>
  <c r="F191" i="4"/>
  <c r="K191" i="4" s="1"/>
  <c r="J175" i="4"/>
  <c r="F175" i="4"/>
  <c r="K175" i="4" s="1"/>
  <c r="G175" i="4"/>
  <c r="J164" i="4"/>
  <c r="G164" i="4"/>
  <c r="F164" i="4"/>
  <c r="K164" i="4" s="1"/>
  <c r="G158" i="4"/>
  <c r="J158" i="4"/>
  <c r="J120" i="4"/>
  <c r="G120" i="4"/>
  <c r="F120" i="4"/>
  <c r="K120" i="4" s="1"/>
  <c r="G109" i="4"/>
  <c r="J109" i="4"/>
  <c r="J103" i="4"/>
  <c r="F103" i="4"/>
  <c r="K103" i="4" s="1"/>
  <c r="G103" i="4"/>
  <c r="J97" i="4"/>
  <c r="G97" i="4"/>
  <c r="F97" i="4"/>
  <c r="K97" i="4" s="1"/>
  <c r="G86" i="4"/>
  <c r="J86" i="4"/>
  <c r="J74" i="4"/>
  <c r="G74" i="4"/>
  <c r="J36" i="4"/>
  <c r="F36" i="4"/>
  <c r="K36" i="4" s="1"/>
  <c r="G36" i="4"/>
  <c r="G30" i="4"/>
  <c r="F30" i="4"/>
  <c r="K30" i="4" s="1"/>
  <c r="J30" i="4"/>
  <c r="F406" i="4"/>
  <c r="K406" i="4" s="1"/>
  <c r="F389" i="4"/>
  <c r="K389" i="4" s="1"/>
  <c r="F373" i="4"/>
  <c r="K373" i="4" s="1"/>
  <c r="F289" i="4"/>
  <c r="K289" i="4" s="1"/>
  <c r="F190" i="4"/>
  <c r="K190" i="4" s="1"/>
  <c r="F170" i="4"/>
  <c r="K170" i="4" s="1"/>
  <c r="F126" i="4"/>
  <c r="K126" i="4" s="1"/>
  <c r="F74" i="4"/>
  <c r="K74" i="4" s="1"/>
  <c r="F20" i="4"/>
  <c r="K20" i="4" s="1"/>
  <c r="G379" i="4"/>
  <c r="G15" i="4"/>
  <c r="J43" i="4"/>
  <c r="G43" i="4"/>
  <c r="G8" i="4"/>
  <c r="J8" i="4"/>
  <c r="J14" i="4"/>
  <c r="G14" i="4"/>
  <c r="F14" i="4"/>
  <c r="K14" i="4" s="1"/>
  <c r="J7" i="4"/>
  <c r="G7" i="4"/>
  <c r="F7" i="4"/>
  <c r="K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<sst xmlns="http://schemas.openxmlformats.org/spreadsheetml/2006/main" count="617" uniqueCount="308">
  <si>
    <t>Date</t>
  </si>
  <si>
    <t>Original_Description</t>
  </si>
  <si>
    <t>Amount</t>
  </si>
  <si>
    <t>Card_Account</t>
  </si>
  <si>
    <t>Auto_Category</t>
  </si>
  <si>
    <t>Auto_GST</t>
  </si>
  <si>
    <t>Auto_Type</t>
  </si>
  <si>
    <t>Manual_Category</t>
  </si>
  <si>
    <t>Manual_GST</t>
  </si>
  <si>
    <t>Final_Category</t>
  </si>
  <si>
    <t>Final_GST</t>
  </si>
  <si>
    <t>Merchant_Pattern</t>
  </si>
  <si>
    <t xml:space="preserve"> Merchant_Name</t>
  </si>
  <si>
    <t xml:space="preserve"> Category</t>
  </si>
  <si>
    <t>WORKSPACE365</t>
  </si>
  <si>
    <t xml:space="preserve"> OFFICE RENTAL</t>
  </si>
  <si>
    <t>NEWS</t>
  </si>
  <si>
    <t xml:space="preserve"> NEWSPAPERS &amp; MAGAZINES</t>
  </si>
  <si>
    <t>FAIRFAX</t>
  </si>
  <si>
    <t>AMZNPRIME</t>
  </si>
  <si>
    <t xml:space="preserve"> Amazon Prime</t>
  </si>
  <si>
    <t xml:space="preserve"> POSTAGE AND COURIERS</t>
  </si>
  <si>
    <t>APPLE.COM</t>
  </si>
  <si>
    <t xml:space="preserve"> Apple Services</t>
  </si>
  <si>
    <t xml:space="preserve"> COMPUTER SUBSCRIPTION</t>
  </si>
  <si>
    <t>MICROSOFT</t>
  </si>
  <si>
    <t>AMPOL</t>
  </si>
  <si>
    <t xml:space="preserve"> Ampol Fuel</t>
  </si>
  <si>
    <t xml:space="preserve"> PETROL</t>
  </si>
  <si>
    <t>CALTEX</t>
  </si>
  <si>
    <t>BP</t>
  </si>
  <si>
    <t>JB HI-FI</t>
  </si>
  <si>
    <t xml:space="preserve"> JB Hi-Fi</t>
  </si>
  <si>
    <t xml:space="preserve"> COMPUTER HARDWARE</t>
  </si>
  <si>
    <t>GLOBALX</t>
  </si>
  <si>
    <t>GODADDY</t>
  </si>
  <si>
    <t xml:space="preserve"> INTERNET</t>
  </si>
  <si>
    <t>EXETEL</t>
  </si>
  <si>
    <t xml:space="preserve"> Exetel</t>
  </si>
  <si>
    <t>TELSTRA</t>
  </si>
  <si>
    <t>UBER</t>
  </si>
  <si>
    <t>NSW TRAINS</t>
  </si>
  <si>
    <t xml:space="preserve"> NSW Trains</t>
  </si>
  <si>
    <t xml:space="preserve"> TRAVEL-DOM-TRAIN</t>
  </si>
  <si>
    <t>TRANSPORT FOR NSW</t>
  </si>
  <si>
    <t xml:space="preserve"> PUBLIC TRANSPORT</t>
  </si>
  <si>
    <t>QANTAS</t>
  </si>
  <si>
    <t xml:space="preserve"> TRAVEL-DOM-AIR</t>
  </si>
  <si>
    <t>JETSTAR</t>
  </si>
  <si>
    <t xml:space="preserve"> Jetstar</t>
  </si>
  <si>
    <t>HOTEL</t>
  </si>
  <si>
    <t xml:space="preserve"> TRAVEL-DOM-ACCOMMODATION</t>
  </si>
  <si>
    <t>MEDICARE</t>
  </si>
  <si>
    <t xml:space="preserve"> MEDICAL-OTHER</t>
  </si>
  <si>
    <t xml:space="preserve"> Personal</t>
  </si>
  <si>
    <t>PHARMACY</t>
  </si>
  <si>
    <t xml:space="preserve"> Pharmacy</t>
  </si>
  <si>
    <t xml:space="preserve"> MEDICAL-PHARMA</t>
  </si>
  <si>
    <t>CHEMIST</t>
  </si>
  <si>
    <t xml:space="preserve"> Chemist</t>
  </si>
  <si>
    <t>DOCTOR</t>
  </si>
  <si>
    <t xml:space="preserve"> MEDICAL-DOCTOR</t>
  </si>
  <si>
    <t>INSURANCE</t>
  </si>
  <si>
    <t xml:space="preserve"> INSURANCE</t>
  </si>
  <si>
    <t>AICD</t>
  </si>
  <si>
    <t xml:space="preserve"> AICD</t>
  </si>
  <si>
    <t xml:space="preserve"> PROFESSIONAL DEVELOPMENT</t>
  </si>
  <si>
    <t>TOLL</t>
  </si>
  <si>
    <t xml:space="preserve"> TOLLS AND PARKING</t>
  </si>
  <si>
    <t>PARKING</t>
  </si>
  <si>
    <t>OFFICEWORKS</t>
  </si>
  <si>
    <t xml:space="preserve"> OFFICE SUPPLIES</t>
  </si>
  <si>
    <t>WOOLWORTHS</t>
  </si>
  <si>
    <t xml:space="preserve"> TRAVEL-DOM-MEALS</t>
  </si>
  <si>
    <t>COLES</t>
  </si>
  <si>
    <t>MCDONALD</t>
  </si>
  <si>
    <t>RESTAURANT</t>
  </si>
  <si>
    <t>CAFE</t>
  </si>
  <si>
    <t>UNION</t>
  </si>
  <si>
    <t xml:space="preserve"> MEMBERSHIP FEE</t>
  </si>
  <si>
    <t>FONEBOX</t>
  </si>
  <si>
    <t xml:space="preserve"> TELEPHONE SERVICE</t>
  </si>
  <si>
    <t>EZI</t>
  </si>
  <si>
    <t xml:space="preserve"> Ezi Services</t>
  </si>
  <si>
    <t xml:space="preserve"> TECHNOLOGY SUPPORT</t>
  </si>
  <si>
    <t>FRAUDSEC</t>
  </si>
  <si>
    <t>DOUBLE</t>
  </si>
  <si>
    <t>KAUTION</t>
  </si>
  <si>
    <t xml:space="preserve"> Kaution Enterprises</t>
  </si>
  <si>
    <t xml:space="preserve"> Auto_Type</t>
  </si>
  <si>
    <t>WORKSPACE365.COM.AU SYDNEY</t>
  </si>
  <si>
    <t>AMEX</t>
  </si>
  <si>
    <t>WORKSPACE365.COM.AU     SYDNEY</t>
  </si>
  <si>
    <t>AMAZON MARKETPLACE AU   SYDNEY SOUTH</t>
  </si>
  <si>
    <t>NEWS PTY LIMITED SURRY  SURRY HILLS</t>
  </si>
  <si>
    <t>APPLE.COM/BILL          SYDNEY</t>
  </si>
  <si>
    <t>GLOBALX LEGAL SOLUTIONS BRISBANE</t>
  </si>
  <si>
    <t>GoDaddy Online Services Sydney</t>
  </si>
  <si>
    <t>UNION UNIVERSITY &amp; SCH  SYDNEY</t>
  </si>
  <si>
    <t>AMAZON AU               SYDNEY SOUTH</t>
  </si>
  <si>
    <t>EZI*IT SMART SOLUTIONS  SYDNEY</t>
  </si>
  <si>
    <t>TRANSPORT FOR NSW-OPAL  CHIPPENDALE</t>
  </si>
  <si>
    <t>FRAUDSEC T/A WHISPLI    NORTH SYDNEY</t>
  </si>
  <si>
    <t>SERVICE NSW             BONDI JUNCTION</t>
  </si>
  <si>
    <t>AP NORTH RYDE LPO       NORTH RYDE</t>
  </si>
  <si>
    <t>DESKY 0312              EAST BRISBANE</t>
  </si>
  <si>
    <t>MIGRAINE AUSTRALIA      EAST MAITLAND</t>
  </si>
  <si>
    <t>THE WILLIAM INGLIS OPI  WARWICK FARM</t>
  </si>
  <si>
    <t>SP DESKY 0312           EAST BRISBANE</t>
  </si>
  <si>
    <t>KINDLE UNLTD            503-7150002</t>
  </si>
  <si>
    <t>QUARTERLY ESSAY 1YR     COLLINGWOOD</t>
  </si>
  <si>
    <t>LS BELL'S MILK BAR      BROKEN HILL</t>
  </si>
  <si>
    <t>SYD301 SYD301           MASCOT</t>
  </si>
  <si>
    <t>CHARLOTTES AT THE GRAN  BROKEN HILL</t>
  </si>
  <si>
    <t>INSUFFICIENT FUNDS FEE</t>
  </si>
  <si>
    <t>AAMI PI REALTIME        BRISBANE</t>
  </si>
  <si>
    <t>NYTIMES*NYTIMES DISC    800-698-4637</t>
  </si>
  <si>
    <t>CKO*FS *TECHSMITH 52422 FSPRG.NL</t>
  </si>
  <si>
    <t>BEAUTIFUL.AI            SAN FRANCISCO</t>
  </si>
  <si>
    <t>BOX_UK                  LONDON</t>
  </si>
  <si>
    <t>CKO*RESOLUTTY.COM 52924 TALLINN</t>
  </si>
  <si>
    <t>2CO.COM*SUPERSOFT       AMSTERDAM</t>
  </si>
  <si>
    <t>CALM.COM SUBSCRIPTION   PALO ALTO</t>
  </si>
  <si>
    <t>DELETEME                SOMERVILLE</t>
  </si>
  <si>
    <t>HARVEST                 NEW YORK</t>
  </si>
  <si>
    <t>NAKEDPASTOR             QUISPAMSIS</t>
  </si>
  <si>
    <t>DIGITAL RIVER GMBH      COLOGNE</t>
  </si>
  <si>
    <t>OPENAI *CHATGPT SUBSCR  SAN FRANCISCO</t>
  </si>
  <si>
    <t>HLTH ADVC PHRMCY NR     NORTH RYDE</t>
  </si>
  <si>
    <t>P. H. LE PTY LTD        EPPING</t>
  </si>
  <si>
    <t>MAX VALUE PHARMACY AT N NORTH RYDE</t>
  </si>
  <si>
    <t>RYDE NATURAL HEALTH CLI NORTH RYDE</t>
  </si>
  <si>
    <t>DBS*ANYTIME FITNESS  N  NORTH RYDE</t>
  </si>
  <si>
    <t>SPOTIFY                 SYDNEY</t>
  </si>
  <si>
    <t>AD FREE FOR PRIMEVIDEO  SYDNEY</t>
  </si>
  <si>
    <t>EZI*HARRISON PT EZIDEBI GLADESVILLE</t>
  </si>
  <si>
    <t>RYDE MART PTY LTD       NORTH RYDE</t>
  </si>
  <si>
    <t>WOOLWORTHS ONLINE 8843  BELLA VISTA</t>
  </si>
  <si>
    <t>LACHLANS SQUARE 7704    MACQUARIE PARK</t>
  </si>
  <si>
    <t>SPEEDWAY KENT ROAD PTY  NORTH RYDE</t>
  </si>
  <si>
    <t>WINDCAVE*SSAL 1987 SSAL NORTH RYDE</t>
  </si>
  <si>
    <t>AUDIBLE PAYMENT AU      SYDNEY</t>
  </si>
  <si>
    <t>EB* BRITANNICA          800-323-1229</t>
  </si>
  <si>
    <t>EBAY O*04-11951-70948   SYDNEY</t>
  </si>
  <si>
    <t>GLADESVILLE RSL CLUB 11 GLADESVILLE</t>
  </si>
  <si>
    <t>PAYPAL *MAICONFZ        4029357733</t>
  </si>
  <si>
    <t>WWW.CITYCAVE.COM.AU     GLADESVILLE</t>
  </si>
  <si>
    <t>ADRENALINE HQ           WEST RYDE</t>
  </si>
  <si>
    <t>AMAZON.CA PRIME MEMBER  AMAZON.CA/PRI</t>
  </si>
  <si>
    <t>CENTR                   CREMORNE</t>
  </si>
  <si>
    <t>RYDE GARDEN SPECIALTY C North Ryde</t>
  </si>
  <si>
    <t>UBER ONE                HELP.UBER.COM</t>
  </si>
  <si>
    <t>WOOLWORTHS 1339 TOP RYD RYDE</t>
  </si>
  <si>
    <t>TILT RYDE 96670         NORTH RYDE</t>
  </si>
  <si>
    <t>QUIKSHOTS               MASCOT</t>
  </si>
  <si>
    <t>JUMBO TOM               Gladesville</t>
  </si>
  <si>
    <t>2Co.com</t>
  </si>
  <si>
    <t>E</t>
  </si>
  <si>
    <t>AAMI</t>
  </si>
  <si>
    <t>Prime Ad Free</t>
  </si>
  <si>
    <t>Z</t>
  </si>
  <si>
    <t>Amazon</t>
  </si>
  <si>
    <t>Post Office</t>
  </si>
  <si>
    <t>POSTAGE AND COURIERS</t>
  </si>
  <si>
    <t>COMPUTER SUBSCRIPTIOIN</t>
  </si>
  <si>
    <t>AMAZON</t>
  </si>
  <si>
    <t>BEAUTIFUL AI</t>
  </si>
  <si>
    <t>P</t>
  </si>
  <si>
    <t>BUSINESS</t>
  </si>
  <si>
    <t>PERSONAL</t>
  </si>
  <si>
    <t>DELETEME</t>
  </si>
  <si>
    <t>ANYTIME</t>
  </si>
  <si>
    <t>DESKY</t>
  </si>
  <si>
    <t>OFFICE FURNITURE</t>
  </si>
  <si>
    <t>B</t>
  </si>
  <si>
    <t>DIGITAL RIVER</t>
  </si>
  <si>
    <t>COMPUTER SOFTWARE</t>
  </si>
  <si>
    <t>DOUBLE TREE</t>
  </si>
  <si>
    <t>BRITANICA</t>
  </si>
  <si>
    <t>EBAY</t>
  </si>
  <si>
    <t>PT</t>
  </si>
  <si>
    <t>SMART IT</t>
  </si>
  <si>
    <t>COMPUTER SERVICES</t>
  </si>
  <si>
    <t xml:space="preserve"> FRAUDSEC</t>
  </si>
  <si>
    <t>GLADESVILLE RSL</t>
  </si>
  <si>
    <t>LEGAL</t>
  </si>
  <si>
    <t>INTERNET</t>
  </si>
  <si>
    <t>HARVEST</t>
  </si>
  <si>
    <t>HEALTH ADVICE</t>
  </si>
  <si>
    <t>MEDICAL-PHARMACY</t>
  </si>
  <si>
    <t>BANK FEES</t>
  </si>
  <si>
    <t>BAND FEES</t>
  </si>
  <si>
    <t>KINDLE</t>
  </si>
  <si>
    <t>BOOKS &amp; MAGAZINES</t>
  </si>
  <si>
    <t>LACHLANS SQ</t>
  </si>
  <si>
    <t>TOLLS AND PARKING</t>
  </si>
  <si>
    <t>BELLS M/BAR</t>
  </si>
  <si>
    <t>TRAVEL-DOM-MEALS</t>
  </si>
  <si>
    <t>MAX VALUE</t>
  </si>
  <si>
    <t>MCDONALDS</t>
  </si>
  <si>
    <t>A</t>
  </si>
  <si>
    <t>NAKED PASTOR</t>
  </si>
  <si>
    <t>NEWS CORP</t>
  </si>
  <si>
    <t>NY TIMES</t>
  </si>
  <si>
    <t>NEWSPAPERS &amp; MAGAZINES</t>
  </si>
  <si>
    <t>CHATGPT</t>
  </si>
  <si>
    <t>COMPUTER SUBSCRIPTION</t>
  </si>
  <si>
    <t>PAYPAL</t>
  </si>
  <si>
    <t>QUARTERLY</t>
  </si>
  <si>
    <t>QUICKSHOTS</t>
  </si>
  <si>
    <t>RESTRAURANT</t>
  </si>
  <si>
    <t>RYDE PHYSIO</t>
  </si>
  <si>
    <t>MEDICAL-PHYSIO</t>
  </si>
  <si>
    <t>SERVICE NSW</t>
  </si>
  <si>
    <t>MOTOR VEHICLE</t>
  </si>
  <si>
    <t>SPEEDWAY</t>
  </si>
  <si>
    <t>PETROL</t>
  </si>
  <si>
    <t>SYD PARKING</t>
  </si>
  <si>
    <t>MOBILE PHONE</t>
  </si>
  <si>
    <t>ACCOR</t>
  </si>
  <si>
    <t>TRAVEL-DOM-ACCOM</t>
  </si>
  <si>
    <t>OPAL</t>
  </si>
  <si>
    <t>PUBLIC TRANSPORT</t>
  </si>
  <si>
    <t>TRANSPORTNSW</t>
  </si>
  <si>
    <t>TOLL ROADS</t>
  </si>
  <si>
    <t>TAXI</t>
  </si>
  <si>
    <t>GST_Code</t>
  </si>
  <si>
    <t>UUSC</t>
  </si>
  <si>
    <t>MEBERSHIP FEE</t>
  </si>
  <si>
    <t>CITYCAVE</t>
  </si>
  <si>
    <t>AMAYSIM MOBILE PTY LTD  SYDNEY</t>
  </si>
  <si>
    <t>THE ASSOCIATION OF PROF WEST MELBOURNE</t>
  </si>
  <si>
    <t>TELSTRA BILL DIRECT DEB ADELAIDE</t>
  </si>
  <si>
    <t>SQUIRREL STREET         FRENCHS FOREST</t>
  </si>
  <si>
    <t>LINKEDIN                SYDNEY NSW</t>
  </si>
  <si>
    <t>ADOBE SYSTEMS Adobe Sys SAGGART</t>
  </si>
  <si>
    <t>INTEREST CHARGES</t>
  </si>
  <si>
    <t>LINKEDIN PRE 9923808543 SINGAPORE</t>
  </si>
  <si>
    <t>D J*WSJ                 800-568-7625</t>
  </si>
  <si>
    <t>RESMED                  BELLA VISTA</t>
  </si>
  <si>
    <t>CKO*PATREON* MEMBERSHIP DUBLIN</t>
  </si>
  <si>
    <t>SENZA ESPRESSO BAR      SYDNEY</t>
  </si>
  <si>
    <t>RED ENERGY              CREMORNE</t>
  </si>
  <si>
    <t>TEMU.COM                PARRAMATTA</t>
  </si>
  <si>
    <t>KURTOSH CROWS NEST 6346 CROWS NEST</t>
  </si>
  <si>
    <t>POCKETMAGS.COM          REIGATE, SURREY</t>
  </si>
  <si>
    <t>TEMU.COM*TEMU.COM       PARRAMATTA</t>
  </si>
  <si>
    <t>AMAYSIM</t>
  </si>
  <si>
    <t>PROF ENGINEERS</t>
  </si>
  <si>
    <t>PROFESSIONAL ASSOCIATION</t>
  </si>
  <si>
    <t>ADOBE</t>
  </si>
  <si>
    <t>BOX DMS</t>
  </si>
  <si>
    <t>BP FUEL</t>
  </si>
  <si>
    <t>CAFÉ</t>
  </si>
  <si>
    <t>CALM</t>
  </si>
  <si>
    <t>CHARLOTTES BH</t>
  </si>
  <si>
    <t>TECHSMITH</t>
  </si>
  <si>
    <t>RESOLUTTY</t>
  </si>
  <si>
    <t>WSJ</t>
  </si>
  <si>
    <t>INTEREST</t>
  </si>
  <si>
    <t>LINKEDIN</t>
  </si>
  <si>
    <t>LINKEDIN SIN</t>
  </si>
  <si>
    <t>RED ENERGY</t>
  </si>
  <si>
    <t>GAS/ELECTRICITY</t>
  </si>
  <si>
    <t>RESMED</t>
  </si>
  <si>
    <t>MEDICAL-OTHER</t>
  </si>
  <si>
    <t>SQUIRREL</t>
  </si>
  <si>
    <t>TEM</t>
  </si>
  <si>
    <t>TEMU</t>
  </si>
  <si>
    <t>INTEREST CHARGED ON PURCHASES</t>
  </si>
  <si>
    <t>Hunters Hill Medical      Hunters Hill</t>
  </si>
  <si>
    <t>JIAHE TRADING AUSTRALI    CHATSWOOD</t>
  </si>
  <si>
    <t>eBay O*04-12048-24288     San Jose  50.42  USD 2.27 AUD</t>
  </si>
  <si>
    <t>HUBBL - KAYO SPORTS       NORTH RYDE</t>
  </si>
  <si>
    <t>OF                        LONDON  16.49  USD 0.74 AUD</t>
  </si>
  <si>
    <t>CMEDIA                    6122345288  34.99  USD 1.58 AUD</t>
  </si>
  <si>
    <t>ERGON 1                   GLADESVILLE</t>
  </si>
  <si>
    <t>RYDE MART PTY LTD         NORTH RYDE</t>
  </si>
  <si>
    <t>AFTERPAY                  AFTERPAY.COM/</t>
  </si>
  <si>
    <t>LIVEN</t>
  </si>
  <si>
    <t>TRAINING AND DEVELOPMENT</t>
  </si>
  <si>
    <t>KAYO/HUBBL</t>
  </si>
  <si>
    <t xml:space="preserve">OF </t>
  </si>
  <si>
    <t>CMEDIA</t>
  </si>
  <si>
    <t>COMPUTER HARDWARE</t>
  </si>
  <si>
    <t>XPERT CARWASH MACQUARIE PAR</t>
  </si>
  <si>
    <t>AUTO LATE FEE REVERSAL</t>
  </si>
  <si>
    <t>LATE PAYMENT FEE</t>
  </si>
  <si>
    <t>WESTERN DISTRICT HEALT LITHGOW</t>
  </si>
  <si>
    <t>ASTERON LIFE SYDNEY</t>
  </si>
  <si>
    <t>RESOLUTION LIFE QB SYDNEY</t>
  </si>
  <si>
    <t>Hunters Hill Medical Werribee</t>
  </si>
  <si>
    <t>CATE MADILL VOICE MELBOURNE</t>
  </si>
  <si>
    <t>PETCOVER SOVEREIGN TULLAMARINE</t>
  </si>
  <si>
    <t>Zizanos North Ryde</t>
  </si>
  <si>
    <t>XPERT C/WASH</t>
  </si>
  <si>
    <t>MOTOR MAINTEENANCE</t>
  </si>
  <si>
    <t>LATE FEES</t>
  </si>
  <si>
    <t>WESTFUND</t>
  </si>
  <si>
    <t>HEALTH INSURANCE</t>
  </si>
  <si>
    <t>LIFE INSURANCE</t>
  </si>
  <si>
    <t>ASTERON</t>
  </si>
  <si>
    <t>RESOLUTION/AMP</t>
  </si>
  <si>
    <t>HHMP</t>
  </si>
  <si>
    <t>MEDICAL-DOCTOR</t>
  </si>
  <si>
    <t>MADILL VOICE</t>
  </si>
  <si>
    <t>MEDIAL-OTHER</t>
  </si>
  <si>
    <t>PETCOVER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</si>
</sst>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383A42"/>
      <name val="Menlo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3DE-9C9D-DA41-8F92-8BFE6A73EDAD}">
  <dimension ref="A1:K223"/>
  <sheetViews>
    <sheetView tabSelected="1" workbookViewId="0">
      <selection activeCell="K2" sqref="K2"/>
    </sheetView>
  </sheetViews>
  <sheetFormatPr baseColWidth="10" defaultRowHeight="16" x14ac:dyDescent="0.2"/>
  <cols>
    <col min="2" max="2" width="29.5" bestFit="1" customWidth="1"/>
    <col min="4" max="4" width="12.6640625" bestFit="1" customWidth="1"/>
    <col min="7" max="7" width="9.6640625" bestFit="1" customWidth="1"/>
    <col min="8" max="8" width="15.33203125" bestFit="1" customWidth="1"/>
    <col min="9" max="11" width="14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89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2">
        <v>45444</v>
      </c>
      <c r="B2" t="s">
        <v>90</v>
      </c>
      <c r="D2" t="s">
        <v>91</v>
      </c>
      <c r="E2" t="str" cm="1">
        <f t="array" ref="E2">IFERROR(INDEX(Merchant_Lookup!$C$2:$C$27,MATCH(TRUE,ISNUMBER(SEARCH(Merchant_Lookup!$A$2:$A$26,UPPER(B2))),0)),"NEEDS REVIEW")</f>
        <v>NEEDS REVIEW</v>
      </c>
      <c r="F2" t="str">
        <f>IF(E2="NEEDS REVIEW","",INDEX(Merchant_Lookup!$D$2:$D$27,MATCH(E2,Merchant_Lookup!$C$2:$C$27,0)))</f>
        <v/>
      </c>
      <c r="G2" t="str">
        <f>IF(E2="NEEDS REVIEW","",INDEX(Merchant_Lookup!$E$2:$E$27,MATCH(E2,Merchant_Lookup!$C$2:$C$27,0)))</f>
        <v/>
      </c>
      <c r="I2" t="str">
        <f>IF(H2&lt;&gt;"",H2,E2)</f>
        <v>NEEDS REVIEW</v>
      </c>
      <c r="J2" t="str">
        <f>IF(H2&lt;&gt;"",H2,E2)</f>
        <v>NEEDS REVIEW</v>
      </c>
      <c r="K2" t="str">
        <f>IF(I2&lt;&gt;"",I2,F2)</f>
        <v>NEEDS REVIEW</v>
      </c>
    </row>
    <row r="3" spans="1:11" x14ac:dyDescent="0.2">
      <c r="E3" t="str" cm="1">
        <f t="array" ref="E3">IFERROR(INDEX(Merchant_Lookup!$C$2:$C$27,MATCH(TRUE,ISNUMBER(SEARCH(Merchant_Lookup!$A$2:$A$26,UPPER(B3))),0)),"NEEDS REVIEW")</f>
        <v>NEEDS REVIEW</v>
      </c>
      <c r="F3" t="str">
        <f>IF(E3="NEEDS REVIEW","",INDEX(Merchant_Lookup!$D$2:$D$27,MATCH(E3,Merchant_Lookup!$C$2:$C$27,0)))</f>
        <v/>
      </c>
      <c r="G3" t="str">
        <f>IF(E3="NEEDS REVIEW","",INDEX(Merchant_Lookup!$E$2:$E$27,MATCH(E3,Merchant_Lookup!$C$2:$C$27,0)))</f>
        <v/>
      </c>
      <c r="I3" t="str">
        <f t="shared" ref="I3:I66" si="0">IF(H3&lt;&gt;"",H3,E3)</f>
        <v>NEEDS REVIEW</v>
      </c>
      <c r="J3" t="str">
        <f t="shared" ref="J3:J66" si="1">IF(H3&lt;&gt;"",H3,E3)</f>
        <v>NEEDS REVIEW</v>
      </c>
      <c r="K3" t="str">
        <f t="shared" ref="K3:K66" si="2">IF(I3&lt;&gt;"",I3,F3)</f>
        <v>NEEDS REVIEW</v>
      </c>
    </row>
    <row r="4" spans="1:11" x14ac:dyDescent="0.2">
      <c r="E4" t="str" cm="1">
        <f t="array" ref="E4">IFERROR(INDEX(Merchant_Lookup!$C$2:$C$27,MATCH(TRUE,ISNUMBER(SEARCH(Merchant_Lookup!$A$2:$A$26,UPPER(B4))),0)),"NEEDS REVIEW")</f>
        <v>NEEDS REVIEW</v>
      </c>
      <c r="F4" t="str">
        <f>IF(E4="NEEDS REVIEW","",INDEX(Merchant_Lookup!$D$2:$D$27,MATCH(E4,Merchant_Lookup!$C$2:$C$27,0)))</f>
        <v/>
      </c>
      <c r="G4" t="str">
        <f>IF(E4="NEEDS REVIEW","",INDEX(Merchant_Lookup!$E$2:$E$27,MATCH(E4,Merchant_Lookup!$C$2:$C$27,0)))</f>
        <v/>
      </c>
      <c r="I4" t="str">
        <f t="shared" si="0"/>
        <v>NEEDS REVIEW</v>
      </c>
      <c r="J4" t="str">
        <f t="shared" si="1"/>
        <v>NEEDS REVIEW</v>
      </c>
      <c r="K4" t="str">
        <f t="shared" si="2"/>
        <v>NEEDS REVIEW</v>
      </c>
    </row>
    <row r="5" spans="1:11" x14ac:dyDescent="0.2">
      <c r="E5" t="str" cm="1">
        <f t="array" ref="E5">IFERROR(INDEX(Merchant_Lookup!$C$2:$C$27,MATCH(TRUE,ISNUMBER(SEARCH(Merchant_Lookup!$A$2:$A$26,UPPER(B5))),0)),"NEEDS REVIEW")</f>
        <v>NEEDS REVIEW</v>
      </c>
      <c r="F5" t="str">
        <f>IF(E5="NEEDS REVIEW","",INDEX(Merchant_Lookup!$D$2:$D$27,MATCH(E5,Merchant_Lookup!$C$2:$C$27,0)))</f>
        <v/>
      </c>
      <c r="G5" t="str">
        <f>IF(E5="NEEDS REVIEW","",INDEX(Merchant_Lookup!$E$2:$E$27,MATCH(E5,Merchant_Lookup!$C$2:$C$27,0)))</f>
        <v/>
      </c>
      <c r="I5" t="str">
        <f t="shared" si="0"/>
        <v>NEEDS REVIEW</v>
      </c>
      <c r="J5" t="str">
        <f t="shared" si="1"/>
        <v>NEEDS REVIEW</v>
      </c>
      <c r="K5" t="str">
        <f t="shared" si="2"/>
        <v>NEEDS REVIEW</v>
      </c>
    </row>
    <row r="6" spans="1:11" x14ac:dyDescent="0.2">
      <c r="E6" t="str" cm="1">
        <f t="array" ref="E6">IFERROR(INDEX(Merchant_Lookup!$C$2:$C$27,MATCH(TRUE,ISNUMBER(SEARCH(Merchant_Lookup!$A$2:$A$26,UPPER(B6))),0)),"NEEDS REVIEW")</f>
        <v>NEEDS REVIEW</v>
      </c>
      <c r="F6" t="str">
        <f>IF(E6="NEEDS REVIEW","",INDEX(Merchant_Lookup!$D$2:$D$27,MATCH(E6,Merchant_Lookup!$C$2:$C$27,0)))</f>
        <v/>
      </c>
      <c r="G6" t="str">
        <f>IF(E6="NEEDS REVIEW","",INDEX(Merchant_Lookup!$E$2:$E$27,MATCH(E6,Merchant_Lookup!$C$2:$C$27,0)))</f>
        <v/>
      </c>
      <c r="I6" t="str">
        <f t="shared" si="0"/>
        <v>NEEDS REVIEW</v>
      </c>
      <c r="J6" t="str">
        <f t="shared" si="1"/>
        <v>NEEDS REVIEW</v>
      </c>
      <c r="K6" t="str">
        <f t="shared" si="2"/>
        <v>NEEDS REVIEW</v>
      </c>
    </row>
    <row r="7" spans="1:11" x14ac:dyDescent="0.2">
      <c r="E7" t="str" cm="1">
        <f t="array" ref="E7">IFERROR(INDEX(Merchant_Lookup!$C$2:$C$27,MATCH(TRUE,ISNUMBER(SEARCH(Merchant_Lookup!$A$2:$A$26,UPPER(B7))),0)),"NEEDS REVIEW")</f>
        <v>NEEDS REVIEW</v>
      </c>
      <c r="F7" t="str">
        <f>IF(E7="NEEDS REVIEW","",INDEX(Merchant_Lookup!$D$2:$D$27,MATCH(E7,Merchant_Lookup!$C$2:$C$27,0)))</f>
        <v/>
      </c>
      <c r="G7" t="str">
        <f>IF(E7="NEEDS REVIEW","",INDEX(Merchant_Lookup!$E$2:$E$27,MATCH(E7,Merchant_Lookup!$C$2:$C$27,0)))</f>
        <v/>
      </c>
      <c r="I7" t="str">
        <f t="shared" si="0"/>
        <v>NEEDS REVIEW</v>
      </c>
      <c r="J7" t="str">
        <f t="shared" si="1"/>
        <v>NEEDS REVIEW</v>
      </c>
      <c r="K7" t="str">
        <f t="shared" si="2"/>
        <v>NEEDS REVIEW</v>
      </c>
    </row>
    <row r="8" spans="1:11" x14ac:dyDescent="0.2">
      <c r="E8" t="str" cm="1">
        <f t="array" ref="E8">IFERROR(INDEX(Merchant_Lookup!$C$2:$C$27,MATCH(TRUE,ISNUMBER(SEARCH(Merchant_Lookup!$A$2:$A$26,UPPER(B8))),0)),"NEEDS REVIEW")</f>
        <v>NEEDS REVIEW</v>
      </c>
      <c r="F8" t="str">
        <f>IF(E8="NEEDS REVIEW","",INDEX(Merchant_Lookup!$D$2:$D$27,MATCH(E8,Merchant_Lookup!$C$2:$C$27,0)))</f>
        <v/>
      </c>
      <c r="G8" t="str">
        <f>IF(E8="NEEDS REVIEW","",INDEX(Merchant_Lookup!$E$2:$E$27,MATCH(E8,Merchant_Lookup!$C$2:$C$27,0)))</f>
        <v/>
      </c>
      <c r="I8" t="str">
        <f t="shared" si="0"/>
        <v>NEEDS REVIEW</v>
      </c>
      <c r="J8" t="str">
        <f t="shared" si="1"/>
        <v>NEEDS REVIEW</v>
      </c>
      <c r="K8" t="str">
        <f t="shared" si="2"/>
        <v>NEEDS REVIEW</v>
      </c>
    </row>
    <row r="9" spans="1:11" x14ac:dyDescent="0.2">
      <c r="E9" t="str" cm="1">
        <f t="array" ref="E9">IFERROR(INDEX(Merchant_Lookup!$C$2:$C$27,MATCH(TRUE,ISNUMBER(SEARCH(Merchant_Lookup!$A$2:$A$26,UPPER(B9))),0)),"NEEDS REVIEW")</f>
        <v>NEEDS REVIEW</v>
      </c>
      <c r="F9" t="str">
        <f>IF(E9="NEEDS REVIEW","",INDEX(Merchant_Lookup!$D$2:$D$27,MATCH(E9,Merchant_Lookup!$C$2:$C$27,0)))</f>
        <v/>
      </c>
      <c r="G9" t="str">
        <f>IF(E9="NEEDS REVIEW","",INDEX(Merchant_Lookup!$E$2:$E$27,MATCH(E9,Merchant_Lookup!$C$2:$C$27,0)))</f>
        <v/>
      </c>
      <c r="I9" t="str">
        <f t="shared" si="0"/>
        <v>NEEDS REVIEW</v>
      </c>
      <c r="J9" t="str">
        <f t="shared" si="1"/>
        <v>NEEDS REVIEW</v>
      </c>
      <c r="K9" t="str">
        <f t="shared" si="2"/>
        <v>NEEDS REVIEW</v>
      </c>
    </row>
    <row r="10" spans="1:11" x14ac:dyDescent="0.2">
      <c r="E10" t="str" cm="1">
        <f t="array" ref="E10">IFERROR(INDEX(Merchant_Lookup!$C$2:$C$27,MATCH(TRUE,ISNUMBER(SEARCH(Merchant_Lookup!$A$2:$A$26,UPPER(B10))),0)),"NEEDS REVIEW")</f>
        <v>NEEDS REVIEW</v>
      </c>
      <c r="F10" t="str">
        <f>IF(E10="NEEDS REVIEW","",INDEX(Merchant_Lookup!$D$2:$D$27,MATCH(E10,Merchant_Lookup!$C$2:$C$27,0)))</f>
        <v/>
      </c>
      <c r="G10" t="str">
        <f>IF(E10="NEEDS REVIEW","",INDEX(Merchant_Lookup!$E$2:$E$27,MATCH(E10,Merchant_Lookup!$C$2:$C$27,0)))</f>
        <v/>
      </c>
      <c r="I10" t="str">
        <f t="shared" si="0"/>
        <v>NEEDS REVIEW</v>
      </c>
      <c r="J10" t="str">
        <f t="shared" si="1"/>
        <v>NEEDS REVIEW</v>
      </c>
      <c r="K10" t="str">
        <f t="shared" si="2"/>
        <v>NEEDS REVIEW</v>
      </c>
    </row>
    <row r="11" spans="1:11" x14ac:dyDescent="0.2">
      <c r="E11" t="str" cm="1">
        <f t="array" ref="E11">IFERROR(INDEX(Merchant_Lookup!$C$2:$C$27,MATCH(TRUE,ISNUMBER(SEARCH(Merchant_Lookup!$A$2:$A$26,UPPER(B11))),0)),"NEEDS REVIEW")</f>
        <v>NEEDS REVIEW</v>
      </c>
      <c r="F11" t="str">
        <f>IF(E11="NEEDS REVIEW","",INDEX(Merchant_Lookup!$D$2:$D$27,MATCH(E11,Merchant_Lookup!$C$2:$C$27,0)))</f>
        <v/>
      </c>
      <c r="G11" t="str">
        <f>IF(E11="NEEDS REVIEW","",INDEX(Merchant_Lookup!$E$2:$E$27,MATCH(E11,Merchant_Lookup!$C$2:$C$27,0)))</f>
        <v/>
      </c>
      <c r="I11" t="str">
        <f t="shared" si="0"/>
        <v>NEEDS REVIEW</v>
      </c>
      <c r="J11" t="str">
        <f t="shared" si="1"/>
        <v>NEEDS REVIEW</v>
      </c>
      <c r="K11" t="str">
        <f t="shared" si="2"/>
        <v>NEEDS REVIEW</v>
      </c>
    </row>
    <row r="12" spans="1:11" x14ac:dyDescent="0.2">
      <c r="E12" t="str" cm="1">
        <f t="array" ref="E12">IFERROR(INDEX(Merchant_Lookup!$C$2:$C$27,MATCH(TRUE,ISNUMBER(SEARCH(Merchant_Lookup!$A$2:$A$26,UPPER(B12))),0)),"NEEDS REVIEW")</f>
        <v>NEEDS REVIEW</v>
      </c>
      <c r="F12" t="str">
        <f>IF(E12="NEEDS REVIEW","",INDEX(Merchant_Lookup!$D$2:$D$27,MATCH(E12,Merchant_Lookup!$C$2:$C$27,0)))</f>
        <v/>
      </c>
      <c r="G12" t="str">
        <f>IF(E12="NEEDS REVIEW","",INDEX(Merchant_Lookup!$E$2:$E$27,MATCH(E12,Merchant_Lookup!$C$2:$C$27,0)))</f>
        <v/>
      </c>
      <c r="I12" t="str">
        <f t="shared" si="0"/>
        <v>NEEDS REVIEW</v>
      </c>
      <c r="J12" t="str">
        <f t="shared" si="1"/>
        <v>NEEDS REVIEW</v>
      </c>
      <c r="K12" t="str">
        <f t="shared" si="2"/>
        <v>NEEDS REVIEW</v>
      </c>
    </row>
    <row r="13" spans="1:11" x14ac:dyDescent="0.2">
      <c r="E13" t="str" cm="1">
        <f t="array" ref="E13">IFERROR(INDEX(Merchant_Lookup!$C$2:$C$27,MATCH(TRUE,ISNUMBER(SEARCH(Merchant_Lookup!$A$2:$A$26,UPPER(B13))),0)),"NEEDS REVIEW")</f>
        <v>NEEDS REVIEW</v>
      </c>
      <c r="F13" t="str">
        <f>IF(E13="NEEDS REVIEW","",INDEX(Merchant_Lookup!$D$2:$D$27,MATCH(E13,Merchant_Lookup!$C$2:$C$27,0)))</f>
        <v/>
      </c>
      <c r="G13" t="str">
        <f>IF(E13="NEEDS REVIEW","",INDEX(Merchant_Lookup!$E$2:$E$27,MATCH(E13,Merchant_Lookup!$C$2:$C$27,0)))</f>
        <v/>
      </c>
      <c r="I13" t="str">
        <f t="shared" si="0"/>
        <v>NEEDS REVIEW</v>
      </c>
      <c r="J13" t="str">
        <f t="shared" si="1"/>
        <v>NEEDS REVIEW</v>
      </c>
      <c r="K13" t="str">
        <f t="shared" si="2"/>
        <v>NEEDS REVIEW</v>
      </c>
    </row>
    <row r="14" spans="1:11" x14ac:dyDescent="0.2">
      <c r="E14" t="str" cm="1">
        <f t="array" ref="E14">IFERROR(INDEX(Merchant_Lookup!$C$2:$C$27,MATCH(TRUE,ISNUMBER(SEARCH(Merchant_Lookup!$A$2:$A$26,UPPER(B14))),0)),"NEEDS REVIEW")</f>
        <v>NEEDS REVIEW</v>
      </c>
      <c r="F14" t="str">
        <f>IF(E14="NEEDS REVIEW","",INDEX(Merchant_Lookup!$D$2:$D$27,MATCH(E14,Merchant_Lookup!$C$2:$C$27,0)))</f>
        <v/>
      </c>
      <c r="G14" t="str">
        <f>IF(E14="NEEDS REVIEW","",INDEX(Merchant_Lookup!$E$2:$E$27,MATCH(E14,Merchant_Lookup!$C$2:$C$27,0)))</f>
        <v/>
      </c>
      <c r="I14" t="str">
        <f t="shared" si="0"/>
        <v>NEEDS REVIEW</v>
      </c>
      <c r="J14" t="str">
        <f t="shared" si="1"/>
        <v>NEEDS REVIEW</v>
      </c>
      <c r="K14" t="str">
        <f t="shared" si="2"/>
        <v>NEEDS REVIEW</v>
      </c>
    </row>
    <row r="15" spans="1:11" x14ac:dyDescent="0.2">
      <c r="E15" t="str" cm="1">
        <f t="array" ref="E15">IFERROR(INDEX(Merchant_Lookup!$C$2:$C$27,MATCH(TRUE,ISNUMBER(SEARCH(Merchant_Lookup!$A$2:$A$26,UPPER(B15))),0)),"NEEDS REVIEW")</f>
        <v>NEEDS REVIEW</v>
      </c>
      <c r="F15" t="str">
        <f>IF(E15="NEEDS REVIEW","",INDEX(Merchant_Lookup!$D$2:$D$27,MATCH(E15,Merchant_Lookup!$C$2:$C$27,0)))</f>
        <v/>
      </c>
      <c r="G15" t="str">
        <f>IF(E15="NEEDS REVIEW","",INDEX(Merchant_Lookup!$E$2:$E$27,MATCH(E15,Merchant_Lookup!$C$2:$C$27,0)))</f>
        <v/>
      </c>
      <c r="I15" t="str">
        <f t="shared" si="0"/>
        <v>NEEDS REVIEW</v>
      </c>
      <c r="J15" t="str">
        <f t="shared" si="1"/>
        <v>NEEDS REVIEW</v>
      </c>
      <c r="K15" t="str">
        <f t="shared" si="2"/>
        <v>NEEDS REVIEW</v>
      </c>
    </row>
    <row r="16" spans="1:11" x14ac:dyDescent="0.2">
      <c r="E16" t="str" cm="1">
        <f t="array" ref="E16">IFERROR(INDEX(Merchant_Lookup!$C$2:$C$27,MATCH(TRUE,ISNUMBER(SEARCH(Merchant_Lookup!$A$2:$A$26,UPPER(B16))),0)),"NEEDS REVIEW")</f>
        <v>NEEDS REVIEW</v>
      </c>
      <c r="F16" t="str">
        <f>IF(E16="NEEDS REVIEW","",INDEX(Merchant_Lookup!$D$2:$D$27,MATCH(E16,Merchant_Lookup!$C$2:$C$27,0)))</f>
        <v/>
      </c>
      <c r="G16" t="str">
        <f>IF(E16="NEEDS REVIEW","",INDEX(Merchant_Lookup!$E$2:$E$27,MATCH(E16,Merchant_Lookup!$C$2:$C$27,0)))</f>
        <v/>
      </c>
      <c r="I16" t="str">
        <f t="shared" si="0"/>
        <v>NEEDS REVIEW</v>
      </c>
      <c r="J16" t="str">
        <f t="shared" si="1"/>
        <v>NEEDS REVIEW</v>
      </c>
      <c r="K16" t="str">
        <f t="shared" si="2"/>
        <v>NEEDS REVIEW</v>
      </c>
    </row>
    <row r="17" spans="5:11" x14ac:dyDescent="0.2">
      <c r="E17" t="str" cm="1">
        <f t="array" ref="E17">IFERROR(INDEX(Merchant_Lookup!$C$2:$C$27,MATCH(TRUE,ISNUMBER(SEARCH(Merchant_Lookup!$A$2:$A$26,UPPER(B17))),0)),"NEEDS REVIEW")</f>
        <v>NEEDS REVIEW</v>
      </c>
      <c r="F17" t="str">
        <f>IF(E17="NEEDS REVIEW","",INDEX(Merchant_Lookup!$D$2:$D$27,MATCH(E17,Merchant_Lookup!$C$2:$C$27,0)))</f>
        <v/>
      </c>
      <c r="G17" t="str">
        <f>IF(E17="NEEDS REVIEW","",INDEX(Merchant_Lookup!$E$2:$E$27,MATCH(E17,Merchant_Lookup!$C$2:$C$27,0)))</f>
        <v/>
      </c>
      <c r="I17" t="str">
        <f t="shared" si="0"/>
        <v>NEEDS REVIEW</v>
      </c>
      <c r="J17" t="str">
        <f t="shared" si="1"/>
        <v>NEEDS REVIEW</v>
      </c>
      <c r="K17" t="str">
        <f t="shared" si="2"/>
        <v>NEEDS REVIEW</v>
      </c>
    </row>
    <row r="18" spans="5:11" x14ac:dyDescent="0.2">
      <c r="E18" t="str" cm="1">
        <f t="array" ref="E18">IFERROR(INDEX(Merchant_Lookup!$C$2:$C$27,MATCH(TRUE,ISNUMBER(SEARCH(Merchant_Lookup!$A$2:$A$26,UPPER(B18))),0)),"NEEDS REVIEW")</f>
        <v>NEEDS REVIEW</v>
      </c>
      <c r="F18" t="str">
        <f>IF(E18="NEEDS REVIEW","",INDEX(Merchant_Lookup!$D$2:$D$27,MATCH(E18,Merchant_Lookup!$C$2:$C$27,0)))</f>
        <v/>
      </c>
      <c r="G18" t="str">
        <f>IF(E18="NEEDS REVIEW","",INDEX(Merchant_Lookup!$E$2:$E$27,MATCH(E18,Merchant_Lookup!$C$2:$C$27,0)))</f>
        <v/>
      </c>
      <c r="I18" t="str">
        <f t="shared" si="0"/>
        <v>NEEDS REVIEW</v>
      </c>
      <c r="J18" t="str">
        <f t="shared" si="1"/>
        <v>NEEDS REVIEW</v>
      </c>
      <c r="K18" t="str">
        <f t="shared" si="2"/>
        <v>NEEDS REVIEW</v>
      </c>
    </row>
    <row r="19" spans="5:11" x14ac:dyDescent="0.2">
      <c r="E19" t="str" cm="1">
        <f t="array" ref="E19">IFERROR(INDEX(Merchant_Lookup!$C$2:$C$27,MATCH(TRUE,ISNUMBER(SEARCH(Merchant_Lookup!$A$2:$A$26,UPPER(B19))),0)),"NEEDS REVIEW")</f>
        <v>NEEDS REVIEW</v>
      </c>
      <c r="F19" t="str">
        <f>IF(E19="NEEDS REVIEW","",INDEX(Merchant_Lookup!$D$2:$D$27,MATCH(E19,Merchant_Lookup!$C$2:$C$27,0)))</f>
        <v/>
      </c>
      <c r="G19" t="str">
        <f>IF(E19="NEEDS REVIEW","",INDEX(Merchant_Lookup!$E$2:$E$27,MATCH(E19,Merchant_Lookup!$C$2:$C$27,0)))</f>
        <v/>
      </c>
      <c r="I19" t="str">
        <f t="shared" si="0"/>
        <v>NEEDS REVIEW</v>
      </c>
      <c r="J19" t="str">
        <f t="shared" si="1"/>
        <v>NEEDS REVIEW</v>
      </c>
      <c r="K19" t="str">
        <f t="shared" si="2"/>
        <v>NEEDS REVIEW</v>
      </c>
    </row>
    <row r="20" spans="5:11" x14ac:dyDescent="0.2">
      <c r="E20" t="str" cm="1">
        <f t="array" ref="E20">IFERROR(INDEX(Merchant_Lookup!$C$2:$C$27,MATCH(TRUE,ISNUMBER(SEARCH(Merchant_Lookup!$A$2:$A$26,UPPER(B20))),0)),"NEEDS REVIEW")</f>
        <v>NEEDS REVIEW</v>
      </c>
      <c r="F20" t="str">
        <f>IF(E20="NEEDS REVIEW","",INDEX(Merchant_Lookup!$D$2:$D$27,MATCH(E20,Merchant_Lookup!$C$2:$C$27,0)))</f>
        <v/>
      </c>
      <c r="G20" t="str">
        <f>IF(E20="NEEDS REVIEW","",INDEX(Merchant_Lookup!$E$2:$E$27,MATCH(E20,Merchant_Lookup!$C$2:$C$27,0)))</f>
        <v/>
      </c>
      <c r="I20" t="str">
        <f t="shared" si="0"/>
        <v>NEEDS REVIEW</v>
      </c>
      <c r="J20" t="str">
        <f t="shared" si="1"/>
        <v>NEEDS REVIEW</v>
      </c>
      <c r="K20" t="str">
        <f t="shared" si="2"/>
        <v>NEEDS REVIEW</v>
      </c>
    </row>
    <row r="21" spans="5:11" x14ac:dyDescent="0.2">
      <c r="E21" t="str" cm="1">
        <f t="array" ref="E21">IFERROR(INDEX(Merchant_Lookup!$C$2:$C$27,MATCH(TRUE,ISNUMBER(SEARCH(Merchant_Lookup!$A$2:$A$26,UPPER(B21))),0)),"NEEDS REVIEW")</f>
        <v>NEEDS REVIEW</v>
      </c>
      <c r="F21" t="str">
        <f>IF(E21="NEEDS REVIEW","",INDEX(Merchant_Lookup!$D$2:$D$27,MATCH(E21,Merchant_Lookup!$C$2:$C$27,0)))</f>
        <v/>
      </c>
      <c r="G21" t="str">
        <f>IF(E21="NEEDS REVIEW","",INDEX(Merchant_Lookup!$E$2:$E$27,MATCH(E21,Merchant_Lookup!$C$2:$C$27,0)))</f>
        <v/>
      </c>
      <c r="I21" t="str">
        <f t="shared" si="0"/>
        <v>NEEDS REVIEW</v>
      </c>
      <c r="J21" t="str">
        <f t="shared" si="1"/>
        <v>NEEDS REVIEW</v>
      </c>
      <c r="K21" t="str">
        <f t="shared" si="2"/>
        <v>NEEDS REVIEW</v>
      </c>
    </row>
    <row r="22" spans="5:11" x14ac:dyDescent="0.2">
      <c r="E22" t="str" cm="1">
        <f t="array" ref="E22">IFERROR(INDEX(Merchant_Lookup!$C$2:$C$27,MATCH(TRUE,ISNUMBER(SEARCH(Merchant_Lookup!$A$2:$A$26,UPPER(B22))),0)),"NEEDS REVIEW")</f>
        <v>NEEDS REVIEW</v>
      </c>
      <c r="F22" t="str">
        <f>IF(E22="NEEDS REVIEW","",INDEX(Merchant_Lookup!$D$2:$D$27,MATCH(E22,Merchant_Lookup!$C$2:$C$27,0)))</f>
        <v/>
      </c>
      <c r="G22" t="str">
        <f>IF(E22="NEEDS REVIEW","",INDEX(Merchant_Lookup!$E$2:$E$27,MATCH(E22,Merchant_Lookup!$C$2:$C$27,0)))</f>
        <v/>
      </c>
      <c r="I22" t="str">
        <f t="shared" si="0"/>
        <v>NEEDS REVIEW</v>
      </c>
      <c r="J22" t="str">
        <f t="shared" si="1"/>
        <v>NEEDS REVIEW</v>
      </c>
      <c r="K22" t="str">
        <f t="shared" si="2"/>
        <v>NEEDS REVIEW</v>
      </c>
    </row>
    <row r="23" spans="5:11" x14ac:dyDescent="0.2">
      <c r="E23" t="str" cm="1">
        <f t="array" ref="E23">IFERROR(INDEX(Merchant_Lookup!$C$2:$C$27,MATCH(TRUE,ISNUMBER(SEARCH(Merchant_Lookup!$A$2:$A$26,UPPER(B23))),0)),"NEEDS REVIEW")</f>
        <v>NEEDS REVIEW</v>
      </c>
      <c r="F23" t="str">
        <f>IF(E23="NEEDS REVIEW","",INDEX(Merchant_Lookup!$D$2:$D$27,MATCH(E23,Merchant_Lookup!$C$2:$C$27,0)))</f>
        <v/>
      </c>
      <c r="G23" t="str">
        <f>IF(E23="NEEDS REVIEW","",INDEX(Merchant_Lookup!$E$2:$E$27,MATCH(E23,Merchant_Lookup!$C$2:$C$27,0)))</f>
        <v/>
      </c>
      <c r="I23" t="str">
        <f t="shared" si="0"/>
        <v>NEEDS REVIEW</v>
      </c>
      <c r="J23" t="str">
        <f t="shared" si="1"/>
        <v>NEEDS REVIEW</v>
      </c>
      <c r="K23" t="str">
        <f t="shared" si="2"/>
        <v>NEEDS REVIEW</v>
      </c>
    </row>
    <row r="24" spans="5:11" x14ac:dyDescent="0.2">
      <c r="E24" t="str" cm="1">
        <f t="array" ref="E24">IFERROR(INDEX(Merchant_Lookup!$C$2:$C$27,MATCH(TRUE,ISNUMBER(SEARCH(Merchant_Lookup!$A$2:$A$26,UPPER(B24))),0)),"NEEDS REVIEW")</f>
        <v>NEEDS REVIEW</v>
      </c>
      <c r="F24" t="str">
        <f>IF(E24="NEEDS REVIEW","",INDEX(Merchant_Lookup!$D$2:$D$27,MATCH(E24,Merchant_Lookup!$C$2:$C$27,0)))</f>
        <v/>
      </c>
      <c r="G24" t="str">
        <f>IF(E24="NEEDS REVIEW","",INDEX(Merchant_Lookup!$E$2:$E$27,MATCH(E24,Merchant_Lookup!$C$2:$C$27,0)))</f>
        <v/>
      </c>
      <c r="I24" t="str">
        <f t="shared" si="0"/>
        <v>NEEDS REVIEW</v>
      </c>
      <c r="J24" t="str">
        <f t="shared" si="1"/>
        <v>NEEDS REVIEW</v>
      </c>
      <c r="K24" t="str">
        <f t="shared" si="2"/>
        <v>NEEDS REVIEW</v>
      </c>
    </row>
    <row r="25" spans="5:11" x14ac:dyDescent="0.2">
      <c r="E25" t="str" cm="1">
        <f t="array" ref="E25">IFERROR(INDEX(Merchant_Lookup!$C$2:$C$27,MATCH(TRUE,ISNUMBER(SEARCH(Merchant_Lookup!$A$2:$A$26,UPPER(B25))),0)),"NEEDS REVIEW")</f>
        <v>NEEDS REVIEW</v>
      </c>
      <c r="F25" t="str">
        <f>IF(E25="NEEDS REVIEW","",INDEX(Merchant_Lookup!$D$2:$D$27,MATCH(E25,Merchant_Lookup!$C$2:$C$27,0)))</f>
        <v/>
      </c>
      <c r="G25" t="str">
        <f>IF(E25="NEEDS REVIEW","",INDEX(Merchant_Lookup!$E$2:$E$27,MATCH(E25,Merchant_Lookup!$C$2:$C$27,0)))</f>
        <v/>
      </c>
      <c r="I25" t="str">
        <f t="shared" si="0"/>
        <v>NEEDS REVIEW</v>
      </c>
      <c r="J25" t="str">
        <f t="shared" si="1"/>
        <v>NEEDS REVIEW</v>
      </c>
      <c r="K25" t="str">
        <f t="shared" si="2"/>
        <v>NEEDS REVIEW</v>
      </c>
    </row>
    <row r="26" spans="5:11" x14ac:dyDescent="0.2">
      <c r="E26" t="str" cm="1">
        <f t="array" ref="E26">IFERROR(INDEX(Merchant_Lookup!$C$2:$C$27,MATCH(TRUE,ISNUMBER(SEARCH(Merchant_Lookup!$A$2:$A$26,UPPER(B26))),0)),"NEEDS REVIEW")</f>
        <v>NEEDS REVIEW</v>
      </c>
      <c r="F26" t="str">
        <f>IF(E26="NEEDS REVIEW","",INDEX(Merchant_Lookup!$D$2:$D$27,MATCH(E26,Merchant_Lookup!$C$2:$C$27,0)))</f>
        <v/>
      </c>
      <c r="G26" t="str">
        <f>IF(E26="NEEDS REVIEW","",INDEX(Merchant_Lookup!$E$2:$E$27,MATCH(E26,Merchant_Lookup!$C$2:$C$27,0)))</f>
        <v/>
      </c>
      <c r="I26" t="str">
        <f t="shared" si="0"/>
        <v>NEEDS REVIEW</v>
      </c>
      <c r="J26" t="str">
        <f t="shared" si="1"/>
        <v>NEEDS REVIEW</v>
      </c>
      <c r="K26" t="str">
        <f t="shared" si="2"/>
        <v>NEEDS REVIEW</v>
      </c>
    </row>
    <row r="27" spans="5:11" x14ac:dyDescent="0.2">
      <c r="E27" t="str" cm="1">
        <f t="array" ref="E27">IFERROR(INDEX(Merchant_Lookup!$C$2:$C$27,MATCH(TRUE,ISNUMBER(SEARCH(Merchant_Lookup!$A$2:$A$26,UPPER(B27))),0)),"NEEDS REVIEW")</f>
        <v>NEEDS REVIEW</v>
      </c>
      <c r="F27" t="str">
        <f>IF(E27="NEEDS REVIEW","",INDEX(Merchant_Lookup!$D$2:$D$27,MATCH(E27,Merchant_Lookup!$C$2:$C$27,0)))</f>
        <v/>
      </c>
      <c r="G27" t="str">
        <f>IF(E27="NEEDS REVIEW","",INDEX(Merchant_Lookup!$E$2:$E$27,MATCH(E27,Merchant_Lookup!$C$2:$C$27,0)))</f>
        <v/>
      </c>
      <c r="I27" t="str">
        <f t="shared" si="0"/>
        <v>NEEDS REVIEW</v>
      </c>
      <c r="J27" t="str">
        <f t="shared" si="1"/>
        <v>NEEDS REVIEW</v>
      </c>
      <c r="K27" t="str">
        <f t="shared" si="2"/>
        <v>NEEDS REVIEW</v>
      </c>
    </row>
    <row r="28" spans="5:11" x14ac:dyDescent="0.2">
      <c r="E28" t="str" cm="1">
        <f t="array" ref="E28">IFERROR(INDEX(Merchant_Lookup!$C$2:$C$27,MATCH(TRUE,ISNUMBER(SEARCH(Merchant_Lookup!$A$2:$A$26,UPPER(B28))),0)),"NEEDS REVIEW")</f>
        <v>NEEDS REVIEW</v>
      </c>
      <c r="F28" t="str">
        <f>IF(E28="NEEDS REVIEW","",INDEX(Merchant_Lookup!$D$2:$D$27,MATCH(E28,Merchant_Lookup!$C$2:$C$27,0)))</f>
        <v/>
      </c>
      <c r="G28" t="str">
        <f>IF(E28="NEEDS REVIEW","",INDEX(Merchant_Lookup!$E$2:$E$27,MATCH(E28,Merchant_Lookup!$C$2:$C$27,0)))</f>
        <v/>
      </c>
      <c r="I28" t="str">
        <f t="shared" si="0"/>
        <v>NEEDS REVIEW</v>
      </c>
      <c r="J28" t="str">
        <f t="shared" si="1"/>
        <v>NEEDS REVIEW</v>
      </c>
      <c r="K28" t="str">
        <f t="shared" si="2"/>
        <v>NEEDS REVIEW</v>
      </c>
    </row>
    <row r="29" spans="5:11" x14ac:dyDescent="0.2">
      <c r="E29" t="str" cm="1">
        <f t="array" ref="E29">IFERROR(INDEX(Merchant_Lookup!$C$2:$C$27,MATCH(TRUE,ISNUMBER(SEARCH(Merchant_Lookup!$A$2:$A$26,UPPER(B29))),0)),"NEEDS REVIEW")</f>
        <v>NEEDS REVIEW</v>
      </c>
      <c r="F29" t="str">
        <f>IF(E29="NEEDS REVIEW","",INDEX(Merchant_Lookup!$D$2:$D$27,MATCH(E29,Merchant_Lookup!$C$2:$C$27,0)))</f>
        <v/>
      </c>
      <c r="G29" t="str">
        <f>IF(E29="NEEDS REVIEW","",INDEX(Merchant_Lookup!$E$2:$E$27,MATCH(E29,Merchant_Lookup!$C$2:$C$27,0)))</f>
        <v/>
      </c>
      <c r="I29" t="str">
        <f t="shared" si="0"/>
        <v>NEEDS REVIEW</v>
      </c>
      <c r="J29" t="str">
        <f t="shared" si="1"/>
        <v>NEEDS REVIEW</v>
      </c>
      <c r="K29" t="str">
        <f t="shared" si="2"/>
        <v>NEEDS REVIEW</v>
      </c>
    </row>
    <row r="30" spans="5:11" x14ac:dyDescent="0.2">
      <c r="E30" t="str" cm="1">
        <f t="array" ref="E30">IFERROR(INDEX(Merchant_Lookup!$C$2:$C$27,MATCH(TRUE,ISNUMBER(SEARCH(Merchant_Lookup!$A$2:$A$26,UPPER(B30))),0)),"NEEDS REVIEW")</f>
        <v>NEEDS REVIEW</v>
      </c>
      <c r="F30" t="str">
        <f>IF(E30="NEEDS REVIEW","",INDEX(Merchant_Lookup!$D$2:$D$27,MATCH(E30,Merchant_Lookup!$C$2:$C$27,0)))</f>
        <v/>
      </c>
      <c r="G30" t="str">
        <f>IF(E30="NEEDS REVIEW","",INDEX(Merchant_Lookup!$E$2:$E$27,MATCH(E30,Merchant_Lookup!$C$2:$C$27,0)))</f>
        <v/>
      </c>
      <c r="I30" t="str">
        <f t="shared" si="0"/>
        <v>NEEDS REVIEW</v>
      </c>
      <c r="J30" t="str">
        <f t="shared" si="1"/>
        <v>NEEDS REVIEW</v>
      </c>
      <c r="K30" t="str">
        <f t="shared" si="2"/>
        <v>NEEDS REVIEW</v>
      </c>
    </row>
    <row r="31" spans="5:11" x14ac:dyDescent="0.2">
      <c r="E31" t="str" cm="1">
        <f t="array" ref="E31">IFERROR(INDEX(Merchant_Lookup!$C$2:$C$27,MATCH(TRUE,ISNUMBER(SEARCH(Merchant_Lookup!$A$2:$A$26,UPPER(B31))),0)),"NEEDS REVIEW")</f>
        <v>NEEDS REVIEW</v>
      </c>
      <c r="F31" t="str">
        <f>IF(E31="NEEDS REVIEW","",INDEX(Merchant_Lookup!$D$2:$D$27,MATCH(E31,Merchant_Lookup!$C$2:$C$27,0)))</f>
        <v/>
      </c>
      <c r="G31" t="str">
        <f>IF(E31="NEEDS REVIEW","",INDEX(Merchant_Lookup!$E$2:$E$27,MATCH(E31,Merchant_Lookup!$C$2:$C$27,0)))</f>
        <v/>
      </c>
      <c r="I31" t="str">
        <f t="shared" si="0"/>
        <v>NEEDS REVIEW</v>
      </c>
      <c r="J31" t="str">
        <f t="shared" si="1"/>
        <v>NEEDS REVIEW</v>
      </c>
      <c r="K31" t="str">
        <f t="shared" si="2"/>
        <v>NEEDS REVIEW</v>
      </c>
    </row>
    <row r="32" spans="5:11" x14ac:dyDescent="0.2">
      <c r="E32" t="str" cm="1">
        <f t="array" ref="E32">IFERROR(INDEX(Merchant_Lookup!$C$2:$C$27,MATCH(TRUE,ISNUMBER(SEARCH(Merchant_Lookup!$A$2:$A$26,UPPER(B32))),0)),"NEEDS REVIEW")</f>
        <v>NEEDS REVIEW</v>
      </c>
      <c r="F32" t="str">
        <f>IF(E32="NEEDS REVIEW","",INDEX(Merchant_Lookup!$D$2:$D$27,MATCH(E32,Merchant_Lookup!$C$2:$C$27,0)))</f>
        <v/>
      </c>
      <c r="G32" t="str">
        <f>IF(E32="NEEDS REVIEW","",INDEX(Merchant_Lookup!$E$2:$E$27,MATCH(E32,Merchant_Lookup!$C$2:$C$27,0)))</f>
        <v/>
      </c>
      <c r="I32" t="str">
        <f t="shared" si="0"/>
        <v>NEEDS REVIEW</v>
      </c>
      <c r="J32" t="str">
        <f t="shared" si="1"/>
        <v>NEEDS REVIEW</v>
      </c>
      <c r="K32" t="str">
        <f t="shared" si="2"/>
        <v>NEEDS REVIEW</v>
      </c>
    </row>
    <row r="33" spans="5:11" x14ac:dyDescent="0.2">
      <c r="E33" t="str" cm="1">
        <f t="array" ref="E33">IFERROR(INDEX(Merchant_Lookup!$C$2:$C$27,MATCH(TRUE,ISNUMBER(SEARCH(Merchant_Lookup!$A$2:$A$26,UPPER(B33))),0)),"NEEDS REVIEW")</f>
        <v>NEEDS REVIEW</v>
      </c>
      <c r="F33" t="str">
        <f>IF(E33="NEEDS REVIEW","",INDEX(Merchant_Lookup!$D$2:$D$27,MATCH(E33,Merchant_Lookup!$C$2:$C$27,0)))</f>
        <v/>
      </c>
      <c r="G33" t="str">
        <f>IF(E33="NEEDS REVIEW","",INDEX(Merchant_Lookup!$E$2:$E$27,MATCH(E33,Merchant_Lookup!$C$2:$C$27,0)))</f>
        <v/>
      </c>
      <c r="I33" t="str">
        <f t="shared" si="0"/>
        <v>NEEDS REVIEW</v>
      </c>
      <c r="J33" t="str">
        <f t="shared" si="1"/>
        <v>NEEDS REVIEW</v>
      </c>
      <c r="K33" t="str">
        <f t="shared" si="2"/>
        <v>NEEDS REVIEW</v>
      </c>
    </row>
    <row r="34" spans="5:11" x14ac:dyDescent="0.2">
      <c r="E34" t="str" cm="1">
        <f t="array" ref="E34">IFERROR(INDEX(Merchant_Lookup!$C$2:$C$27,MATCH(TRUE,ISNUMBER(SEARCH(Merchant_Lookup!$A$2:$A$26,UPPER(B34))),0)),"NEEDS REVIEW")</f>
        <v>NEEDS REVIEW</v>
      </c>
      <c r="F34" t="str">
        <f>IF(E34="NEEDS REVIEW","",INDEX(Merchant_Lookup!$D$2:$D$27,MATCH(E34,Merchant_Lookup!$C$2:$C$27,0)))</f>
        <v/>
      </c>
      <c r="G34" t="str">
        <f>IF(E34="NEEDS REVIEW","",INDEX(Merchant_Lookup!$E$2:$E$27,MATCH(E34,Merchant_Lookup!$C$2:$C$27,0)))</f>
        <v/>
      </c>
      <c r="I34" t="str">
        <f t="shared" si="0"/>
        <v>NEEDS REVIEW</v>
      </c>
      <c r="J34" t="str">
        <f t="shared" si="1"/>
        <v>NEEDS REVIEW</v>
      </c>
      <c r="K34" t="str">
        <f t="shared" si="2"/>
        <v>NEEDS REVIEW</v>
      </c>
    </row>
    <row r="35" spans="5:11" x14ac:dyDescent="0.2">
      <c r="E35" t="str" cm="1">
        <f t="array" ref="E35">IFERROR(INDEX(Merchant_Lookup!$C$2:$C$27,MATCH(TRUE,ISNUMBER(SEARCH(Merchant_Lookup!$A$2:$A$26,UPPER(B35))),0)),"NEEDS REVIEW")</f>
        <v>NEEDS REVIEW</v>
      </c>
      <c r="F35" t="str">
        <f>IF(E35="NEEDS REVIEW","",INDEX(Merchant_Lookup!$D$2:$D$27,MATCH(E35,Merchant_Lookup!$C$2:$C$27,0)))</f>
        <v/>
      </c>
      <c r="G35" t="str">
        <f>IF(E35="NEEDS REVIEW","",INDEX(Merchant_Lookup!$E$2:$E$27,MATCH(E35,Merchant_Lookup!$C$2:$C$27,0)))</f>
        <v/>
      </c>
      <c r="I35" t="str">
        <f t="shared" si="0"/>
        <v>NEEDS REVIEW</v>
      </c>
      <c r="J35" t="str">
        <f t="shared" si="1"/>
        <v>NEEDS REVIEW</v>
      </c>
      <c r="K35" t="str">
        <f t="shared" si="2"/>
        <v>NEEDS REVIEW</v>
      </c>
    </row>
    <row r="36" spans="5:11" x14ac:dyDescent="0.2">
      <c r="E36" t="str" cm="1">
        <f t="array" ref="E36">IFERROR(INDEX(Merchant_Lookup!$C$2:$C$27,MATCH(TRUE,ISNUMBER(SEARCH(Merchant_Lookup!$A$2:$A$26,UPPER(B36))),0)),"NEEDS REVIEW")</f>
        <v>NEEDS REVIEW</v>
      </c>
      <c r="F36" t="str">
        <f>IF(E36="NEEDS REVIEW","",INDEX(Merchant_Lookup!$D$2:$D$27,MATCH(E36,Merchant_Lookup!$C$2:$C$27,0)))</f>
        <v/>
      </c>
      <c r="G36" t="str">
        <f>IF(E36="NEEDS REVIEW","",INDEX(Merchant_Lookup!$E$2:$E$27,MATCH(E36,Merchant_Lookup!$C$2:$C$27,0)))</f>
        <v/>
      </c>
      <c r="I36" t="str">
        <f t="shared" si="0"/>
        <v>NEEDS REVIEW</v>
      </c>
      <c r="J36" t="str">
        <f t="shared" si="1"/>
        <v>NEEDS REVIEW</v>
      </c>
      <c r="K36" t="str">
        <f t="shared" si="2"/>
        <v>NEEDS REVIEW</v>
      </c>
    </row>
    <row r="37" spans="5:11" x14ac:dyDescent="0.2">
      <c r="E37" t="str" cm="1">
        <f t="array" ref="E37">IFERROR(INDEX(Merchant_Lookup!$C$2:$C$27,MATCH(TRUE,ISNUMBER(SEARCH(Merchant_Lookup!$A$2:$A$26,UPPER(B37))),0)),"NEEDS REVIEW")</f>
        <v>NEEDS REVIEW</v>
      </c>
      <c r="F37" t="str">
        <f>IF(E37="NEEDS REVIEW","",INDEX(Merchant_Lookup!$D$2:$D$27,MATCH(E37,Merchant_Lookup!$C$2:$C$27,0)))</f>
        <v/>
      </c>
      <c r="G37" t="str">
        <f>IF(E37="NEEDS REVIEW","",INDEX(Merchant_Lookup!$E$2:$E$27,MATCH(E37,Merchant_Lookup!$C$2:$C$27,0)))</f>
        <v/>
      </c>
      <c r="I37" t="str">
        <f t="shared" si="0"/>
        <v>NEEDS REVIEW</v>
      </c>
      <c r="J37" t="str">
        <f t="shared" si="1"/>
        <v>NEEDS REVIEW</v>
      </c>
      <c r="K37" t="str">
        <f t="shared" si="2"/>
        <v>NEEDS REVIEW</v>
      </c>
    </row>
    <row r="38" spans="5:11" x14ac:dyDescent="0.2">
      <c r="E38" t="str" cm="1">
        <f t="array" ref="E38">IFERROR(INDEX(Merchant_Lookup!$C$2:$C$27,MATCH(TRUE,ISNUMBER(SEARCH(Merchant_Lookup!$A$2:$A$26,UPPER(B38))),0)),"NEEDS REVIEW")</f>
        <v>NEEDS REVIEW</v>
      </c>
      <c r="F38" t="str">
        <f>IF(E38="NEEDS REVIEW","",INDEX(Merchant_Lookup!$D$2:$D$27,MATCH(E38,Merchant_Lookup!$C$2:$C$27,0)))</f>
        <v/>
      </c>
      <c r="G38" t="str">
        <f>IF(E38="NEEDS REVIEW","",INDEX(Merchant_Lookup!$E$2:$E$27,MATCH(E38,Merchant_Lookup!$C$2:$C$27,0)))</f>
        <v/>
      </c>
      <c r="I38" t="str">
        <f t="shared" si="0"/>
        <v>NEEDS REVIEW</v>
      </c>
      <c r="J38" t="str">
        <f t="shared" si="1"/>
        <v>NEEDS REVIEW</v>
      </c>
      <c r="K38" t="str">
        <f t="shared" si="2"/>
        <v>NEEDS REVIEW</v>
      </c>
    </row>
    <row r="39" spans="5:11" x14ac:dyDescent="0.2">
      <c r="E39" t="str" cm="1">
        <f t="array" ref="E39">IFERROR(INDEX(Merchant_Lookup!$C$2:$C$27,MATCH(TRUE,ISNUMBER(SEARCH(Merchant_Lookup!$A$2:$A$26,UPPER(B39))),0)),"NEEDS REVIEW")</f>
        <v>NEEDS REVIEW</v>
      </c>
      <c r="F39" t="str">
        <f>IF(E39="NEEDS REVIEW","",INDEX(Merchant_Lookup!$D$2:$D$27,MATCH(E39,Merchant_Lookup!$C$2:$C$27,0)))</f>
        <v/>
      </c>
      <c r="G39" t="str">
        <f>IF(E39="NEEDS REVIEW","",INDEX(Merchant_Lookup!$E$2:$E$27,MATCH(E39,Merchant_Lookup!$C$2:$C$27,0)))</f>
        <v/>
      </c>
      <c r="I39" t="str">
        <f t="shared" si="0"/>
        <v>NEEDS REVIEW</v>
      </c>
      <c r="J39" t="str">
        <f t="shared" si="1"/>
        <v>NEEDS REVIEW</v>
      </c>
      <c r="K39" t="str">
        <f t="shared" si="2"/>
        <v>NEEDS REVIEW</v>
      </c>
    </row>
    <row r="40" spans="5:11" x14ac:dyDescent="0.2">
      <c r="E40" t="str" cm="1">
        <f t="array" ref="E40">IFERROR(INDEX(Merchant_Lookup!$C$2:$C$27,MATCH(TRUE,ISNUMBER(SEARCH(Merchant_Lookup!$A$2:$A$26,UPPER(B40))),0)),"NEEDS REVIEW")</f>
        <v>NEEDS REVIEW</v>
      </c>
      <c r="F40" t="str">
        <f>IF(E40="NEEDS REVIEW","",INDEX(Merchant_Lookup!$D$2:$D$27,MATCH(E40,Merchant_Lookup!$C$2:$C$27,0)))</f>
        <v/>
      </c>
      <c r="G40" t="str">
        <f>IF(E40="NEEDS REVIEW","",INDEX(Merchant_Lookup!$E$2:$E$27,MATCH(E40,Merchant_Lookup!$C$2:$C$27,0)))</f>
        <v/>
      </c>
      <c r="I40" t="str">
        <f t="shared" si="0"/>
        <v>NEEDS REVIEW</v>
      </c>
      <c r="J40" t="str">
        <f t="shared" si="1"/>
        <v>NEEDS REVIEW</v>
      </c>
      <c r="K40" t="str">
        <f t="shared" si="2"/>
        <v>NEEDS REVIEW</v>
      </c>
    </row>
    <row r="41" spans="5:11" x14ac:dyDescent="0.2">
      <c r="E41" t="str" cm="1">
        <f t="array" ref="E41">IFERROR(INDEX(Merchant_Lookup!$C$2:$C$27,MATCH(TRUE,ISNUMBER(SEARCH(Merchant_Lookup!$A$2:$A$26,UPPER(B41))),0)),"NEEDS REVIEW")</f>
        <v>NEEDS REVIEW</v>
      </c>
      <c r="F41" t="str">
        <f>IF(E41="NEEDS REVIEW","",INDEX(Merchant_Lookup!$D$2:$D$27,MATCH(E41,Merchant_Lookup!$C$2:$C$27,0)))</f>
        <v/>
      </c>
      <c r="G41" t="str">
        <f>IF(E41="NEEDS REVIEW","",INDEX(Merchant_Lookup!$E$2:$E$27,MATCH(E41,Merchant_Lookup!$C$2:$C$27,0)))</f>
        <v/>
      </c>
      <c r="I41" t="str">
        <f t="shared" si="0"/>
        <v>NEEDS REVIEW</v>
      </c>
      <c r="J41" t="str">
        <f t="shared" si="1"/>
        <v>NEEDS REVIEW</v>
      </c>
      <c r="K41" t="str">
        <f t="shared" si="2"/>
        <v>NEEDS REVIEW</v>
      </c>
    </row>
    <row r="42" spans="5:11" x14ac:dyDescent="0.2">
      <c r="E42" t="str" cm="1">
        <f t="array" ref="E42">IFERROR(INDEX(Merchant_Lookup!$C$2:$C$27,MATCH(TRUE,ISNUMBER(SEARCH(Merchant_Lookup!$A$2:$A$26,UPPER(B42))),0)),"NEEDS REVIEW")</f>
        <v>NEEDS REVIEW</v>
      </c>
      <c r="F42" t="str">
        <f>IF(E42="NEEDS REVIEW","",INDEX(Merchant_Lookup!$D$2:$D$27,MATCH(E42,Merchant_Lookup!$C$2:$C$27,0)))</f>
        <v/>
      </c>
      <c r="G42" t="str">
        <f>IF(E42="NEEDS REVIEW","",INDEX(Merchant_Lookup!$E$2:$E$27,MATCH(E42,Merchant_Lookup!$C$2:$C$27,0)))</f>
        <v/>
      </c>
      <c r="I42" t="str">
        <f t="shared" si="0"/>
        <v>NEEDS REVIEW</v>
      </c>
      <c r="J42" t="str">
        <f t="shared" si="1"/>
        <v>NEEDS REVIEW</v>
      </c>
      <c r="K42" t="str">
        <f t="shared" si="2"/>
        <v>NEEDS REVIEW</v>
      </c>
    </row>
    <row r="43" spans="5:11" x14ac:dyDescent="0.2">
      <c r="E43" t="str" cm="1">
        <f t="array" ref="E43">IFERROR(INDEX(Merchant_Lookup!$C$2:$C$27,MATCH(TRUE,ISNUMBER(SEARCH(Merchant_Lookup!$A$2:$A$26,UPPER(B43))),0)),"NEEDS REVIEW")</f>
        <v>NEEDS REVIEW</v>
      </c>
      <c r="F43" t="str">
        <f>IF(E43="NEEDS REVIEW","",INDEX(Merchant_Lookup!$D$2:$D$27,MATCH(E43,Merchant_Lookup!$C$2:$C$27,0)))</f>
        <v/>
      </c>
      <c r="G43" t="str">
        <f>IF(E43="NEEDS REVIEW","",INDEX(Merchant_Lookup!$E$2:$E$27,MATCH(E43,Merchant_Lookup!$C$2:$C$27,0)))</f>
        <v/>
      </c>
      <c r="I43" t="str">
        <f t="shared" si="0"/>
        <v>NEEDS REVIEW</v>
      </c>
      <c r="J43" t="str">
        <f t="shared" si="1"/>
        <v>NEEDS REVIEW</v>
      </c>
      <c r="K43" t="str">
        <f t="shared" si="2"/>
        <v>NEEDS REVIEW</v>
      </c>
    </row>
    <row r="44" spans="5:11" x14ac:dyDescent="0.2">
      <c r="E44" t="str" cm="1">
        <f t="array" ref="E44">IFERROR(INDEX(Merchant_Lookup!$C$2:$C$27,MATCH(TRUE,ISNUMBER(SEARCH(Merchant_Lookup!$A$2:$A$26,UPPER(B44))),0)),"NEEDS REVIEW")</f>
        <v>NEEDS REVIEW</v>
      </c>
      <c r="F44" t="str">
        <f>IF(E44="NEEDS REVIEW","",INDEX(Merchant_Lookup!$D$2:$D$27,MATCH(E44,Merchant_Lookup!$C$2:$C$27,0)))</f>
        <v/>
      </c>
      <c r="G44" t="str">
        <f>IF(E44="NEEDS REVIEW","",INDEX(Merchant_Lookup!$E$2:$E$27,MATCH(E44,Merchant_Lookup!$C$2:$C$27,0)))</f>
        <v/>
      </c>
      <c r="I44" t="str">
        <f t="shared" si="0"/>
        <v>NEEDS REVIEW</v>
      </c>
      <c r="J44" t="str">
        <f t="shared" si="1"/>
        <v>NEEDS REVIEW</v>
      </c>
      <c r="K44" t="str">
        <f t="shared" si="2"/>
        <v>NEEDS REVIEW</v>
      </c>
    </row>
    <row r="45" spans="5:11" x14ac:dyDescent="0.2">
      <c r="E45" t="str" cm="1">
        <f t="array" ref="E45">IFERROR(INDEX(Merchant_Lookup!$C$2:$C$27,MATCH(TRUE,ISNUMBER(SEARCH(Merchant_Lookup!$A$2:$A$26,UPPER(B45))),0)),"NEEDS REVIEW")</f>
        <v>NEEDS REVIEW</v>
      </c>
      <c r="F45" t="str">
        <f>IF(E45="NEEDS REVIEW","",INDEX(Merchant_Lookup!$D$2:$D$27,MATCH(E45,Merchant_Lookup!$C$2:$C$27,0)))</f>
        <v/>
      </c>
      <c r="G45" t="str">
        <f>IF(E45="NEEDS REVIEW","",INDEX(Merchant_Lookup!$E$2:$E$27,MATCH(E45,Merchant_Lookup!$C$2:$C$27,0)))</f>
        <v/>
      </c>
      <c r="I45" t="str">
        <f t="shared" si="0"/>
        <v>NEEDS REVIEW</v>
      </c>
      <c r="J45" t="str">
        <f t="shared" si="1"/>
        <v>NEEDS REVIEW</v>
      </c>
      <c r="K45" t="str">
        <f t="shared" si="2"/>
        <v>NEEDS REVIEW</v>
      </c>
    </row>
    <row r="46" spans="5:11" x14ac:dyDescent="0.2">
      <c r="E46" t="str" cm="1">
        <f t="array" ref="E46">IFERROR(INDEX(Merchant_Lookup!$C$2:$C$27,MATCH(TRUE,ISNUMBER(SEARCH(Merchant_Lookup!$A$2:$A$26,UPPER(B46))),0)),"NEEDS REVIEW")</f>
        <v>NEEDS REVIEW</v>
      </c>
      <c r="F46" t="str">
        <f>IF(E46="NEEDS REVIEW","",INDEX(Merchant_Lookup!$D$2:$D$27,MATCH(E46,Merchant_Lookup!$C$2:$C$27,0)))</f>
        <v/>
      </c>
      <c r="G46" t="str">
        <f>IF(E46="NEEDS REVIEW","",INDEX(Merchant_Lookup!$E$2:$E$27,MATCH(E46,Merchant_Lookup!$C$2:$C$27,0)))</f>
        <v/>
      </c>
      <c r="I46" t="str">
        <f t="shared" si="0"/>
        <v>NEEDS REVIEW</v>
      </c>
      <c r="J46" t="str">
        <f t="shared" si="1"/>
        <v>NEEDS REVIEW</v>
      </c>
      <c r="K46" t="str">
        <f t="shared" si="2"/>
        <v>NEEDS REVIEW</v>
      </c>
    </row>
    <row r="47" spans="5:11" x14ac:dyDescent="0.2">
      <c r="E47" t="str" cm="1">
        <f t="array" ref="E47">IFERROR(INDEX(Merchant_Lookup!$C$2:$C$27,MATCH(TRUE,ISNUMBER(SEARCH(Merchant_Lookup!$A$2:$A$26,UPPER(B47))),0)),"NEEDS REVIEW")</f>
        <v>NEEDS REVIEW</v>
      </c>
      <c r="F47" t="str">
        <f>IF(E47="NEEDS REVIEW","",INDEX(Merchant_Lookup!$D$2:$D$27,MATCH(E47,Merchant_Lookup!$C$2:$C$27,0)))</f>
        <v/>
      </c>
      <c r="G47" t="str">
        <f>IF(E47="NEEDS REVIEW","",INDEX(Merchant_Lookup!$E$2:$E$27,MATCH(E47,Merchant_Lookup!$C$2:$C$27,0)))</f>
        <v/>
      </c>
      <c r="I47" t="str">
        <f t="shared" si="0"/>
        <v>NEEDS REVIEW</v>
      </c>
      <c r="J47" t="str">
        <f t="shared" si="1"/>
        <v>NEEDS REVIEW</v>
      </c>
      <c r="K47" t="str">
        <f t="shared" si="2"/>
        <v>NEEDS REVIEW</v>
      </c>
    </row>
    <row r="48" spans="5:11" x14ac:dyDescent="0.2">
      <c r="E48" t="str" cm="1">
        <f t="array" ref="E48">IFERROR(INDEX(Merchant_Lookup!$C$2:$C$27,MATCH(TRUE,ISNUMBER(SEARCH(Merchant_Lookup!$A$2:$A$26,UPPER(B48))),0)),"NEEDS REVIEW")</f>
        <v>NEEDS REVIEW</v>
      </c>
      <c r="F48" t="str">
        <f>IF(E48="NEEDS REVIEW","",INDEX(Merchant_Lookup!$D$2:$D$27,MATCH(E48,Merchant_Lookup!$C$2:$C$27,0)))</f>
        <v/>
      </c>
      <c r="G48" t="str">
        <f>IF(E48="NEEDS REVIEW","",INDEX(Merchant_Lookup!$E$2:$E$27,MATCH(E48,Merchant_Lookup!$C$2:$C$27,0)))</f>
        <v/>
      </c>
      <c r="I48" t="str">
        <f t="shared" si="0"/>
        <v>NEEDS REVIEW</v>
      </c>
      <c r="J48" t="str">
        <f t="shared" si="1"/>
        <v>NEEDS REVIEW</v>
      </c>
      <c r="K48" t="str">
        <f t="shared" si="2"/>
        <v>NEEDS REVIEW</v>
      </c>
    </row>
    <row r="49" spans="5:11" x14ac:dyDescent="0.2">
      <c r="E49" t="str" cm="1">
        <f t="array" ref="E49">IFERROR(INDEX(Merchant_Lookup!$C$2:$C$27,MATCH(TRUE,ISNUMBER(SEARCH(Merchant_Lookup!$A$2:$A$26,UPPER(B49))),0)),"NEEDS REVIEW")</f>
        <v>NEEDS REVIEW</v>
      </c>
      <c r="F49" t="str">
        <f>IF(E49="NEEDS REVIEW","",INDEX(Merchant_Lookup!$D$2:$D$27,MATCH(E49,Merchant_Lookup!$C$2:$C$27,0)))</f>
        <v/>
      </c>
      <c r="G49" t="str">
        <f>IF(E49="NEEDS REVIEW","",INDEX(Merchant_Lookup!$E$2:$E$27,MATCH(E49,Merchant_Lookup!$C$2:$C$27,0)))</f>
        <v/>
      </c>
      <c r="I49" t="str">
        <f t="shared" si="0"/>
        <v>NEEDS REVIEW</v>
      </c>
      <c r="J49" t="str">
        <f t="shared" si="1"/>
        <v>NEEDS REVIEW</v>
      </c>
      <c r="K49" t="str">
        <f t="shared" si="2"/>
        <v>NEEDS REVIEW</v>
      </c>
    </row>
    <row r="50" spans="5:11" x14ac:dyDescent="0.2">
      <c r="E50" t="str" cm="1">
        <f t="array" ref="E50">IFERROR(INDEX(Merchant_Lookup!$C$2:$C$27,MATCH(TRUE,ISNUMBER(SEARCH(Merchant_Lookup!$A$2:$A$26,UPPER(B50))),0)),"NEEDS REVIEW")</f>
        <v>NEEDS REVIEW</v>
      </c>
      <c r="F50" t="str">
        <f>IF(E50="NEEDS REVIEW","",INDEX(Merchant_Lookup!$D$2:$D$27,MATCH(E50,Merchant_Lookup!$C$2:$C$27,0)))</f>
        <v/>
      </c>
      <c r="G50" t="str">
        <f>IF(E50="NEEDS REVIEW","",INDEX(Merchant_Lookup!$E$2:$E$27,MATCH(E50,Merchant_Lookup!$C$2:$C$27,0)))</f>
        <v/>
      </c>
      <c r="I50" t="str">
        <f t="shared" si="0"/>
        <v>NEEDS REVIEW</v>
      </c>
      <c r="J50" t="str">
        <f t="shared" si="1"/>
        <v>NEEDS REVIEW</v>
      </c>
      <c r="K50" t="str">
        <f t="shared" si="2"/>
        <v>NEEDS REVIEW</v>
      </c>
    </row>
    <row r="51" spans="5:11" x14ac:dyDescent="0.2">
      <c r="E51" t="str" cm="1">
        <f t="array" ref="E51">IFERROR(INDEX(Merchant_Lookup!$C$2:$C$27,MATCH(TRUE,ISNUMBER(SEARCH(Merchant_Lookup!$A$2:$A$26,UPPER(B51))),0)),"NEEDS REVIEW")</f>
        <v>NEEDS REVIEW</v>
      </c>
      <c r="F51" t="str">
        <f>IF(E51="NEEDS REVIEW","",INDEX(Merchant_Lookup!$D$2:$D$27,MATCH(E51,Merchant_Lookup!$C$2:$C$27,0)))</f>
        <v/>
      </c>
      <c r="G51" t="str">
        <f>IF(E51="NEEDS REVIEW","",INDEX(Merchant_Lookup!$E$2:$E$27,MATCH(E51,Merchant_Lookup!$C$2:$C$27,0)))</f>
        <v/>
      </c>
      <c r="I51" t="str">
        <f t="shared" si="0"/>
        <v>NEEDS REVIEW</v>
      </c>
      <c r="J51" t="str">
        <f t="shared" si="1"/>
        <v>NEEDS REVIEW</v>
      </c>
      <c r="K51" t="str">
        <f t="shared" si="2"/>
        <v>NEEDS REVIEW</v>
      </c>
    </row>
    <row r="52" spans="5:11" x14ac:dyDescent="0.2">
      <c r="E52" t="str" cm="1">
        <f t="array" ref="E52">IFERROR(INDEX(Merchant_Lookup!$C$2:$C$27,MATCH(TRUE,ISNUMBER(SEARCH(Merchant_Lookup!$A$2:$A$26,UPPER(B52))),0)),"NEEDS REVIEW")</f>
        <v>NEEDS REVIEW</v>
      </c>
      <c r="F52" t="str">
        <f>IF(E52="NEEDS REVIEW","",INDEX(Merchant_Lookup!$D$2:$D$27,MATCH(E52,Merchant_Lookup!$C$2:$C$27,0)))</f>
        <v/>
      </c>
      <c r="G52" t="str">
        <f>IF(E52="NEEDS REVIEW","",INDEX(Merchant_Lookup!$E$2:$E$27,MATCH(E52,Merchant_Lookup!$C$2:$C$27,0)))</f>
        <v/>
      </c>
      <c r="I52" t="str">
        <f t="shared" si="0"/>
        <v>NEEDS REVIEW</v>
      </c>
      <c r="J52" t="str">
        <f t="shared" si="1"/>
        <v>NEEDS REVIEW</v>
      </c>
      <c r="K52" t="str">
        <f t="shared" si="2"/>
        <v>NEEDS REVIEW</v>
      </c>
    </row>
    <row r="53" spans="5:11" x14ac:dyDescent="0.2">
      <c r="E53" t="str" cm="1">
        <f t="array" ref="E53">IFERROR(INDEX(Merchant_Lookup!$C$2:$C$27,MATCH(TRUE,ISNUMBER(SEARCH(Merchant_Lookup!$A$2:$A$26,UPPER(B53))),0)),"NEEDS REVIEW")</f>
        <v>NEEDS REVIEW</v>
      </c>
      <c r="F53" t="str">
        <f>IF(E53="NEEDS REVIEW","",INDEX(Merchant_Lookup!$D$2:$D$27,MATCH(E53,Merchant_Lookup!$C$2:$C$27,0)))</f>
        <v/>
      </c>
      <c r="G53" t="str">
        <f>IF(E53="NEEDS REVIEW","",INDEX(Merchant_Lookup!$E$2:$E$27,MATCH(E53,Merchant_Lookup!$C$2:$C$27,0)))</f>
        <v/>
      </c>
      <c r="I53" t="str">
        <f t="shared" si="0"/>
        <v>NEEDS REVIEW</v>
      </c>
      <c r="J53" t="str">
        <f t="shared" si="1"/>
        <v>NEEDS REVIEW</v>
      </c>
      <c r="K53" t="str">
        <f t="shared" si="2"/>
        <v>NEEDS REVIEW</v>
      </c>
    </row>
    <row r="54" spans="5:11" x14ac:dyDescent="0.2">
      <c r="E54" t="str" cm="1">
        <f t="array" ref="E54">IFERROR(INDEX(Merchant_Lookup!$C$2:$C$27,MATCH(TRUE,ISNUMBER(SEARCH(Merchant_Lookup!$A$2:$A$26,UPPER(B54))),0)),"NEEDS REVIEW")</f>
        <v>NEEDS REVIEW</v>
      </c>
      <c r="F54" t="str">
        <f>IF(E54="NEEDS REVIEW","",INDEX(Merchant_Lookup!$D$2:$D$27,MATCH(E54,Merchant_Lookup!$C$2:$C$27,0)))</f>
        <v/>
      </c>
      <c r="G54" t="str">
        <f>IF(E54="NEEDS REVIEW","",INDEX(Merchant_Lookup!$E$2:$E$27,MATCH(E54,Merchant_Lookup!$C$2:$C$27,0)))</f>
        <v/>
      </c>
      <c r="I54" t="str">
        <f t="shared" si="0"/>
        <v>NEEDS REVIEW</v>
      </c>
      <c r="J54" t="str">
        <f t="shared" si="1"/>
        <v>NEEDS REVIEW</v>
      </c>
      <c r="K54" t="str">
        <f t="shared" si="2"/>
        <v>NEEDS REVIEW</v>
      </c>
    </row>
    <row r="55" spans="5:11" x14ac:dyDescent="0.2">
      <c r="E55" t="str" cm="1">
        <f t="array" ref="E55">IFERROR(INDEX(Merchant_Lookup!$C$2:$C$27,MATCH(TRUE,ISNUMBER(SEARCH(Merchant_Lookup!$A$2:$A$26,UPPER(B55))),0)),"NEEDS REVIEW")</f>
        <v>NEEDS REVIEW</v>
      </c>
      <c r="F55" t="str">
        <f>IF(E55="NEEDS REVIEW","",INDEX(Merchant_Lookup!$D$2:$D$27,MATCH(E55,Merchant_Lookup!$C$2:$C$27,0)))</f>
        <v/>
      </c>
      <c r="G55" t="str">
        <f>IF(E55="NEEDS REVIEW","",INDEX(Merchant_Lookup!$E$2:$E$27,MATCH(E55,Merchant_Lookup!$C$2:$C$27,0)))</f>
        <v/>
      </c>
      <c r="I55" t="str">
        <f t="shared" si="0"/>
        <v>NEEDS REVIEW</v>
      </c>
      <c r="J55" t="str">
        <f t="shared" si="1"/>
        <v>NEEDS REVIEW</v>
      </c>
      <c r="K55" t="str">
        <f t="shared" si="2"/>
        <v>NEEDS REVIEW</v>
      </c>
    </row>
    <row r="56" spans="5:11" x14ac:dyDescent="0.2">
      <c r="E56" t="str" cm="1">
        <f t="array" ref="E56">IFERROR(INDEX(Merchant_Lookup!$C$2:$C$27,MATCH(TRUE,ISNUMBER(SEARCH(Merchant_Lookup!$A$2:$A$26,UPPER(B56))),0)),"NEEDS REVIEW")</f>
        <v>NEEDS REVIEW</v>
      </c>
      <c r="F56" t="str">
        <f>IF(E56="NEEDS REVIEW","",INDEX(Merchant_Lookup!$D$2:$D$27,MATCH(E56,Merchant_Lookup!$C$2:$C$27,0)))</f>
        <v/>
      </c>
      <c r="G56" t="str">
        <f>IF(E56="NEEDS REVIEW","",INDEX(Merchant_Lookup!$E$2:$E$27,MATCH(E56,Merchant_Lookup!$C$2:$C$27,0)))</f>
        <v/>
      </c>
      <c r="I56" t="str">
        <f t="shared" si="0"/>
        <v>NEEDS REVIEW</v>
      </c>
      <c r="J56" t="str">
        <f t="shared" si="1"/>
        <v>NEEDS REVIEW</v>
      </c>
      <c r="K56" t="str">
        <f t="shared" si="2"/>
        <v>NEEDS REVIEW</v>
      </c>
    </row>
    <row r="57" spans="5:11" x14ac:dyDescent="0.2">
      <c r="E57" t="str" cm="1">
        <f t="array" ref="E57">IFERROR(INDEX(Merchant_Lookup!$C$2:$C$27,MATCH(TRUE,ISNUMBER(SEARCH(Merchant_Lookup!$A$2:$A$26,UPPER(B57))),0)),"NEEDS REVIEW")</f>
        <v>NEEDS REVIEW</v>
      </c>
      <c r="F57" t="str">
        <f>IF(E57="NEEDS REVIEW","",INDEX(Merchant_Lookup!$D$2:$D$27,MATCH(E57,Merchant_Lookup!$C$2:$C$27,0)))</f>
        <v/>
      </c>
      <c r="G57" t="str">
        <f>IF(E57="NEEDS REVIEW","",INDEX(Merchant_Lookup!$E$2:$E$27,MATCH(E57,Merchant_Lookup!$C$2:$C$27,0)))</f>
        <v/>
      </c>
      <c r="I57" t="str">
        <f t="shared" si="0"/>
        <v>NEEDS REVIEW</v>
      </c>
      <c r="J57" t="str">
        <f t="shared" si="1"/>
        <v>NEEDS REVIEW</v>
      </c>
      <c r="K57" t="str">
        <f t="shared" si="2"/>
        <v>NEEDS REVIEW</v>
      </c>
    </row>
    <row r="58" spans="5:11" x14ac:dyDescent="0.2">
      <c r="E58" t="str" cm="1">
        <f t="array" ref="E58">IFERROR(INDEX(Merchant_Lookup!$C$2:$C$27,MATCH(TRUE,ISNUMBER(SEARCH(Merchant_Lookup!$A$2:$A$26,UPPER(B58))),0)),"NEEDS REVIEW")</f>
        <v>NEEDS REVIEW</v>
      </c>
      <c r="F58" t="str">
        <f>IF(E58="NEEDS REVIEW","",INDEX(Merchant_Lookup!$D$2:$D$27,MATCH(E58,Merchant_Lookup!$C$2:$C$27,0)))</f>
        <v/>
      </c>
      <c r="G58" t="str">
        <f>IF(E58="NEEDS REVIEW","",INDEX(Merchant_Lookup!$E$2:$E$27,MATCH(E58,Merchant_Lookup!$C$2:$C$27,0)))</f>
        <v/>
      </c>
      <c r="I58" t="str">
        <f t="shared" si="0"/>
        <v>NEEDS REVIEW</v>
      </c>
      <c r="J58" t="str">
        <f t="shared" si="1"/>
        <v>NEEDS REVIEW</v>
      </c>
      <c r="K58" t="str">
        <f t="shared" si="2"/>
        <v>NEEDS REVIEW</v>
      </c>
    </row>
    <row r="59" spans="5:11" x14ac:dyDescent="0.2">
      <c r="E59" t="str" cm="1">
        <f t="array" ref="E59">IFERROR(INDEX(Merchant_Lookup!$C$2:$C$27,MATCH(TRUE,ISNUMBER(SEARCH(Merchant_Lookup!$A$2:$A$26,UPPER(B59))),0)),"NEEDS REVIEW")</f>
        <v>NEEDS REVIEW</v>
      </c>
      <c r="F59" t="str">
        <f>IF(E59="NEEDS REVIEW","",INDEX(Merchant_Lookup!$D$2:$D$27,MATCH(E59,Merchant_Lookup!$C$2:$C$27,0)))</f>
        <v/>
      </c>
      <c r="G59" t="str">
        <f>IF(E59="NEEDS REVIEW","",INDEX(Merchant_Lookup!$E$2:$E$27,MATCH(E59,Merchant_Lookup!$C$2:$C$27,0)))</f>
        <v/>
      </c>
      <c r="I59" t="str">
        <f t="shared" si="0"/>
        <v>NEEDS REVIEW</v>
      </c>
      <c r="J59" t="str">
        <f t="shared" si="1"/>
        <v>NEEDS REVIEW</v>
      </c>
      <c r="K59" t="str">
        <f t="shared" si="2"/>
        <v>NEEDS REVIEW</v>
      </c>
    </row>
    <row r="60" spans="5:11" x14ac:dyDescent="0.2">
      <c r="E60" t="str" cm="1">
        <f t="array" ref="E60">IFERROR(INDEX(Merchant_Lookup!$C$2:$C$27,MATCH(TRUE,ISNUMBER(SEARCH(Merchant_Lookup!$A$2:$A$26,UPPER(B60))),0)),"NEEDS REVIEW")</f>
        <v>NEEDS REVIEW</v>
      </c>
      <c r="F60" t="str">
        <f>IF(E60="NEEDS REVIEW","",INDEX(Merchant_Lookup!$D$2:$D$27,MATCH(E60,Merchant_Lookup!$C$2:$C$27,0)))</f>
        <v/>
      </c>
      <c r="G60" t="str">
        <f>IF(E60="NEEDS REVIEW","",INDEX(Merchant_Lookup!$E$2:$E$27,MATCH(E60,Merchant_Lookup!$C$2:$C$27,0)))</f>
        <v/>
      </c>
      <c r="I60" t="str">
        <f t="shared" si="0"/>
        <v>NEEDS REVIEW</v>
      </c>
      <c r="J60" t="str">
        <f t="shared" si="1"/>
        <v>NEEDS REVIEW</v>
      </c>
      <c r="K60" t="str">
        <f t="shared" si="2"/>
        <v>NEEDS REVIEW</v>
      </c>
    </row>
    <row r="61" spans="5:11" x14ac:dyDescent="0.2">
      <c r="E61" t="str" cm="1">
        <f t="array" ref="E61">IFERROR(INDEX(Merchant_Lookup!$C$2:$C$27,MATCH(TRUE,ISNUMBER(SEARCH(Merchant_Lookup!$A$2:$A$26,UPPER(B61))),0)),"NEEDS REVIEW")</f>
        <v>NEEDS REVIEW</v>
      </c>
      <c r="F61" t="str">
        <f>IF(E61="NEEDS REVIEW","",INDEX(Merchant_Lookup!$D$2:$D$27,MATCH(E61,Merchant_Lookup!$C$2:$C$27,0)))</f>
        <v/>
      </c>
      <c r="G61" t="str">
        <f>IF(E61="NEEDS REVIEW","",INDEX(Merchant_Lookup!$E$2:$E$27,MATCH(E61,Merchant_Lookup!$C$2:$C$27,0)))</f>
        <v/>
      </c>
      <c r="I61" t="str">
        <f t="shared" si="0"/>
        <v>NEEDS REVIEW</v>
      </c>
      <c r="J61" t="str">
        <f t="shared" si="1"/>
        <v>NEEDS REVIEW</v>
      </c>
      <c r="K61" t="str">
        <f t="shared" si="2"/>
        <v>NEEDS REVIEW</v>
      </c>
    </row>
    <row r="62" spans="5:11" x14ac:dyDescent="0.2">
      <c r="E62" t="str" cm="1">
        <f t="array" ref="E62">IFERROR(INDEX(Merchant_Lookup!$C$2:$C$27,MATCH(TRUE,ISNUMBER(SEARCH(Merchant_Lookup!$A$2:$A$26,UPPER(B62))),0)),"NEEDS REVIEW")</f>
        <v>NEEDS REVIEW</v>
      </c>
      <c r="F62" t="str">
        <f>IF(E62="NEEDS REVIEW","",INDEX(Merchant_Lookup!$D$2:$D$27,MATCH(E62,Merchant_Lookup!$C$2:$C$27,0)))</f>
        <v/>
      </c>
      <c r="G62" t="str">
        <f>IF(E62="NEEDS REVIEW","",INDEX(Merchant_Lookup!$E$2:$E$27,MATCH(E62,Merchant_Lookup!$C$2:$C$27,0)))</f>
        <v/>
      </c>
      <c r="I62" t="str">
        <f t="shared" si="0"/>
        <v>NEEDS REVIEW</v>
      </c>
      <c r="J62" t="str">
        <f t="shared" si="1"/>
        <v>NEEDS REVIEW</v>
      </c>
      <c r="K62" t="str">
        <f t="shared" si="2"/>
        <v>NEEDS REVIEW</v>
      </c>
    </row>
    <row r="63" spans="5:11" x14ac:dyDescent="0.2">
      <c r="E63" t="str" cm="1">
        <f t="array" ref="E63">IFERROR(INDEX(Merchant_Lookup!$C$2:$C$27,MATCH(TRUE,ISNUMBER(SEARCH(Merchant_Lookup!$A$2:$A$26,UPPER(B63))),0)),"NEEDS REVIEW")</f>
        <v>NEEDS REVIEW</v>
      </c>
      <c r="F63" t="str">
        <f>IF(E63="NEEDS REVIEW","",INDEX(Merchant_Lookup!$D$2:$D$27,MATCH(E63,Merchant_Lookup!$C$2:$C$27,0)))</f>
        <v/>
      </c>
      <c r="G63" t="str">
        <f>IF(E63="NEEDS REVIEW","",INDEX(Merchant_Lookup!$E$2:$E$27,MATCH(E63,Merchant_Lookup!$C$2:$C$27,0)))</f>
        <v/>
      </c>
      <c r="I63" t="str">
        <f t="shared" si="0"/>
        <v>NEEDS REVIEW</v>
      </c>
      <c r="J63" t="str">
        <f t="shared" si="1"/>
        <v>NEEDS REVIEW</v>
      </c>
      <c r="K63" t="str">
        <f t="shared" si="2"/>
        <v>NEEDS REVIEW</v>
      </c>
    </row>
    <row r="64" spans="5:11" x14ac:dyDescent="0.2">
      <c r="E64" t="str" cm="1">
        <f t="array" ref="E64">IFERROR(INDEX(Merchant_Lookup!$C$2:$C$27,MATCH(TRUE,ISNUMBER(SEARCH(Merchant_Lookup!$A$2:$A$26,UPPER(B64))),0)),"NEEDS REVIEW")</f>
        <v>NEEDS REVIEW</v>
      </c>
      <c r="F64" t="str">
        <f>IF(E64="NEEDS REVIEW","",INDEX(Merchant_Lookup!$D$2:$D$27,MATCH(E64,Merchant_Lookup!$C$2:$C$27,0)))</f>
        <v/>
      </c>
      <c r="G64" t="str">
        <f>IF(E64="NEEDS REVIEW","",INDEX(Merchant_Lookup!$E$2:$E$27,MATCH(E64,Merchant_Lookup!$C$2:$C$27,0)))</f>
        <v/>
      </c>
      <c r="I64" t="str">
        <f t="shared" si="0"/>
        <v>NEEDS REVIEW</v>
      </c>
      <c r="J64" t="str">
        <f t="shared" si="1"/>
        <v>NEEDS REVIEW</v>
      </c>
      <c r="K64" t="str">
        <f t="shared" si="2"/>
        <v>NEEDS REVIEW</v>
      </c>
    </row>
    <row r="65" spans="5:11" x14ac:dyDescent="0.2">
      <c r="E65" t="str" cm="1">
        <f t="array" ref="E65">IFERROR(INDEX(Merchant_Lookup!$C$2:$C$27,MATCH(TRUE,ISNUMBER(SEARCH(Merchant_Lookup!$A$2:$A$26,UPPER(B65))),0)),"NEEDS REVIEW")</f>
        <v>NEEDS REVIEW</v>
      </c>
      <c r="F65" t="str">
        <f>IF(E65="NEEDS REVIEW","",INDEX(Merchant_Lookup!$D$2:$D$27,MATCH(E65,Merchant_Lookup!$C$2:$C$27,0)))</f>
        <v/>
      </c>
      <c r="G65" t="str">
        <f>IF(E65="NEEDS REVIEW","",INDEX(Merchant_Lookup!$E$2:$E$27,MATCH(E65,Merchant_Lookup!$C$2:$C$27,0)))</f>
        <v/>
      </c>
      <c r="I65" t="str">
        <f t="shared" si="0"/>
        <v>NEEDS REVIEW</v>
      </c>
      <c r="J65" t="str">
        <f t="shared" si="1"/>
        <v>NEEDS REVIEW</v>
      </c>
      <c r="K65" t="str">
        <f t="shared" si="2"/>
        <v>NEEDS REVIEW</v>
      </c>
    </row>
    <row r="66" spans="5:11" x14ac:dyDescent="0.2">
      <c r="E66" t="str" cm="1">
        <f t="array" ref="E66">IFERROR(INDEX(Merchant_Lookup!$C$2:$C$27,MATCH(TRUE,ISNUMBER(SEARCH(Merchant_Lookup!$A$2:$A$26,UPPER(B66))),0)),"NEEDS REVIEW")</f>
        <v>NEEDS REVIEW</v>
      </c>
      <c r="F66" t="str">
        <f>IF(E66="NEEDS REVIEW","",INDEX(Merchant_Lookup!$D$2:$D$27,MATCH(E66,Merchant_Lookup!$C$2:$C$27,0)))</f>
        <v/>
      </c>
      <c r="G66" t="str">
        <f>IF(E66="NEEDS REVIEW","",INDEX(Merchant_Lookup!$E$2:$E$27,MATCH(E66,Merchant_Lookup!$C$2:$C$27,0)))</f>
        <v/>
      </c>
      <c r="I66" t="str">
        <f t="shared" si="0"/>
        <v>NEEDS REVIEW</v>
      </c>
      <c r="J66" t="str">
        <f t="shared" si="1"/>
        <v>NEEDS REVIEW</v>
      </c>
      <c r="K66" t="str">
        <f t="shared" si="2"/>
        <v>NEEDS REVIEW</v>
      </c>
    </row>
    <row r="67" spans="5:11" x14ac:dyDescent="0.2">
      <c r="E67" t="str" cm="1">
        <f t="array" ref="E67">IFERROR(INDEX(Merchant_Lookup!$C$2:$C$27,MATCH(TRUE,ISNUMBER(SEARCH(Merchant_Lookup!$A$2:$A$26,UPPER(B67))),0)),"NEEDS REVIEW")</f>
        <v>NEEDS REVIEW</v>
      </c>
      <c r="F67" t="str">
        <f>IF(E67="NEEDS REVIEW","",INDEX(Merchant_Lookup!$D$2:$D$27,MATCH(E67,Merchant_Lookup!$C$2:$C$27,0)))</f>
        <v/>
      </c>
      <c r="G67" t="str">
        <f>IF(E67="NEEDS REVIEW","",INDEX(Merchant_Lookup!$E$2:$E$27,MATCH(E67,Merchant_Lookup!$C$2:$C$27,0)))</f>
        <v/>
      </c>
      <c r="I67" t="str">
        <f t="shared" ref="I67:I130" si="3">IF(H67&lt;&gt;"",H67,E67)</f>
        <v>NEEDS REVIEW</v>
      </c>
      <c r="J67" t="str">
        <f t="shared" ref="J67:J130" si="4">IF(H67&lt;&gt;"",H67,E67)</f>
        <v>NEEDS REVIEW</v>
      </c>
      <c r="K67" t="str">
        <f t="shared" ref="K67:K130" si="5">IF(I67&lt;&gt;"",I67,F67)</f>
        <v>NEEDS REVIEW</v>
      </c>
    </row>
    <row r="68" spans="5:11" x14ac:dyDescent="0.2">
      <c r="E68" t="str" cm="1">
        <f t="array" ref="E68">IFERROR(INDEX(Merchant_Lookup!$C$2:$C$27,MATCH(TRUE,ISNUMBER(SEARCH(Merchant_Lookup!$A$2:$A$26,UPPER(B68))),0)),"NEEDS REVIEW")</f>
        <v>NEEDS REVIEW</v>
      </c>
      <c r="F68" t="str">
        <f>IF(E68="NEEDS REVIEW","",INDEX(Merchant_Lookup!$D$2:$D$27,MATCH(E68,Merchant_Lookup!$C$2:$C$27,0)))</f>
        <v/>
      </c>
      <c r="G68" t="str">
        <f>IF(E68="NEEDS REVIEW","",INDEX(Merchant_Lookup!$E$2:$E$27,MATCH(E68,Merchant_Lookup!$C$2:$C$27,0)))</f>
        <v/>
      </c>
      <c r="I68" t="str">
        <f t="shared" si="3"/>
        <v>NEEDS REVIEW</v>
      </c>
      <c r="J68" t="str">
        <f t="shared" si="4"/>
        <v>NEEDS REVIEW</v>
      </c>
      <c r="K68" t="str">
        <f t="shared" si="5"/>
        <v>NEEDS REVIEW</v>
      </c>
    </row>
    <row r="69" spans="5:11" x14ac:dyDescent="0.2">
      <c r="E69" t="str" cm="1">
        <f t="array" ref="E69">IFERROR(INDEX(Merchant_Lookup!$C$2:$C$27,MATCH(TRUE,ISNUMBER(SEARCH(Merchant_Lookup!$A$2:$A$26,UPPER(B69))),0)),"NEEDS REVIEW")</f>
        <v>NEEDS REVIEW</v>
      </c>
      <c r="F69" t="str">
        <f>IF(E69="NEEDS REVIEW","",INDEX(Merchant_Lookup!$D$2:$D$27,MATCH(E69,Merchant_Lookup!$C$2:$C$27,0)))</f>
        <v/>
      </c>
      <c r="G69" t="str">
        <f>IF(E69="NEEDS REVIEW","",INDEX(Merchant_Lookup!$E$2:$E$27,MATCH(E69,Merchant_Lookup!$C$2:$C$27,0)))</f>
        <v/>
      </c>
      <c r="I69" t="str">
        <f t="shared" si="3"/>
        <v>NEEDS REVIEW</v>
      </c>
      <c r="J69" t="str">
        <f t="shared" si="4"/>
        <v>NEEDS REVIEW</v>
      </c>
      <c r="K69" t="str">
        <f t="shared" si="5"/>
        <v>NEEDS REVIEW</v>
      </c>
    </row>
    <row r="70" spans="5:11" x14ac:dyDescent="0.2">
      <c r="E70" t="str" cm="1">
        <f t="array" ref="E70">IFERROR(INDEX(Merchant_Lookup!$C$2:$C$27,MATCH(TRUE,ISNUMBER(SEARCH(Merchant_Lookup!$A$2:$A$26,UPPER(B70))),0)),"NEEDS REVIEW")</f>
        <v>NEEDS REVIEW</v>
      </c>
      <c r="F70" t="str">
        <f>IF(E70="NEEDS REVIEW","",INDEX(Merchant_Lookup!$D$2:$D$27,MATCH(E70,Merchant_Lookup!$C$2:$C$27,0)))</f>
        <v/>
      </c>
      <c r="G70" t="str">
        <f>IF(E70="NEEDS REVIEW","",INDEX(Merchant_Lookup!$E$2:$E$27,MATCH(E70,Merchant_Lookup!$C$2:$C$27,0)))</f>
        <v/>
      </c>
      <c r="I70" t="str">
        <f t="shared" si="3"/>
        <v>NEEDS REVIEW</v>
      </c>
      <c r="J70" t="str">
        <f t="shared" si="4"/>
        <v>NEEDS REVIEW</v>
      </c>
      <c r="K70" t="str">
        <f t="shared" si="5"/>
        <v>NEEDS REVIEW</v>
      </c>
    </row>
    <row r="71" spans="5:11" x14ac:dyDescent="0.2">
      <c r="E71" t="str" cm="1">
        <f t="array" ref="E71">IFERROR(INDEX(Merchant_Lookup!$C$2:$C$27,MATCH(TRUE,ISNUMBER(SEARCH(Merchant_Lookup!$A$2:$A$26,UPPER(B71))),0)),"NEEDS REVIEW")</f>
        <v>NEEDS REVIEW</v>
      </c>
      <c r="F71" t="str">
        <f>IF(E71="NEEDS REVIEW","",INDEX(Merchant_Lookup!$D$2:$D$27,MATCH(E71,Merchant_Lookup!$C$2:$C$27,0)))</f>
        <v/>
      </c>
      <c r="G71" t="str">
        <f>IF(E71="NEEDS REVIEW","",INDEX(Merchant_Lookup!$E$2:$E$27,MATCH(E71,Merchant_Lookup!$C$2:$C$27,0)))</f>
        <v/>
      </c>
      <c r="I71" t="str">
        <f t="shared" si="3"/>
        <v>NEEDS REVIEW</v>
      </c>
      <c r="J71" t="str">
        <f t="shared" si="4"/>
        <v>NEEDS REVIEW</v>
      </c>
      <c r="K71" t="str">
        <f t="shared" si="5"/>
        <v>NEEDS REVIEW</v>
      </c>
    </row>
    <row r="72" spans="5:11" x14ac:dyDescent="0.2">
      <c r="E72" t="str" cm="1">
        <f t="array" ref="E72">IFERROR(INDEX(Merchant_Lookup!$C$2:$C$27,MATCH(TRUE,ISNUMBER(SEARCH(Merchant_Lookup!$A$2:$A$26,UPPER(B72))),0)),"NEEDS REVIEW")</f>
        <v>NEEDS REVIEW</v>
      </c>
      <c r="F72" t="str">
        <f>IF(E72="NEEDS REVIEW","",INDEX(Merchant_Lookup!$D$2:$D$27,MATCH(E72,Merchant_Lookup!$C$2:$C$27,0)))</f>
        <v/>
      </c>
      <c r="G72" t="str">
        <f>IF(E72="NEEDS REVIEW","",INDEX(Merchant_Lookup!$E$2:$E$27,MATCH(E72,Merchant_Lookup!$C$2:$C$27,0)))</f>
        <v/>
      </c>
      <c r="I72" t="str">
        <f t="shared" si="3"/>
        <v>NEEDS REVIEW</v>
      </c>
      <c r="J72" t="str">
        <f t="shared" si="4"/>
        <v>NEEDS REVIEW</v>
      </c>
      <c r="K72" t="str">
        <f t="shared" si="5"/>
        <v>NEEDS REVIEW</v>
      </c>
    </row>
    <row r="73" spans="5:11" x14ac:dyDescent="0.2">
      <c r="E73" t="str" cm="1">
        <f t="array" ref="E73">IFERROR(INDEX(Merchant_Lookup!$C$2:$C$27,MATCH(TRUE,ISNUMBER(SEARCH(Merchant_Lookup!$A$2:$A$26,UPPER(B73))),0)),"NEEDS REVIEW")</f>
        <v>NEEDS REVIEW</v>
      </c>
      <c r="F73" t="str">
        <f>IF(E73="NEEDS REVIEW","",INDEX(Merchant_Lookup!$D$2:$D$27,MATCH(E73,Merchant_Lookup!$C$2:$C$27,0)))</f>
        <v/>
      </c>
      <c r="G73" t="str">
        <f>IF(E73="NEEDS REVIEW","",INDEX(Merchant_Lookup!$E$2:$E$27,MATCH(E73,Merchant_Lookup!$C$2:$C$27,0)))</f>
        <v/>
      </c>
      <c r="I73" t="str">
        <f t="shared" si="3"/>
        <v>NEEDS REVIEW</v>
      </c>
      <c r="J73" t="str">
        <f t="shared" si="4"/>
        <v>NEEDS REVIEW</v>
      </c>
      <c r="K73" t="str">
        <f t="shared" si="5"/>
        <v>NEEDS REVIEW</v>
      </c>
    </row>
    <row r="74" spans="5:11" x14ac:dyDescent="0.2">
      <c r="E74" t="str" cm="1">
        <f t="array" ref="E74">IFERROR(INDEX(Merchant_Lookup!$C$2:$C$27,MATCH(TRUE,ISNUMBER(SEARCH(Merchant_Lookup!$A$2:$A$26,UPPER(B74))),0)),"NEEDS REVIEW")</f>
        <v>NEEDS REVIEW</v>
      </c>
      <c r="F74" t="str">
        <f>IF(E74="NEEDS REVIEW","",INDEX(Merchant_Lookup!$D$2:$D$27,MATCH(E74,Merchant_Lookup!$C$2:$C$27,0)))</f>
        <v/>
      </c>
      <c r="G74" t="str">
        <f>IF(E74="NEEDS REVIEW","",INDEX(Merchant_Lookup!$E$2:$E$27,MATCH(E74,Merchant_Lookup!$C$2:$C$27,0)))</f>
        <v/>
      </c>
      <c r="I74" t="str">
        <f t="shared" si="3"/>
        <v>NEEDS REVIEW</v>
      </c>
      <c r="J74" t="str">
        <f t="shared" si="4"/>
        <v>NEEDS REVIEW</v>
      </c>
      <c r="K74" t="str">
        <f t="shared" si="5"/>
        <v>NEEDS REVIEW</v>
      </c>
    </row>
    <row r="75" spans="5:11" x14ac:dyDescent="0.2">
      <c r="E75" t="str" cm="1">
        <f t="array" ref="E75">IFERROR(INDEX(Merchant_Lookup!$C$2:$C$27,MATCH(TRUE,ISNUMBER(SEARCH(Merchant_Lookup!$A$2:$A$26,UPPER(B75))),0)),"NEEDS REVIEW")</f>
        <v>NEEDS REVIEW</v>
      </c>
      <c r="F75" t="str">
        <f>IF(E75="NEEDS REVIEW","",INDEX(Merchant_Lookup!$D$2:$D$27,MATCH(E75,Merchant_Lookup!$C$2:$C$27,0)))</f>
        <v/>
      </c>
      <c r="G75" t="str">
        <f>IF(E75="NEEDS REVIEW","",INDEX(Merchant_Lookup!$E$2:$E$27,MATCH(E75,Merchant_Lookup!$C$2:$C$27,0)))</f>
        <v/>
      </c>
      <c r="I75" t="str">
        <f t="shared" si="3"/>
        <v>NEEDS REVIEW</v>
      </c>
      <c r="J75" t="str">
        <f t="shared" si="4"/>
        <v>NEEDS REVIEW</v>
      </c>
      <c r="K75" t="str">
        <f t="shared" si="5"/>
        <v>NEEDS REVIEW</v>
      </c>
    </row>
    <row r="76" spans="5:11" x14ac:dyDescent="0.2">
      <c r="E76" t="str" cm="1">
        <f t="array" ref="E76">IFERROR(INDEX(Merchant_Lookup!$C$2:$C$27,MATCH(TRUE,ISNUMBER(SEARCH(Merchant_Lookup!$A$2:$A$26,UPPER(B76))),0)),"NEEDS REVIEW")</f>
        <v>NEEDS REVIEW</v>
      </c>
      <c r="F76" t="str">
        <f>IF(E76="NEEDS REVIEW","",INDEX(Merchant_Lookup!$D$2:$D$27,MATCH(E76,Merchant_Lookup!$C$2:$C$27,0)))</f>
        <v/>
      </c>
      <c r="G76" t="str">
        <f>IF(E76="NEEDS REVIEW","",INDEX(Merchant_Lookup!$E$2:$E$27,MATCH(E76,Merchant_Lookup!$C$2:$C$27,0)))</f>
        <v/>
      </c>
      <c r="I76" t="str">
        <f t="shared" si="3"/>
        <v>NEEDS REVIEW</v>
      </c>
      <c r="J76" t="str">
        <f t="shared" si="4"/>
        <v>NEEDS REVIEW</v>
      </c>
      <c r="K76" t="str">
        <f t="shared" si="5"/>
        <v>NEEDS REVIEW</v>
      </c>
    </row>
    <row r="77" spans="5:11" x14ac:dyDescent="0.2">
      <c r="E77" t="str" cm="1">
        <f t="array" ref="E77">IFERROR(INDEX(Merchant_Lookup!$C$2:$C$27,MATCH(TRUE,ISNUMBER(SEARCH(Merchant_Lookup!$A$2:$A$26,UPPER(B77))),0)),"NEEDS REVIEW")</f>
        <v>NEEDS REVIEW</v>
      </c>
      <c r="F77" t="str">
        <f>IF(E77="NEEDS REVIEW","",INDEX(Merchant_Lookup!$D$2:$D$27,MATCH(E77,Merchant_Lookup!$C$2:$C$27,0)))</f>
        <v/>
      </c>
      <c r="G77" t="str">
        <f>IF(E77="NEEDS REVIEW","",INDEX(Merchant_Lookup!$E$2:$E$27,MATCH(E77,Merchant_Lookup!$C$2:$C$27,0)))</f>
        <v/>
      </c>
      <c r="I77" t="str">
        <f t="shared" si="3"/>
        <v>NEEDS REVIEW</v>
      </c>
      <c r="J77" t="str">
        <f t="shared" si="4"/>
        <v>NEEDS REVIEW</v>
      </c>
      <c r="K77" t="str">
        <f t="shared" si="5"/>
        <v>NEEDS REVIEW</v>
      </c>
    </row>
    <row r="78" spans="5:11" x14ac:dyDescent="0.2">
      <c r="E78" t="str" cm="1">
        <f t="array" ref="E78">IFERROR(INDEX(Merchant_Lookup!$C$2:$C$27,MATCH(TRUE,ISNUMBER(SEARCH(Merchant_Lookup!$A$2:$A$26,UPPER(B78))),0)),"NEEDS REVIEW")</f>
        <v>NEEDS REVIEW</v>
      </c>
      <c r="F78" t="str">
        <f>IF(E78="NEEDS REVIEW","",INDEX(Merchant_Lookup!$D$2:$D$27,MATCH(E78,Merchant_Lookup!$C$2:$C$27,0)))</f>
        <v/>
      </c>
      <c r="G78" t="str">
        <f>IF(E78="NEEDS REVIEW","",INDEX(Merchant_Lookup!$E$2:$E$27,MATCH(E78,Merchant_Lookup!$C$2:$C$27,0)))</f>
        <v/>
      </c>
      <c r="I78" t="str">
        <f t="shared" si="3"/>
        <v>NEEDS REVIEW</v>
      </c>
      <c r="J78" t="str">
        <f t="shared" si="4"/>
        <v>NEEDS REVIEW</v>
      </c>
      <c r="K78" t="str">
        <f t="shared" si="5"/>
        <v>NEEDS REVIEW</v>
      </c>
    </row>
    <row r="79" spans="5:11" x14ac:dyDescent="0.2">
      <c r="E79" t="str" cm="1">
        <f t="array" ref="E79">IFERROR(INDEX(Merchant_Lookup!$C$2:$C$27,MATCH(TRUE,ISNUMBER(SEARCH(Merchant_Lookup!$A$2:$A$26,UPPER(B79))),0)),"NEEDS REVIEW")</f>
        <v>NEEDS REVIEW</v>
      </c>
      <c r="F79" t="str">
        <f>IF(E79="NEEDS REVIEW","",INDEX(Merchant_Lookup!$D$2:$D$27,MATCH(E79,Merchant_Lookup!$C$2:$C$27,0)))</f>
        <v/>
      </c>
      <c r="G79" t="str">
        <f>IF(E79="NEEDS REVIEW","",INDEX(Merchant_Lookup!$E$2:$E$27,MATCH(E79,Merchant_Lookup!$C$2:$C$27,0)))</f>
        <v/>
      </c>
      <c r="I79" t="str">
        <f t="shared" si="3"/>
        <v>NEEDS REVIEW</v>
      </c>
      <c r="J79" t="str">
        <f t="shared" si="4"/>
        <v>NEEDS REVIEW</v>
      </c>
      <c r="K79" t="str">
        <f t="shared" si="5"/>
        <v>NEEDS REVIEW</v>
      </c>
    </row>
    <row r="80" spans="5:11" x14ac:dyDescent="0.2">
      <c r="E80" t="str" cm="1">
        <f t="array" ref="E80">IFERROR(INDEX(Merchant_Lookup!$C$2:$C$27,MATCH(TRUE,ISNUMBER(SEARCH(Merchant_Lookup!$A$2:$A$26,UPPER(B80))),0)),"NEEDS REVIEW")</f>
        <v>NEEDS REVIEW</v>
      </c>
      <c r="F80" t="str">
        <f>IF(E80="NEEDS REVIEW","",INDEX(Merchant_Lookup!$D$2:$D$27,MATCH(E80,Merchant_Lookup!$C$2:$C$27,0)))</f>
        <v/>
      </c>
      <c r="G80" t="str">
        <f>IF(E80="NEEDS REVIEW","",INDEX(Merchant_Lookup!$E$2:$E$27,MATCH(E80,Merchant_Lookup!$C$2:$C$27,0)))</f>
        <v/>
      </c>
      <c r="I80" t="str">
        <f t="shared" si="3"/>
        <v>NEEDS REVIEW</v>
      </c>
      <c r="J80" t="str">
        <f t="shared" si="4"/>
        <v>NEEDS REVIEW</v>
      </c>
      <c r="K80" t="str">
        <f t="shared" si="5"/>
        <v>NEEDS REVIEW</v>
      </c>
    </row>
    <row r="81" spans="5:11" x14ac:dyDescent="0.2">
      <c r="E81" t="str" cm="1">
        <f t="array" ref="E81">IFERROR(INDEX(Merchant_Lookup!$C$2:$C$27,MATCH(TRUE,ISNUMBER(SEARCH(Merchant_Lookup!$A$2:$A$26,UPPER(B81))),0)),"NEEDS REVIEW")</f>
        <v>NEEDS REVIEW</v>
      </c>
      <c r="F81" t="str">
        <f>IF(E81="NEEDS REVIEW","",INDEX(Merchant_Lookup!$D$2:$D$27,MATCH(E81,Merchant_Lookup!$C$2:$C$27,0)))</f>
        <v/>
      </c>
      <c r="G81" t="str">
        <f>IF(E81="NEEDS REVIEW","",INDEX(Merchant_Lookup!$E$2:$E$27,MATCH(E81,Merchant_Lookup!$C$2:$C$27,0)))</f>
        <v/>
      </c>
      <c r="I81" t="str">
        <f t="shared" si="3"/>
        <v>NEEDS REVIEW</v>
      </c>
      <c r="J81" t="str">
        <f t="shared" si="4"/>
        <v>NEEDS REVIEW</v>
      </c>
      <c r="K81" t="str">
        <f t="shared" si="5"/>
        <v>NEEDS REVIEW</v>
      </c>
    </row>
    <row r="82" spans="5:11" x14ac:dyDescent="0.2">
      <c r="E82" t="str" cm="1">
        <f t="array" ref="E82">IFERROR(INDEX(Merchant_Lookup!$C$2:$C$27,MATCH(TRUE,ISNUMBER(SEARCH(Merchant_Lookup!$A$2:$A$26,UPPER(B82))),0)),"NEEDS REVIEW")</f>
        <v>NEEDS REVIEW</v>
      </c>
      <c r="F82" t="str">
        <f>IF(E82="NEEDS REVIEW","",INDEX(Merchant_Lookup!$D$2:$D$27,MATCH(E82,Merchant_Lookup!$C$2:$C$27,0)))</f>
        <v/>
      </c>
      <c r="G82" t="str">
        <f>IF(E82="NEEDS REVIEW","",INDEX(Merchant_Lookup!$E$2:$E$27,MATCH(E82,Merchant_Lookup!$C$2:$C$27,0)))</f>
        <v/>
      </c>
      <c r="I82" t="str">
        <f t="shared" si="3"/>
        <v>NEEDS REVIEW</v>
      </c>
      <c r="J82" t="str">
        <f t="shared" si="4"/>
        <v>NEEDS REVIEW</v>
      </c>
      <c r="K82" t="str">
        <f t="shared" si="5"/>
        <v>NEEDS REVIEW</v>
      </c>
    </row>
    <row r="83" spans="5:11" x14ac:dyDescent="0.2">
      <c r="E83" t="str" cm="1">
        <f t="array" ref="E83">IFERROR(INDEX(Merchant_Lookup!$C$2:$C$27,MATCH(TRUE,ISNUMBER(SEARCH(Merchant_Lookup!$A$2:$A$26,UPPER(B83))),0)),"NEEDS REVIEW")</f>
        <v>NEEDS REVIEW</v>
      </c>
      <c r="F83" t="str">
        <f>IF(E83="NEEDS REVIEW","",INDEX(Merchant_Lookup!$D$2:$D$27,MATCH(E83,Merchant_Lookup!$C$2:$C$27,0)))</f>
        <v/>
      </c>
      <c r="G83" t="str">
        <f>IF(E83="NEEDS REVIEW","",INDEX(Merchant_Lookup!$E$2:$E$27,MATCH(E83,Merchant_Lookup!$C$2:$C$27,0)))</f>
        <v/>
      </c>
      <c r="I83" t="str">
        <f t="shared" si="3"/>
        <v>NEEDS REVIEW</v>
      </c>
      <c r="J83" t="str">
        <f t="shared" si="4"/>
        <v>NEEDS REVIEW</v>
      </c>
      <c r="K83" t="str">
        <f t="shared" si="5"/>
        <v>NEEDS REVIEW</v>
      </c>
    </row>
    <row r="84" spans="5:11" x14ac:dyDescent="0.2">
      <c r="E84" t="str" cm="1">
        <f t="array" ref="E84">IFERROR(INDEX(Merchant_Lookup!$C$2:$C$27,MATCH(TRUE,ISNUMBER(SEARCH(Merchant_Lookup!$A$2:$A$26,UPPER(B84))),0)),"NEEDS REVIEW")</f>
        <v>NEEDS REVIEW</v>
      </c>
      <c r="F84" t="str">
        <f>IF(E84="NEEDS REVIEW","",INDEX(Merchant_Lookup!$D$2:$D$27,MATCH(E84,Merchant_Lookup!$C$2:$C$27,0)))</f>
        <v/>
      </c>
      <c r="G84" t="str">
        <f>IF(E84="NEEDS REVIEW","",INDEX(Merchant_Lookup!$E$2:$E$27,MATCH(E84,Merchant_Lookup!$C$2:$C$27,0)))</f>
        <v/>
      </c>
      <c r="I84" t="str">
        <f t="shared" si="3"/>
        <v>NEEDS REVIEW</v>
      </c>
      <c r="J84" t="str">
        <f t="shared" si="4"/>
        <v>NEEDS REVIEW</v>
      </c>
      <c r="K84" t="str">
        <f t="shared" si="5"/>
        <v>NEEDS REVIEW</v>
      </c>
    </row>
    <row r="85" spans="5:11" x14ac:dyDescent="0.2">
      <c r="E85" t="str" cm="1">
        <f t="array" ref="E85">IFERROR(INDEX(Merchant_Lookup!$C$2:$C$27,MATCH(TRUE,ISNUMBER(SEARCH(Merchant_Lookup!$A$2:$A$26,UPPER(B85))),0)),"NEEDS REVIEW")</f>
        <v>NEEDS REVIEW</v>
      </c>
      <c r="F85" t="str">
        <f>IF(E85="NEEDS REVIEW","",INDEX(Merchant_Lookup!$D$2:$D$27,MATCH(E85,Merchant_Lookup!$C$2:$C$27,0)))</f>
        <v/>
      </c>
      <c r="G85" t="str">
        <f>IF(E85="NEEDS REVIEW","",INDEX(Merchant_Lookup!$E$2:$E$27,MATCH(E85,Merchant_Lookup!$C$2:$C$27,0)))</f>
        <v/>
      </c>
      <c r="I85" t="str">
        <f t="shared" si="3"/>
        <v>NEEDS REVIEW</v>
      </c>
      <c r="J85" t="str">
        <f t="shared" si="4"/>
        <v>NEEDS REVIEW</v>
      </c>
      <c r="K85" t="str">
        <f t="shared" si="5"/>
        <v>NEEDS REVIEW</v>
      </c>
    </row>
    <row r="86" spans="5:11" x14ac:dyDescent="0.2">
      <c r="E86" t="str" cm="1">
        <f t="array" ref="E86">IFERROR(INDEX(Merchant_Lookup!$C$2:$C$27,MATCH(TRUE,ISNUMBER(SEARCH(Merchant_Lookup!$A$2:$A$26,UPPER(B86))),0)),"NEEDS REVIEW")</f>
        <v>NEEDS REVIEW</v>
      </c>
      <c r="F86" t="str">
        <f>IF(E86="NEEDS REVIEW","",INDEX(Merchant_Lookup!$D$2:$D$27,MATCH(E86,Merchant_Lookup!$C$2:$C$27,0)))</f>
        <v/>
      </c>
      <c r="G86" t="str">
        <f>IF(E86="NEEDS REVIEW","",INDEX(Merchant_Lookup!$E$2:$E$27,MATCH(E86,Merchant_Lookup!$C$2:$C$27,0)))</f>
        <v/>
      </c>
      <c r="I86" t="str">
        <f t="shared" si="3"/>
        <v>NEEDS REVIEW</v>
      </c>
      <c r="J86" t="str">
        <f t="shared" si="4"/>
        <v>NEEDS REVIEW</v>
      </c>
      <c r="K86" t="str">
        <f t="shared" si="5"/>
        <v>NEEDS REVIEW</v>
      </c>
    </row>
    <row r="87" spans="5:11" x14ac:dyDescent="0.2">
      <c r="E87" t="str" cm="1">
        <f t="array" ref="E87">IFERROR(INDEX(Merchant_Lookup!$C$2:$C$27,MATCH(TRUE,ISNUMBER(SEARCH(Merchant_Lookup!$A$2:$A$26,UPPER(B87))),0)),"NEEDS REVIEW")</f>
        <v>NEEDS REVIEW</v>
      </c>
      <c r="F87" t="str">
        <f>IF(E87="NEEDS REVIEW","",INDEX(Merchant_Lookup!$D$2:$D$27,MATCH(E87,Merchant_Lookup!$C$2:$C$27,0)))</f>
        <v/>
      </c>
      <c r="G87" t="str">
        <f>IF(E87="NEEDS REVIEW","",INDEX(Merchant_Lookup!$E$2:$E$27,MATCH(E87,Merchant_Lookup!$C$2:$C$27,0)))</f>
        <v/>
      </c>
      <c r="I87" t="str">
        <f t="shared" si="3"/>
        <v>NEEDS REVIEW</v>
      </c>
      <c r="J87" t="str">
        <f t="shared" si="4"/>
        <v>NEEDS REVIEW</v>
      </c>
      <c r="K87" t="str">
        <f t="shared" si="5"/>
        <v>NEEDS REVIEW</v>
      </c>
    </row>
    <row r="88" spans="5:11" x14ac:dyDescent="0.2">
      <c r="E88" t="str" cm="1">
        <f t="array" ref="E88">IFERROR(INDEX(Merchant_Lookup!$C$2:$C$27,MATCH(TRUE,ISNUMBER(SEARCH(Merchant_Lookup!$A$2:$A$26,UPPER(B88))),0)),"NEEDS REVIEW")</f>
        <v>NEEDS REVIEW</v>
      </c>
      <c r="F88" t="str">
        <f>IF(E88="NEEDS REVIEW","",INDEX(Merchant_Lookup!$D$2:$D$27,MATCH(E88,Merchant_Lookup!$C$2:$C$27,0)))</f>
        <v/>
      </c>
      <c r="G88" t="str">
        <f>IF(E88="NEEDS REVIEW","",INDEX(Merchant_Lookup!$E$2:$E$27,MATCH(E88,Merchant_Lookup!$C$2:$C$27,0)))</f>
        <v/>
      </c>
      <c r="I88" t="str">
        <f t="shared" si="3"/>
        <v>NEEDS REVIEW</v>
      </c>
      <c r="J88" t="str">
        <f t="shared" si="4"/>
        <v>NEEDS REVIEW</v>
      </c>
      <c r="K88" t="str">
        <f t="shared" si="5"/>
        <v>NEEDS REVIEW</v>
      </c>
    </row>
    <row r="89" spans="5:11" x14ac:dyDescent="0.2">
      <c r="E89" t="str" cm="1">
        <f t="array" ref="E89">IFERROR(INDEX(Merchant_Lookup!$C$2:$C$27,MATCH(TRUE,ISNUMBER(SEARCH(Merchant_Lookup!$A$2:$A$26,UPPER(B89))),0)),"NEEDS REVIEW")</f>
        <v>NEEDS REVIEW</v>
      </c>
      <c r="F89" t="str">
        <f>IF(E89="NEEDS REVIEW","",INDEX(Merchant_Lookup!$D$2:$D$27,MATCH(E89,Merchant_Lookup!$C$2:$C$27,0)))</f>
        <v/>
      </c>
      <c r="G89" t="str">
        <f>IF(E89="NEEDS REVIEW","",INDEX(Merchant_Lookup!$E$2:$E$27,MATCH(E89,Merchant_Lookup!$C$2:$C$27,0)))</f>
        <v/>
      </c>
      <c r="I89" t="str">
        <f t="shared" si="3"/>
        <v>NEEDS REVIEW</v>
      </c>
      <c r="J89" t="str">
        <f t="shared" si="4"/>
        <v>NEEDS REVIEW</v>
      </c>
      <c r="K89" t="str">
        <f t="shared" si="5"/>
        <v>NEEDS REVIEW</v>
      </c>
    </row>
    <row r="90" spans="5:11" x14ac:dyDescent="0.2">
      <c r="E90" t="str" cm="1">
        <f t="array" ref="E90">IFERROR(INDEX(Merchant_Lookup!$C$2:$C$27,MATCH(TRUE,ISNUMBER(SEARCH(Merchant_Lookup!$A$2:$A$26,UPPER(B90))),0)),"NEEDS REVIEW")</f>
        <v>NEEDS REVIEW</v>
      </c>
      <c r="F90" t="str">
        <f>IF(E90="NEEDS REVIEW","",INDEX(Merchant_Lookup!$D$2:$D$27,MATCH(E90,Merchant_Lookup!$C$2:$C$27,0)))</f>
        <v/>
      </c>
      <c r="G90" t="str">
        <f>IF(E90="NEEDS REVIEW","",INDEX(Merchant_Lookup!$E$2:$E$27,MATCH(E90,Merchant_Lookup!$C$2:$C$27,0)))</f>
        <v/>
      </c>
      <c r="I90" t="str">
        <f t="shared" si="3"/>
        <v>NEEDS REVIEW</v>
      </c>
      <c r="J90" t="str">
        <f t="shared" si="4"/>
        <v>NEEDS REVIEW</v>
      </c>
      <c r="K90" t="str">
        <f t="shared" si="5"/>
        <v>NEEDS REVIEW</v>
      </c>
    </row>
    <row r="91" spans="5:11" x14ac:dyDescent="0.2">
      <c r="E91" t="str" cm="1">
        <f t="array" ref="E91">IFERROR(INDEX(Merchant_Lookup!$C$2:$C$27,MATCH(TRUE,ISNUMBER(SEARCH(Merchant_Lookup!$A$2:$A$26,UPPER(B91))),0)),"NEEDS REVIEW")</f>
        <v>NEEDS REVIEW</v>
      </c>
      <c r="F91" t="str">
        <f>IF(E91="NEEDS REVIEW","",INDEX(Merchant_Lookup!$D$2:$D$27,MATCH(E91,Merchant_Lookup!$C$2:$C$27,0)))</f>
        <v/>
      </c>
      <c r="G91" t="str">
        <f>IF(E91="NEEDS REVIEW","",INDEX(Merchant_Lookup!$E$2:$E$27,MATCH(E91,Merchant_Lookup!$C$2:$C$27,0)))</f>
        <v/>
      </c>
      <c r="I91" t="str">
        <f t="shared" si="3"/>
        <v>NEEDS REVIEW</v>
      </c>
      <c r="J91" t="str">
        <f t="shared" si="4"/>
        <v>NEEDS REVIEW</v>
      </c>
      <c r="K91" t="str">
        <f t="shared" si="5"/>
        <v>NEEDS REVIEW</v>
      </c>
    </row>
    <row r="92" spans="5:11" x14ac:dyDescent="0.2">
      <c r="E92" t="str" cm="1">
        <f t="array" ref="E92">IFERROR(INDEX(Merchant_Lookup!$C$2:$C$27,MATCH(TRUE,ISNUMBER(SEARCH(Merchant_Lookup!$A$2:$A$26,UPPER(B92))),0)),"NEEDS REVIEW")</f>
        <v>NEEDS REVIEW</v>
      </c>
      <c r="F92" t="str">
        <f>IF(E92="NEEDS REVIEW","",INDEX(Merchant_Lookup!$D$2:$D$27,MATCH(E92,Merchant_Lookup!$C$2:$C$27,0)))</f>
        <v/>
      </c>
      <c r="G92" t="str">
        <f>IF(E92="NEEDS REVIEW","",INDEX(Merchant_Lookup!$E$2:$E$27,MATCH(E92,Merchant_Lookup!$C$2:$C$27,0)))</f>
        <v/>
      </c>
      <c r="I92" t="str">
        <f t="shared" si="3"/>
        <v>NEEDS REVIEW</v>
      </c>
      <c r="J92" t="str">
        <f t="shared" si="4"/>
        <v>NEEDS REVIEW</v>
      </c>
      <c r="K92" t="str">
        <f t="shared" si="5"/>
        <v>NEEDS REVIEW</v>
      </c>
    </row>
    <row r="93" spans="5:11" x14ac:dyDescent="0.2">
      <c r="E93" t="str" cm="1">
        <f t="array" ref="E93">IFERROR(INDEX(Merchant_Lookup!$C$2:$C$27,MATCH(TRUE,ISNUMBER(SEARCH(Merchant_Lookup!$A$2:$A$26,UPPER(B93))),0)),"NEEDS REVIEW")</f>
        <v>NEEDS REVIEW</v>
      </c>
      <c r="F93" t="str">
        <f>IF(E93="NEEDS REVIEW","",INDEX(Merchant_Lookup!$D$2:$D$27,MATCH(E93,Merchant_Lookup!$C$2:$C$27,0)))</f>
        <v/>
      </c>
      <c r="G93" t="str">
        <f>IF(E93="NEEDS REVIEW","",INDEX(Merchant_Lookup!$E$2:$E$27,MATCH(E93,Merchant_Lookup!$C$2:$C$27,0)))</f>
        <v/>
      </c>
      <c r="I93" t="str">
        <f t="shared" si="3"/>
        <v>NEEDS REVIEW</v>
      </c>
      <c r="J93" t="str">
        <f t="shared" si="4"/>
        <v>NEEDS REVIEW</v>
      </c>
      <c r="K93" t="str">
        <f t="shared" si="5"/>
        <v>NEEDS REVIEW</v>
      </c>
    </row>
    <row r="94" spans="5:11" x14ac:dyDescent="0.2">
      <c r="E94" t="str" cm="1">
        <f t="array" ref="E94">IFERROR(INDEX(Merchant_Lookup!$C$2:$C$27,MATCH(TRUE,ISNUMBER(SEARCH(Merchant_Lookup!$A$2:$A$26,UPPER(B94))),0)),"NEEDS REVIEW")</f>
        <v>NEEDS REVIEW</v>
      </c>
      <c r="F94" t="str">
        <f>IF(E94="NEEDS REVIEW","",INDEX(Merchant_Lookup!$D$2:$D$27,MATCH(E94,Merchant_Lookup!$C$2:$C$27,0)))</f>
        <v/>
      </c>
      <c r="G94" t="str">
        <f>IF(E94="NEEDS REVIEW","",INDEX(Merchant_Lookup!$E$2:$E$27,MATCH(E94,Merchant_Lookup!$C$2:$C$27,0)))</f>
        <v/>
      </c>
      <c r="I94" t="str">
        <f t="shared" si="3"/>
        <v>NEEDS REVIEW</v>
      </c>
      <c r="J94" t="str">
        <f t="shared" si="4"/>
        <v>NEEDS REVIEW</v>
      </c>
      <c r="K94" t="str">
        <f t="shared" si="5"/>
        <v>NEEDS REVIEW</v>
      </c>
    </row>
    <row r="95" spans="5:11" x14ac:dyDescent="0.2">
      <c r="E95" t="str" cm="1">
        <f t="array" ref="E95">IFERROR(INDEX(Merchant_Lookup!$C$2:$C$27,MATCH(TRUE,ISNUMBER(SEARCH(Merchant_Lookup!$A$2:$A$26,UPPER(B95))),0)),"NEEDS REVIEW")</f>
        <v>NEEDS REVIEW</v>
      </c>
      <c r="F95" t="str">
        <f>IF(E95="NEEDS REVIEW","",INDEX(Merchant_Lookup!$D$2:$D$27,MATCH(E95,Merchant_Lookup!$C$2:$C$27,0)))</f>
        <v/>
      </c>
      <c r="G95" t="str">
        <f>IF(E95="NEEDS REVIEW","",INDEX(Merchant_Lookup!$E$2:$E$27,MATCH(E95,Merchant_Lookup!$C$2:$C$27,0)))</f>
        <v/>
      </c>
      <c r="I95" t="str">
        <f t="shared" si="3"/>
        <v>NEEDS REVIEW</v>
      </c>
      <c r="J95" t="str">
        <f t="shared" si="4"/>
        <v>NEEDS REVIEW</v>
      </c>
      <c r="K95" t="str">
        <f t="shared" si="5"/>
        <v>NEEDS REVIEW</v>
      </c>
    </row>
    <row r="96" spans="5:11" x14ac:dyDescent="0.2">
      <c r="E96" t="str" cm="1">
        <f t="array" ref="E96">IFERROR(INDEX(Merchant_Lookup!$C$2:$C$27,MATCH(TRUE,ISNUMBER(SEARCH(Merchant_Lookup!$A$2:$A$26,UPPER(B96))),0)),"NEEDS REVIEW")</f>
        <v>NEEDS REVIEW</v>
      </c>
      <c r="F96" t="str">
        <f>IF(E96="NEEDS REVIEW","",INDEX(Merchant_Lookup!$D$2:$D$27,MATCH(E96,Merchant_Lookup!$C$2:$C$27,0)))</f>
        <v/>
      </c>
      <c r="G96" t="str">
        <f>IF(E96="NEEDS REVIEW","",INDEX(Merchant_Lookup!$E$2:$E$27,MATCH(E96,Merchant_Lookup!$C$2:$C$27,0)))</f>
        <v/>
      </c>
      <c r="I96" t="str">
        <f t="shared" si="3"/>
        <v>NEEDS REVIEW</v>
      </c>
      <c r="J96" t="str">
        <f t="shared" si="4"/>
        <v>NEEDS REVIEW</v>
      </c>
      <c r="K96" t="str">
        <f t="shared" si="5"/>
        <v>NEEDS REVIEW</v>
      </c>
    </row>
    <row r="97" spans="5:11" x14ac:dyDescent="0.2">
      <c r="E97" t="str" cm="1">
        <f t="array" ref="E97">IFERROR(INDEX(Merchant_Lookup!$C$2:$C$27,MATCH(TRUE,ISNUMBER(SEARCH(Merchant_Lookup!$A$2:$A$26,UPPER(B97))),0)),"NEEDS REVIEW")</f>
        <v>NEEDS REVIEW</v>
      </c>
      <c r="F97" t="str">
        <f>IF(E97="NEEDS REVIEW","",INDEX(Merchant_Lookup!$D$2:$D$27,MATCH(E97,Merchant_Lookup!$C$2:$C$27,0)))</f>
        <v/>
      </c>
      <c r="G97" t="str">
        <f>IF(E97="NEEDS REVIEW","",INDEX(Merchant_Lookup!$E$2:$E$27,MATCH(E97,Merchant_Lookup!$C$2:$C$27,0)))</f>
        <v/>
      </c>
      <c r="I97" t="str">
        <f t="shared" si="3"/>
        <v>NEEDS REVIEW</v>
      </c>
      <c r="J97" t="str">
        <f t="shared" si="4"/>
        <v>NEEDS REVIEW</v>
      </c>
      <c r="K97" t="str">
        <f t="shared" si="5"/>
        <v>NEEDS REVIEW</v>
      </c>
    </row>
    <row r="98" spans="5:11" x14ac:dyDescent="0.2">
      <c r="E98" t="str" cm="1">
        <f t="array" ref="E98">IFERROR(INDEX(Merchant_Lookup!$C$2:$C$27,MATCH(TRUE,ISNUMBER(SEARCH(Merchant_Lookup!$A$2:$A$26,UPPER(B98))),0)),"NEEDS REVIEW")</f>
        <v>NEEDS REVIEW</v>
      </c>
      <c r="F98" t="str">
        <f>IF(E98="NEEDS REVIEW","",INDEX(Merchant_Lookup!$D$2:$D$27,MATCH(E98,Merchant_Lookup!$C$2:$C$27,0)))</f>
        <v/>
      </c>
      <c r="G98" t="str">
        <f>IF(E98="NEEDS REVIEW","",INDEX(Merchant_Lookup!$E$2:$E$27,MATCH(E98,Merchant_Lookup!$C$2:$C$27,0)))</f>
        <v/>
      </c>
      <c r="I98" t="str">
        <f t="shared" si="3"/>
        <v>NEEDS REVIEW</v>
      </c>
      <c r="J98" t="str">
        <f t="shared" si="4"/>
        <v>NEEDS REVIEW</v>
      </c>
      <c r="K98" t="str">
        <f t="shared" si="5"/>
        <v>NEEDS REVIEW</v>
      </c>
    </row>
    <row r="99" spans="5:11" x14ac:dyDescent="0.2">
      <c r="E99" t="str" cm="1">
        <f t="array" ref="E99">IFERROR(INDEX(Merchant_Lookup!$C$2:$C$27,MATCH(TRUE,ISNUMBER(SEARCH(Merchant_Lookup!$A$2:$A$26,UPPER(B99))),0)),"NEEDS REVIEW")</f>
        <v>NEEDS REVIEW</v>
      </c>
      <c r="F99" t="str">
        <f>IF(E99="NEEDS REVIEW","",INDEX(Merchant_Lookup!$D$2:$D$27,MATCH(E99,Merchant_Lookup!$C$2:$C$27,0)))</f>
        <v/>
      </c>
      <c r="G99" t="str">
        <f>IF(E99="NEEDS REVIEW","",INDEX(Merchant_Lookup!$E$2:$E$27,MATCH(E99,Merchant_Lookup!$C$2:$C$27,0)))</f>
        <v/>
      </c>
      <c r="I99" t="str">
        <f t="shared" si="3"/>
        <v>NEEDS REVIEW</v>
      </c>
      <c r="J99" t="str">
        <f t="shared" si="4"/>
        <v>NEEDS REVIEW</v>
      </c>
      <c r="K99" t="str">
        <f t="shared" si="5"/>
        <v>NEEDS REVIEW</v>
      </c>
    </row>
    <row r="100" spans="5:11" x14ac:dyDescent="0.2">
      <c r="E100" t="str" cm="1">
        <f t="array" ref="E100">IFERROR(INDEX(Merchant_Lookup!$C$2:$C$27,MATCH(TRUE,ISNUMBER(SEARCH(Merchant_Lookup!$A$2:$A$26,UPPER(B100))),0)),"NEEDS REVIEW")</f>
        <v>NEEDS REVIEW</v>
      </c>
      <c r="F100" t="str">
        <f>IF(E100="NEEDS REVIEW","",INDEX(Merchant_Lookup!$D$2:$D$27,MATCH(E100,Merchant_Lookup!$C$2:$C$27,0)))</f>
        <v/>
      </c>
      <c r="G100" t="str">
        <f>IF(E100="NEEDS REVIEW","",INDEX(Merchant_Lookup!$E$2:$E$27,MATCH(E100,Merchant_Lookup!$C$2:$C$27,0)))</f>
        <v/>
      </c>
      <c r="I100" t="str">
        <f t="shared" si="3"/>
        <v>NEEDS REVIEW</v>
      </c>
      <c r="J100" t="str">
        <f t="shared" si="4"/>
        <v>NEEDS REVIEW</v>
      </c>
      <c r="K100" t="str">
        <f t="shared" si="5"/>
        <v>NEEDS REVIEW</v>
      </c>
    </row>
    <row r="101" spans="5:11" x14ac:dyDescent="0.2">
      <c r="E101" t="str" cm="1">
        <f t="array" ref="E101">IFERROR(INDEX(Merchant_Lookup!$C$2:$C$27,MATCH(TRUE,ISNUMBER(SEARCH(Merchant_Lookup!$A$2:$A$26,UPPER(B101))),0)),"NEEDS REVIEW")</f>
        <v>NEEDS REVIEW</v>
      </c>
      <c r="F101" t="str">
        <f>IF(E101="NEEDS REVIEW","",INDEX(Merchant_Lookup!$D$2:$D$27,MATCH(E101,Merchant_Lookup!$C$2:$C$27,0)))</f>
        <v/>
      </c>
      <c r="G101" t="str">
        <f>IF(E101="NEEDS REVIEW","",INDEX(Merchant_Lookup!$E$2:$E$27,MATCH(E101,Merchant_Lookup!$C$2:$C$27,0)))</f>
        <v/>
      </c>
      <c r="I101" t="str">
        <f t="shared" si="3"/>
        <v>NEEDS REVIEW</v>
      </c>
      <c r="J101" t="str">
        <f t="shared" si="4"/>
        <v>NEEDS REVIEW</v>
      </c>
      <c r="K101" t="str">
        <f t="shared" si="5"/>
        <v>NEEDS REVIEW</v>
      </c>
    </row>
    <row r="102" spans="5:11" x14ac:dyDescent="0.2">
      <c r="E102" t="str" cm="1">
        <f t="array" ref="E102">IFERROR(INDEX(Merchant_Lookup!$C$2:$C$27,MATCH(TRUE,ISNUMBER(SEARCH(Merchant_Lookup!$A$2:$A$26,UPPER(B102))),0)),"NEEDS REVIEW")</f>
        <v>NEEDS REVIEW</v>
      </c>
      <c r="F102" t="str">
        <f>IF(E102="NEEDS REVIEW","",INDEX(Merchant_Lookup!$D$2:$D$27,MATCH(E102,Merchant_Lookup!$C$2:$C$27,0)))</f>
        <v/>
      </c>
      <c r="G102" t="str">
        <f>IF(E102="NEEDS REVIEW","",INDEX(Merchant_Lookup!$E$2:$E$27,MATCH(E102,Merchant_Lookup!$C$2:$C$27,0)))</f>
        <v/>
      </c>
      <c r="I102" t="str">
        <f t="shared" si="3"/>
        <v>NEEDS REVIEW</v>
      </c>
      <c r="J102" t="str">
        <f t="shared" si="4"/>
        <v>NEEDS REVIEW</v>
      </c>
      <c r="K102" t="str">
        <f t="shared" si="5"/>
        <v>NEEDS REVIEW</v>
      </c>
    </row>
    <row r="103" spans="5:11" x14ac:dyDescent="0.2">
      <c r="E103" t="str" cm="1">
        <f t="array" ref="E103">IFERROR(INDEX(Merchant_Lookup!$C$2:$C$27,MATCH(TRUE,ISNUMBER(SEARCH(Merchant_Lookup!$A$2:$A$26,UPPER(B103))),0)),"NEEDS REVIEW")</f>
        <v>NEEDS REVIEW</v>
      </c>
      <c r="F103" t="str">
        <f>IF(E103="NEEDS REVIEW","",INDEX(Merchant_Lookup!$D$2:$D$27,MATCH(E103,Merchant_Lookup!$C$2:$C$27,0)))</f>
        <v/>
      </c>
      <c r="G103" t="str">
        <f>IF(E103="NEEDS REVIEW","",INDEX(Merchant_Lookup!$E$2:$E$27,MATCH(E103,Merchant_Lookup!$C$2:$C$27,0)))</f>
        <v/>
      </c>
      <c r="I103" t="str">
        <f t="shared" si="3"/>
        <v>NEEDS REVIEW</v>
      </c>
      <c r="J103" t="str">
        <f t="shared" si="4"/>
        <v>NEEDS REVIEW</v>
      </c>
      <c r="K103" t="str">
        <f t="shared" si="5"/>
        <v>NEEDS REVIEW</v>
      </c>
    </row>
    <row r="104" spans="5:11" x14ac:dyDescent="0.2">
      <c r="E104" t="str" cm="1">
        <f t="array" ref="E104">IFERROR(INDEX(Merchant_Lookup!$C$2:$C$27,MATCH(TRUE,ISNUMBER(SEARCH(Merchant_Lookup!$A$2:$A$26,UPPER(B104))),0)),"NEEDS REVIEW")</f>
        <v>NEEDS REVIEW</v>
      </c>
      <c r="F104" t="str">
        <f>IF(E104="NEEDS REVIEW","",INDEX(Merchant_Lookup!$D$2:$D$27,MATCH(E104,Merchant_Lookup!$C$2:$C$27,0)))</f>
        <v/>
      </c>
      <c r="G104" t="str">
        <f>IF(E104="NEEDS REVIEW","",INDEX(Merchant_Lookup!$E$2:$E$27,MATCH(E104,Merchant_Lookup!$C$2:$C$27,0)))</f>
        <v/>
      </c>
      <c r="I104" t="str">
        <f t="shared" si="3"/>
        <v>NEEDS REVIEW</v>
      </c>
      <c r="J104" t="str">
        <f t="shared" si="4"/>
        <v>NEEDS REVIEW</v>
      </c>
      <c r="K104" t="str">
        <f t="shared" si="5"/>
        <v>NEEDS REVIEW</v>
      </c>
    </row>
    <row r="105" spans="5:11" x14ac:dyDescent="0.2">
      <c r="E105" t="str" cm="1">
        <f t="array" ref="E105">IFERROR(INDEX(Merchant_Lookup!$C$2:$C$27,MATCH(TRUE,ISNUMBER(SEARCH(Merchant_Lookup!$A$2:$A$26,UPPER(B105))),0)),"NEEDS REVIEW")</f>
        <v>NEEDS REVIEW</v>
      </c>
      <c r="F105" t="str">
        <f>IF(E105="NEEDS REVIEW","",INDEX(Merchant_Lookup!$D$2:$D$27,MATCH(E105,Merchant_Lookup!$C$2:$C$27,0)))</f>
        <v/>
      </c>
      <c r="G105" t="str">
        <f>IF(E105="NEEDS REVIEW","",INDEX(Merchant_Lookup!$E$2:$E$27,MATCH(E105,Merchant_Lookup!$C$2:$C$27,0)))</f>
        <v/>
      </c>
      <c r="I105" t="str">
        <f t="shared" si="3"/>
        <v>NEEDS REVIEW</v>
      </c>
      <c r="J105" t="str">
        <f t="shared" si="4"/>
        <v>NEEDS REVIEW</v>
      </c>
      <c r="K105" t="str">
        <f t="shared" si="5"/>
        <v>NEEDS REVIEW</v>
      </c>
    </row>
    <row r="106" spans="5:11" x14ac:dyDescent="0.2">
      <c r="E106" t="str" cm="1">
        <f t="array" ref="E106">IFERROR(INDEX(Merchant_Lookup!$C$2:$C$27,MATCH(TRUE,ISNUMBER(SEARCH(Merchant_Lookup!$A$2:$A$26,UPPER(B106))),0)),"NEEDS REVIEW")</f>
        <v>NEEDS REVIEW</v>
      </c>
      <c r="F106" t="str">
        <f>IF(E106="NEEDS REVIEW","",INDEX(Merchant_Lookup!$D$2:$D$27,MATCH(E106,Merchant_Lookup!$C$2:$C$27,0)))</f>
        <v/>
      </c>
      <c r="G106" t="str">
        <f>IF(E106="NEEDS REVIEW","",INDEX(Merchant_Lookup!$E$2:$E$27,MATCH(E106,Merchant_Lookup!$C$2:$C$27,0)))</f>
        <v/>
      </c>
      <c r="I106" t="str">
        <f t="shared" si="3"/>
        <v>NEEDS REVIEW</v>
      </c>
      <c r="J106" t="str">
        <f t="shared" si="4"/>
        <v>NEEDS REVIEW</v>
      </c>
      <c r="K106" t="str">
        <f t="shared" si="5"/>
        <v>NEEDS REVIEW</v>
      </c>
    </row>
    <row r="107" spans="5:11" x14ac:dyDescent="0.2">
      <c r="E107" t="str" cm="1">
        <f t="array" ref="E107">IFERROR(INDEX(Merchant_Lookup!$C$2:$C$27,MATCH(TRUE,ISNUMBER(SEARCH(Merchant_Lookup!$A$2:$A$26,UPPER(B107))),0)),"NEEDS REVIEW")</f>
        <v>NEEDS REVIEW</v>
      </c>
      <c r="F107" t="str">
        <f>IF(E107="NEEDS REVIEW","",INDEX(Merchant_Lookup!$D$2:$D$27,MATCH(E107,Merchant_Lookup!$C$2:$C$27,0)))</f>
        <v/>
      </c>
      <c r="G107" t="str">
        <f>IF(E107="NEEDS REVIEW","",INDEX(Merchant_Lookup!$E$2:$E$27,MATCH(E107,Merchant_Lookup!$C$2:$C$27,0)))</f>
        <v/>
      </c>
      <c r="I107" t="str">
        <f t="shared" si="3"/>
        <v>NEEDS REVIEW</v>
      </c>
      <c r="J107" t="str">
        <f t="shared" si="4"/>
        <v>NEEDS REVIEW</v>
      </c>
      <c r="K107" t="str">
        <f t="shared" si="5"/>
        <v>NEEDS REVIEW</v>
      </c>
    </row>
    <row r="108" spans="5:11" x14ac:dyDescent="0.2">
      <c r="E108" t="str" cm="1">
        <f t="array" ref="E108">IFERROR(INDEX(Merchant_Lookup!$C$2:$C$27,MATCH(TRUE,ISNUMBER(SEARCH(Merchant_Lookup!$A$2:$A$26,UPPER(B108))),0)),"NEEDS REVIEW")</f>
        <v>NEEDS REVIEW</v>
      </c>
      <c r="F108" t="str">
        <f>IF(E108="NEEDS REVIEW","",INDEX(Merchant_Lookup!$D$2:$D$27,MATCH(E108,Merchant_Lookup!$C$2:$C$27,0)))</f>
        <v/>
      </c>
      <c r="G108" t="str">
        <f>IF(E108="NEEDS REVIEW","",INDEX(Merchant_Lookup!$E$2:$E$27,MATCH(E108,Merchant_Lookup!$C$2:$C$27,0)))</f>
        <v/>
      </c>
      <c r="I108" t="str">
        <f t="shared" si="3"/>
        <v>NEEDS REVIEW</v>
      </c>
      <c r="J108" t="str">
        <f t="shared" si="4"/>
        <v>NEEDS REVIEW</v>
      </c>
      <c r="K108" t="str">
        <f t="shared" si="5"/>
        <v>NEEDS REVIEW</v>
      </c>
    </row>
    <row r="109" spans="5:11" x14ac:dyDescent="0.2">
      <c r="E109" t="str" cm="1">
        <f t="array" ref="E109">IFERROR(INDEX(Merchant_Lookup!$C$2:$C$27,MATCH(TRUE,ISNUMBER(SEARCH(Merchant_Lookup!$A$2:$A$26,UPPER(B109))),0)),"NEEDS REVIEW")</f>
        <v>NEEDS REVIEW</v>
      </c>
      <c r="F109" t="str">
        <f>IF(E109="NEEDS REVIEW","",INDEX(Merchant_Lookup!$D$2:$D$27,MATCH(E109,Merchant_Lookup!$C$2:$C$27,0)))</f>
        <v/>
      </c>
      <c r="G109" t="str">
        <f>IF(E109="NEEDS REVIEW","",INDEX(Merchant_Lookup!$E$2:$E$27,MATCH(E109,Merchant_Lookup!$C$2:$C$27,0)))</f>
        <v/>
      </c>
      <c r="I109" t="str">
        <f t="shared" si="3"/>
        <v>NEEDS REVIEW</v>
      </c>
      <c r="J109" t="str">
        <f t="shared" si="4"/>
        <v>NEEDS REVIEW</v>
      </c>
      <c r="K109" t="str">
        <f t="shared" si="5"/>
        <v>NEEDS REVIEW</v>
      </c>
    </row>
    <row r="110" spans="5:11" x14ac:dyDescent="0.2">
      <c r="E110" t="str" cm="1">
        <f t="array" ref="E110">IFERROR(INDEX(Merchant_Lookup!$C$2:$C$27,MATCH(TRUE,ISNUMBER(SEARCH(Merchant_Lookup!$A$2:$A$26,UPPER(B110))),0)),"NEEDS REVIEW")</f>
        <v>NEEDS REVIEW</v>
      </c>
      <c r="F110" t="str">
        <f>IF(E110="NEEDS REVIEW","",INDEX(Merchant_Lookup!$D$2:$D$27,MATCH(E110,Merchant_Lookup!$C$2:$C$27,0)))</f>
        <v/>
      </c>
      <c r="G110" t="str">
        <f>IF(E110="NEEDS REVIEW","",INDEX(Merchant_Lookup!$E$2:$E$27,MATCH(E110,Merchant_Lookup!$C$2:$C$27,0)))</f>
        <v/>
      </c>
      <c r="I110" t="str">
        <f t="shared" si="3"/>
        <v>NEEDS REVIEW</v>
      </c>
      <c r="J110" t="str">
        <f t="shared" si="4"/>
        <v>NEEDS REVIEW</v>
      </c>
      <c r="K110" t="str">
        <f t="shared" si="5"/>
        <v>NEEDS REVIEW</v>
      </c>
    </row>
    <row r="111" spans="5:11" x14ac:dyDescent="0.2">
      <c r="E111" t="str" cm="1">
        <f t="array" ref="E111">IFERROR(INDEX(Merchant_Lookup!$C$2:$C$27,MATCH(TRUE,ISNUMBER(SEARCH(Merchant_Lookup!$A$2:$A$26,UPPER(B111))),0)),"NEEDS REVIEW")</f>
        <v>NEEDS REVIEW</v>
      </c>
      <c r="F111" t="str">
        <f>IF(E111="NEEDS REVIEW","",INDEX(Merchant_Lookup!$D$2:$D$27,MATCH(E111,Merchant_Lookup!$C$2:$C$27,0)))</f>
        <v/>
      </c>
      <c r="G111" t="str">
        <f>IF(E111="NEEDS REVIEW","",INDEX(Merchant_Lookup!$E$2:$E$27,MATCH(E111,Merchant_Lookup!$C$2:$C$27,0)))</f>
        <v/>
      </c>
      <c r="I111" t="str">
        <f t="shared" si="3"/>
        <v>NEEDS REVIEW</v>
      </c>
      <c r="J111" t="str">
        <f t="shared" si="4"/>
        <v>NEEDS REVIEW</v>
      </c>
      <c r="K111" t="str">
        <f t="shared" si="5"/>
        <v>NEEDS REVIEW</v>
      </c>
    </row>
    <row r="112" spans="5:11" x14ac:dyDescent="0.2">
      <c r="E112" t="str" cm="1">
        <f t="array" ref="E112">IFERROR(INDEX(Merchant_Lookup!$C$2:$C$27,MATCH(TRUE,ISNUMBER(SEARCH(Merchant_Lookup!$A$2:$A$26,UPPER(B112))),0)),"NEEDS REVIEW")</f>
        <v>NEEDS REVIEW</v>
      </c>
      <c r="F112" t="str">
        <f>IF(E112="NEEDS REVIEW","",INDEX(Merchant_Lookup!$D$2:$D$27,MATCH(E112,Merchant_Lookup!$C$2:$C$27,0)))</f>
        <v/>
      </c>
      <c r="G112" t="str">
        <f>IF(E112="NEEDS REVIEW","",INDEX(Merchant_Lookup!$E$2:$E$27,MATCH(E112,Merchant_Lookup!$C$2:$C$27,0)))</f>
        <v/>
      </c>
      <c r="I112" t="str">
        <f t="shared" si="3"/>
        <v>NEEDS REVIEW</v>
      </c>
      <c r="J112" t="str">
        <f t="shared" si="4"/>
        <v>NEEDS REVIEW</v>
      </c>
      <c r="K112" t="str">
        <f t="shared" si="5"/>
        <v>NEEDS REVIEW</v>
      </c>
    </row>
    <row r="113" spans="5:11" x14ac:dyDescent="0.2">
      <c r="E113" t="str" cm="1">
        <f t="array" ref="E113">IFERROR(INDEX(Merchant_Lookup!$C$2:$C$27,MATCH(TRUE,ISNUMBER(SEARCH(Merchant_Lookup!$A$2:$A$26,UPPER(B113))),0)),"NEEDS REVIEW")</f>
        <v>NEEDS REVIEW</v>
      </c>
      <c r="F113" t="str">
        <f>IF(E113="NEEDS REVIEW","",INDEX(Merchant_Lookup!$D$2:$D$27,MATCH(E113,Merchant_Lookup!$C$2:$C$27,0)))</f>
        <v/>
      </c>
      <c r="G113" t="str">
        <f>IF(E113="NEEDS REVIEW","",INDEX(Merchant_Lookup!$E$2:$E$27,MATCH(E113,Merchant_Lookup!$C$2:$C$27,0)))</f>
        <v/>
      </c>
      <c r="I113" t="str">
        <f t="shared" si="3"/>
        <v>NEEDS REVIEW</v>
      </c>
      <c r="J113" t="str">
        <f t="shared" si="4"/>
        <v>NEEDS REVIEW</v>
      </c>
      <c r="K113" t="str">
        <f t="shared" si="5"/>
        <v>NEEDS REVIEW</v>
      </c>
    </row>
    <row r="114" spans="5:11" x14ac:dyDescent="0.2">
      <c r="E114" t="str" cm="1">
        <f t="array" ref="E114">IFERROR(INDEX(Merchant_Lookup!$C$2:$C$27,MATCH(TRUE,ISNUMBER(SEARCH(Merchant_Lookup!$A$2:$A$26,UPPER(B114))),0)),"NEEDS REVIEW")</f>
        <v>NEEDS REVIEW</v>
      </c>
      <c r="F114" t="str">
        <f>IF(E114="NEEDS REVIEW","",INDEX(Merchant_Lookup!$D$2:$D$27,MATCH(E114,Merchant_Lookup!$C$2:$C$27,0)))</f>
        <v/>
      </c>
      <c r="G114" t="str">
        <f>IF(E114="NEEDS REVIEW","",INDEX(Merchant_Lookup!$E$2:$E$27,MATCH(E114,Merchant_Lookup!$C$2:$C$27,0)))</f>
        <v/>
      </c>
      <c r="I114" t="str">
        <f t="shared" si="3"/>
        <v>NEEDS REVIEW</v>
      </c>
      <c r="J114" t="str">
        <f t="shared" si="4"/>
        <v>NEEDS REVIEW</v>
      </c>
      <c r="K114" t="str">
        <f t="shared" si="5"/>
        <v>NEEDS REVIEW</v>
      </c>
    </row>
    <row r="115" spans="5:11" x14ac:dyDescent="0.2">
      <c r="E115" t="str" cm="1">
        <f t="array" ref="E115">IFERROR(INDEX(Merchant_Lookup!$C$2:$C$27,MATCH(TRUE,ISNUMBER(SEARCH(Merchant_Lookup!$A$2:$A$26,UPPER(B115))),0)),"NEEDS REVIEW")</f>
        <v>NEEDS REVIEW</v>
      </c>
      <c r="F115" t="str">
        <f>IF(E115="NEEDS REVIEW","",INDEX(Merchant_Lookup!$D$2:$D$27,MATCH(E115,Merchant_Lookup!$C$2:$C$27,0)))</f>
        <v/>
      </c>
      <c r="G115" t="str">
        <f>IF(E115="NEEDS REVIEW","",INDEX(Merchant_Lookup!$E$2:$E$27,MATCH(E115,Merchant_Lookup!$C$2:$C$27,0)))</f>
        <v/>
      </c>
      <c r="I115" t="str">
        <f t="shared" si="3"/>
        <v>NEEDS REVIEW</v>
      </c>
      <c r="J115" t="str">
        <f t="shared" si="4"/>
        <v>NEEDS REVIEW</v>
      </c>
      <c r="K115" t="str">
        <f t="shared" si="5"/>
        <v>NEEDS REVIEW</v>
      </c>
    </row>
    <row r="116" spans="5:11" x14ac:dyDescent="0.2">
      <c r="E116" t="str" cm="1">
        <f t="array" ref="E116">IFERROR(INDEX(Merchant_Lookup!$C$2:$C$27,MATCH(TRUE,ISNUMBER(SEARCH(Merchant_Lookup!$A$2:$A$26,UPPER(B116))),0)),"NEEDS REVIEW")</f>
        <v>NEEDS REVIEW</v>
      </c>
      <c r="F116" t="str">
        <f>IF(E116="NEEDS REVIEW","",INDEX(Merchant_Lookup!$D$2:$D$27,MATCH(E116,Merchant_Lookup!$C$2:$C$27,0)))</f>
        <v/>
      </c>
      <c r="G116" t="str">
        <f>IF(E116="NEEDS REVIEW","",INDEX(Merchant_Lookup!$E$2:$E$27,MATCH(E116,Merchant_Lookup!$C$2:$C$27,0)))</f>
        <v/>
      </c>
      <c r="I116" t="str">
        <f t="shared" si="3"/>
        <v>NEEDS REVIEW</v>
      </c>
      <c r="J116" t="str">
        <f t="shared" si="4"/>
        <v>NEEDS REVIEW</v>
      </c>
      <c r="K116" t="str">
        <f t="shared" si="5"/>
        <v>NEEDS REVIEW</v>
      </c>
    </row>
    <row r="117" spans="5:11" x14ac:dyDescent="0.2">
      <c r="E117" t="str" cm="1">
        <f t="array" ref="E117">IFERROR(INDEX(Merchant_Lookup!$C$2:$C$27,MATCH(TRUE,ISNUMBER(SEARCH(Merchant_Lookup!$A$2:$A$26,UPPER(B117))),0)),"NEEDS REVIEW")</f>
        <v>NEEDS REVIEW</v>
      </c>
      <c r="F117" t="str">
        <f>IF(E117="NEEDS REVIEW","",INDEX(Merchant_Lookup!$D$2:$D$27,MATCH(E117,Merchant_Lookup!$C$2:$C$27,0)))</f>
        <v/>
      </c>
      <c r="G117" t="str">
        <f>IF(E117="NEEDS REVIEW","",INDEX(Merchant_Lookup!$E$2:$E$27,MATCH(E117,Merchant_Lookup!$C$2:$C$27,0)))</f>
        <v/>
      </c>
      <c r="I117" t="str">
        <f t="shared" si="3"/>
        <v>NEEDS REVIEW</v>
      </c>
      <c r="J117" t="str">
        <f t="shared" si="4"/>
        <v>NEEDS REVIEW</v>
      </c>
      <c r="K117" t="str">
        <f t="shared" si="5"/>
        <v>NEEDS REVIEW</v>
      </c>
    </row>
    <row r="118" spans="5:11" x14ac:dyDescent="0.2">
      <c r="E118" t="str" cm="1">
        <f t="array" ref="E118">IFERROR(INDEX(Merchant_Lookup!$C$2:$C$27,MATCH(TRUE,ISNUMBER(SEARCH(Merchant_Lookup!$A$2:$A$26,UPPER(B118))),0)),"NEEDS REVIEW")</f>
        <v>NEEDS REVIEW</v>
      </c>
      <c r="F118" t="str">
        <f>IF(E118="NEEDS REVIEW","",INDEX(Merchant_Lookup!$D$2:$D$27,MATCH(E118,Merchant_Lookup!$C$2:$C$27,0)))</f>
        <v/>
      </c>
      <c r="G118" t="str">
        <f>IF(E118="NEEDS REVIEW","",INDEX(Merchant_Lookup!$E$2:$E$27,MATCH(E118,Merchant_Lookup!$C$2:$C$27,0)))</f>
        <v/>
      </c>
      <c r="I118" t="str">
        <f t="shared" si="3"/>
        <v>NEEDS REVIEW</v>
      </c>
      <c r="J118" t="str">
        <f t="shared" si="4"/>
        <v>NEEDS REVIEW</v>
      </c>
      <c r="K118" t="str">
        <f t="shared" si="5"/>
        <v>NEEDS REVIEW</v>
      </c>
    </row>
    <row r="119" spans="5:11" x14ac:dyDescent="0.2">
      <c r="E119" t="str" cm="1">
        <f t="array" ref="E119">IFERROR(INDEX(Merchant_Lookup!$C$2:$C$27,MATCH(TRUE,ISNUMBER(SEARCH(Merchant_Lookup!$A$2:$A$26,UPPER(B119))),0)),"NEEDS REVIEW")</f>
        <v>NEEDS REVIEW</v>
      </c>
      <c r="F119" t="str">
        <f>IF(E119="NEEDS REVIEW","",INDEX(Merchant_Lookup!$D$2:$D$27,MATCH(E119,Merchant_Lookup!$C$2:$C$27,0)))</f>
        <v/>
      </c>
      <c r="G119" t="str">
        <f>IF(E119="NEEDS REVIEW","",INDEX(Merchant_Lookup!$E$2:$E$27,MATCH(E119,Merchant_Lookup!$C$2:$C$27,0)))</f>
        <v/>
      </c>
      <c r="I119" t="str">
        <f t="shared" si="3"/>
        <v>NEEDS REVIEW</v>
      </c>
      <c r="J119" t="str">
        <f t="shared" si="4"/>
        <v>NEEDS REVIEW</v>
      </c>
      <c r="K119" t="str">
        <f t="shared" si="5"/>
        <v>NEEDS REVIEW</v>
      </c>
    </row>
    <row r="120" spans="5:11" x14ac:dyDescent="0.2">
      <c r="E120" t="str" cm="1">
        <f t="array" ref="E120">IFERROR(INDEX(Merchant_Lookup!$C$2:$C$27,MATCH(TRUE,ISNUMBER(SEARCH(Merchant_Lookup!$A$2:$A$26,UPPER(B120))),0)),"NEEDS REVIEW")</f>
        <v>NEEDS REVIEW</v>
      </c>
      <c r="F120" t="str">
        <f>IF(E120="NEEDS REVIEW","",INDEX(Merchant_Lookup!$D$2:$D$27,MATCH(E120,Merchant_Lookup!$C$2:$C$27,0)))</f>
        <v/>
      </c>
      <c r="G120" t="str">
        <f>IF(E120="NEEDS REVIEW","",INDEX(Merchant_Lookup!$E$2:$E$27,MATCH(E120,Merchant_Lookup!$C$2:$C$27,0)))</f>
        <v/>
      </c>
      <c r="I120" t="str">
        <f t="shared" si="3"/>
        <v>NEEDS REVIEW</v>
      </c>
      <c r="J120" t="str">
        <f t="shared" si="4"/>
        <v>NEEDS REVIEW</v>
      </c>
      <c r="K120" t="str">
        <f t="shared" si="5"/>
        <v>NEEDS REVIEW</v>
      </c>
    </row>
    <row r="121" spans="5:11" x14ac:dyDescent="0.2">
      <c r="E121" t="str" cm="1">
        <f t="array" ref="E121">IFERROR(INDEX(Merchant_Lookup!$C$2:$C$27,MATCH(TRUE,ISNUMBER(SEARCH(Merchant_Lookup!$A$2:$A$26,UPPER(B121))),0)),"NEEDS REVIEW")</f>
        <v>NEEDS REVIEW</v>
      </c>
      <c r="F121" t="str">
        <f>IF(E121="NEEDS REVIEW","",INDEX(Merchant_Lookup!$D$2:$D$27,MATCH(E121,Merchant_Lookup!$C$2:$C$27,0)))</f>
        <v/>
      </c>
      <c r="G121" t="str">
        <f>IF(E121="NEEDS REVIEW","",INDEX(Merchant_Lookup!$E$2:$E$27,MATCH(E121,Merchant_Lookup!$C$2:$C$27,0)))</f>
        <v/>
      </c>
      <c r="I121" t="str">
        <f t="shared" si="3"/>
        <v>NEEDS REVIEW</v>
      </c>
      <c r="J121" t="str">
        <f t="shared" si="4"/>
        <v>NEEDS REVIEW</v>
      </c>
      <c r="K121" t="str">
        <f t="shared" si="5"/>
        <v>NEEDS REVIEW</v>
      </c>
    </row>
    <row r="122" spans="5:11" x14ac:dyDescent="0.2">
      <c r="E122" t="str" cm="1">
        <f t="array" ref="E122">IFERROR(INDEX(Merchant_Lookup!$C$2:$C$27,MATCH(TRUE,ISNUMBER(SEARCH(Merchant_Lookup!$A$2:$A$26,UPPER(B122))),0)),"NEEDS REVIEW")</f>
        <v>NEEDS REVIEW</v>
      </c>
      <c r="F122" t="str">
        <f>IF(E122="NEEDS REVIEW","",INDEX(Merchant_Lookup!$D$2:$D$27,MATCH(E122,Merchant_Lookup!$C$2:$C$27,0)))</f>
        <v/>
      </c>
      <c r="G122" t="str">
        <f>IF(E122="NEEDS REVIEW","",INDEX(Merchant_Lookup!$E$2:$E$27,MATCH(E122,Merchant_Lookup!$C$2:$C$27,0)))</f>
        <v/>
      </c>
      <c r="I122" t="str">
        <f t="shared" si="3"/>
        <v>NEEDS REVIEW</v>
      </c>
      <c r="J122" t="str">
        <f t="shared" si="4"/>
        <v>NEEDS REVIEW</v>
      </c>
      <c r="K122" t="str">
        <f t="shared" si="5"/>
        <v>NEEDS REVIEW</v>
      </c>
    </row>
    <row r="123" spans="5:11" x14ac:dyDescent="0.2">
      <c r="E123" t="str" cm="1">
        <f t="array" ref="E123">IFERROR(INDEX(Merchant_Lookup!$C$2:$C$27,MATCH(TRUE,ISNUMBER(SEARCH(Merchant_Lookup!$A$2:$A$26,UPPER(B123))),0)),"NEEDS REVIEW")</f>
        <v>NEEDS REVIEW</v>
      </c>
      <c r="F123" t="str">
        <f>IF(E123="NEEDS REVIEW","",INDEX(Merchant_Lookup!$D$2:$D$27,MATCH(E123,Merchant_Lookup!$C$2:$C$27,0)))</f>
        <v/>
      </c>
      <c r="G123" t="str">
        <f>IF(E123="NEEDS REVIEW","",INDEX(Merchant_Lookup!$E$2:$E$27,MATCH(E123,Merchant_Lookup!$C$2:$C$27,0)))</f>
        <v/>
      </c>
      <c r="I123" t="str">
        <f t="shared" si="3"/>
        <v>NEEDS REVIEW</v>
      </c>
      <c r="J123" t="str">
        <f t="shared" si="4"/>
        <v>NEEDS REVIEW</v>
      </c>
      <c r="K123" t="str">
        <f t="shared" si="5"/>
        <v>NEEDS REVIEW</v>
      </c>
    </row>
    <row r="124" spans="5:11" x14ac:dyDescent="0.2">
      <c r="E124" t="str" cm="1">
        <f t="array" ref="E124">IFERROR(INDEX(Merchant_Lookup!$C$2:$C$27,MATCH(TRUE,ISNUMBER(SEARCH(Merchant_Lookup!$A$2:$A$26,UPPER(B124))),0)),"NEEDS REVIEW")</f>
        <v>NEEDS REVIEW</v>
      </c>
      <c r="F124" t="str">
        <f>IF(E124="NEEDS REVIEW","",INDEX(Merchant_Lookup!$D$2:$D$27,MATCH(E124,Merchant_Lookup!$C$2:$C$27,0)))</f>
        <v/>
      </c>
      <c r="G124" t="str">
        <f>IF(E124="NEEDS REVIEW","",INDEX(Merchant_Lookup!$E$2:$E$27,MATCH(E124,Merchant_Lookup!$C$2:$C$27,0)))</f>
        <v/>
      </c>
      <c r="I124" t="str">
        <f t="shared" si="3"/>
        <v>NEEDS REVIEW</v>
      </c>
      <c r="J124" t="str">
        <f t="shared" si="4"/>
        <v>NEEDS REVIEW</v>
      </c>
      <c r="K124" t="str">
        <f t="shared" si="5"/>
        <v>NEEDS REVIEW</v>
      </c>
    </row>
    <row r="125" spans="5:11" x14ac:dyDescent="0.2">
      <c r="E125" t="str" cm="1">
        <f t="array" ref="E125">IFERROR(INDEX(Merchant_Lookup!$C$2:$C$27,MATCH(TRUE,ISNUMBER(SEARCH(Merchant_Lookup!$A$2:$A$26,UPPER(B125))),0)),"NEEDS REVIEW")</f>
        <v>NEEDS REVIEW</v>
      </c>
      <c r="F125" t="str">
        <f>IF(E125="NEEDS REVIEW","",INDEX(Merchant_Lookup!$D$2:$D$27,MATCH(E125,Merchant_Lookup!$C$2:$C$27,0)))</f>
        <v/>
      </c>
      <c r="G125" t="str">
        <f>IF(E125="NEEDS REVIEW","",INDEX(Merchant_Lookup!$E$2:$E$27,MATCH(E125,Merchant_Lookup!$C$2:$C$27,0)))</f>
        <v/>
      </c>
      <c r="I125" t="str">
        <f t="shared" si="3"/>
        <v>NEEDS REVIEW</v>
      </c>
      <c r="J125" t="str">
        <f t="shared" si="4"/>
        <v>NEEDS REVIEW</v>
      </c>
      <c r="K125" t="str">
        <f t="shared" si="5"/>
        <v>NEEDS REVIEW</v>
      </c>
    </row>
    <row r="126" spans="5:11" x14ac:dyDescent="0.2">
      <c r="E126" t="str" cm="1">
        <f t="array" ref="E126">IFERROR(INDEX(Merchant_Lookup!$C$2:$C$27,MATCH(TRUE,ISNUMBER(SEARCH(Merchant_Lookup!$A$2:$A$26,UPPER(B126))),0)),"NEEDS REVIEW")</f>
        <v>NEEDS REVIEW</v>
      </c>
      <c r="F126" t="str">
        <f>IF(E126="NEEDS REVIEW","",INDEX(Merchant_Lookup!$D$2:$D$27,MATCH(E126,Merchant_Lookup!$C$2:$C$27,0)))</f>
        <v/>
      </c>
      <c r="G126" t="str">
        <f>IF(E126="NEEDS REVIEW","",INDEX(Merchant_Lookup!$E$2:$E$27,MATCH(E126,Merchant_Lookup!$C$2:$C$27,0)))</f>
        <v/>
      </c>
      <c r="I126" t="str">
        <f t="shared" si="3"/>
        <v>NEEDS REVIEW</v>
      </c>
      <c r="J126" t="str">
        <f t="shared" si="4"/>
        <v>NEEDS REVIEW</v>
      </c>
      <c r="K126" t="str">
        <f t="shared" si="5"/>
        <v>NEEDS REVIEW</v>
      </c>
    </row>
    <row r="127" spans="5:11" x14ac:dyDescent="0.2">
      <c r="E127" t="str" cm="1">
        <f t="array" ref="E127">IFERROR(INDEX(Merchant_Lookup!$C$2:$C$27,MATCH(TRUE,ISNUMBER(SEARCH(Merchant_Lookup!$A$2:$A$26,UPPER(B127))),0)),"NEEDS REVIEW")</f>
        <v>NEEDS REVIEW</v>
      </c>
      <c r="F127" t="str">
        <f>IF(E127="NEEDS REVIEW","",INDEX(Merchant_Lookup!$D$2:$D$27,MATCH(E127,Merchant_Lookup!$C$2:$C$27,0)))</f>
        <v/>
      </c>
      <c r="G127" t="str">
        <f>IF(E127="NEEDS REVIEW","",INDEX(Merchant_Lookup!$E$2:$E$27,MATCH(E127,Merchant_Lookup!$C$2:$C$27,0)))</f>
        <v/>
      </c>
      <c r="I127" t="str">
        <f t="shared" si="3"/>
        <v>NEEDS REVIEW</v>
      </c>
      <c r="J127" t="str">
        <f t="shared" si="4"/>
        <v>NEEDS REVIEW</v>
      </c>
      <c r="K127" t="str">
        <f t="shared" si="5"/>
        <v>NEEDS REVIEW</v>
      </c>
    </row>
    <row r="128" spans="5:11" x14ac:dyDescent="0.2">
      <c r="E128" t="str" cm="1">
        <f t="array" ref="E128">IFERROR(INDEX(Merchant_Lookup!$C$2:$C$27,MATCH(TRUE,ISNUMBER(SEARCH(Merchant_Lookup!$A$2:$A$26,UPPER(B128))),0)),"NEEDS REVIEW")</f>
        <v>NEEDS REVIEW</v>
      </c>
      <c r="F128" t="str">
        <f>IF(E128="NEEDS REVIEW","",INDEX(Merchant_Lookup!$D$2:$D$27,MATCH(E128,Merchant_Lookup!$C$2:$C$27,0)))</f>
        <v/>
      </c>
      <c r="G128" t="str">
        <f>IF(E128="NEEDS REVIEW","",INDEX(Merchant_Lookup!$E$2:$E$27,MATCH(E128,Merchant_Lookup!$C$2:$C$27,0)))</f>
        <v/>
      </c>
      <c r="I128" t="str">
        <f t="shared" si="3"/>
        <v>NEEDS REVIEW</v>
      </c>
      <c r="J128" t="str">
        <f t="shared" si="4"/>
        <v>NEEDS REVIEW</v>
      </c>
      <c r="K128" t="str">
        <f t="shared" si="5"/>
        <v>NEEDS REVIEW</v>
      </c>
    </row>
    <row r="129" spans="5:11" x14ac:dyDescent="0.2">
      <c r="E129" t="str" cm="1">
        <f t="array" ref="E129">IFERROR(INDEX(Merchant_Lookup!$C$2:$C$27,MATCH(TRUE,ISNUMBER(SEARCH(Merchant_Lookup!$A$2:$A$26,UPPER(B129))),0)),"NEEDS REVIEW")</f>
        <v>NEEDS REVIEW</v>
      </c>
      <c r="F129" t="str">
        <f>IF(E129="NEEDS REVIEW","",INDEX(Merchant_Lookup!$D$2:$D$27,MATCH(E129,Merchant_Lookup!$C$2:$C$27,0)))</f>
        <v/>
      </c>
      <c r="G129" t="str">
        <f>IF(E129="NEEDS REVIEW","",INDEX(Merchant_Lookup!$E$2:$E$27,MATCH(E129,Merchant_Lookup!$C$2:$C$27,0)))</f>
        <v/>
      </c>
      <c r="I129" t="str">
        <f t="shared" si="3"/>
        <v>NEEDS REVIEW</v>
      </c>
      <c r="J129" t="str">
        <f t="shared" si="4"/>
        <v>NEEDS REVIEW</v>
      </c>
      <c r="K129" t="str">
        <f t="shared" si="5"/>
        <v>NEEDS REVIEW</v>
      </c>
    </row>
    <row r="130" spans="5:11" x14ac:dyDescent="0.2">
      <c r="E130" t="str" cm="1">
        <f t="array" ref="E130">IFERROR(INDEX(Merchant_Lookup!$C$2:$C$27,MATCH(TRUE,ISNUMBER(SEARCH(Merchant_Lookup!$A$2:$A$26,UPPER(B130))),0)),"NEEDS REVIEW")</f>
        <v>NEEDS REVIEW</v>
      </c>
      <c r="F130" t="str">
        <f>IF(E130="NEEDS REVIEW","",INDEX(Merchant_Lookup!$D$2:$D$27,MATCH(E130,Merchant_Lookup!$C$2:$C$27,0)))</f>
        <v/>
      </c>
      <c r="G130" t="str">
        <f>IF(E130="NEEDS REVIEW","",INDEX(Merchant_Lookup!$E$2:$E$27,MATCH(E130,Merchant_Lookup!$C$2:$C$27,0)))</f>
        <v/>
      </c>
      <c r="I130" t="str">
        <f t="shared" si="3"/>
        <v>NEEDS REVIEW</v>
      </c>
      <c r="J130" t="str">
        <f t="shared" si="4"/>
        <v>NEEDS REVIEW</v>
      </c>
      <c r="K130" t="str">
        <f t="shared" si="5"/>
        <v>NEEDS REVIEW</v>
      </c>
    </row>
    <row r="131" spans="5:11" x14ac:dyDescent="0.2">
      <c r="E131" t="str" cm="1">
        <f t="array" ref="E131">IFERROR(INDEX(Merchant_Lookup!$C$2:$C$27,MATCH(TRUE,ISNUMBER(SEARCH(Merchant_Lookup!$A$2:$A$26,UPPER(B131))),0)),"NEEDS REVIEW")</f>
        <v>NEEDS REVIEW</v>
      </c>
      <c r="F131" t="str">
        <f>IF(E131="NEEDS REVIEW","",INDEX(Merchant_Lookup!$D$2:$D$27,MATCH(E131,Merchant_Lookup!$C$2:$C$27,0)))</f>
        <v/>
      </c>
      <c r="G131" t="str">
        <f>IF(E131="NEEDS REVIEW","",INDEX(Merchant_Lookup!$E$2:$E$27,MATCH(E131,Merchant_Lookup!$C$2:$C$27,0)))</f>
        <v/>
      </c>
      <c r="I131" t="str">
        <f t="shared" ref="I131:I194" si="6">IF(H131&lt;&gt;"",H131,E131)</f>
        <v>NEEDS REVIEW</v>
      </c>
      <c r="J131" t="str">
        <f t="shared" ref="J131:J194" si="7">IF(H131&lt;&gt;"",H131,E131)</f>
        <v>NEEDS REVIEW</v>
      </c>
      <c r="K131" t="str">
        <f t="shared" ref="K131:K194" si="8">IF(I131&lt;&gt;"",I131,F131)</f>
        <v>NEEDS REVIEW</v>
      </c>
    </row>
    <row r="132" spans="5:11" x14ac:dyDescent="0.2">
      <c r="E132" t="str" cm="1">
        <f t="array" ref="E132">IFERROR(INDEX(Merchant_Lookup!$C$2:$C$27,MATCH(TRUE,ISNUMBER(SEARCH(Merchant_Lookup!$A$2:$A$26,UPPER(B132))),0)),"NEEDS REVIEW")</f>
        <v>NEEDS REVIEW</v>
      </c>
      <c r="F132" t="str">
        <f>IF(E132="NEEDS REVIEW","",INDEX(Merchant_Lookup!$D$2:$D$27,MATCH(E132,Merchant_Lookup!$C$2:$C$27,0)))</f>
        <v/>
      </c>
      <c r="G132" t="str">
        <f>IF(E132="NEEDS REVIEW","",INDEX(Merchant_Lookup!$E$2:$E$27,MATCH(E132,Merchant_Lookup!$C$2:$C$27,0)))</f>
        <v/>
      </c>
      <c r="I132" t="str">
        <f t="shared" si="6"/>
        <v>NEEDS REVIEW</v>
      </c>
      <c r="J132" t="str">
        <f t="shared" si="7"/>
        <v>NEEDS REVIEW</v>
      </c>
      <c r="K132" t="str">
        <f t="shared" si="8"/>
        <v>NEEDS REVIEW</v>
      </c>
    </row>
    <row r="133" spans="5:11" x14ac:dyDescent="0.2">
      <c r="E133" t="str" cm="1">
        <f t="array" ref="E133">IFERROR(INDEX(Merchant_Lookup!$C$2:$C$27,MATCH(TRUE,ISNUMBER(SEARCH(Merchant_Lookup!$A$2:$A$26,UPPER(B133))),0)),"NEEDS REVIEW")</f>
        <v>NEEDS REVIEW</v>
      </c>
      <c r="F133" t="str">
        <f>IF(E133="NEEDS REVIEW","",INDEX(Merchant_Lookup!$D$2:$D$27,MATCH(E133,Merchant_Lookup!$C$2:$C$27,0)))</f>
        <v/>
      </c>
      <c r="G133" t="str">
        <f>IF(E133="NEEDS REVIEW","",INDEX(Merchant_Lookup!$E$2:$E$27,MATCH(E133,Merchant_Lookup!$C$2:$C$27,0)))</f>
        <v/>
      </c>
      <c r="I133" t="str">
        <f t="shared" si="6"/>
        <v>NEEDS REVIEW</v>
      </c>
      <c r="J133" t="str">
        <f t="shared" si="7"/>
        <v>NEEDS REVIEW</v>
      </c>
      <c r="K133" t="str">
        <f t="shared" si="8"/>
        <v>NEEDS REVIEW</v>
      </c>
    </row>
    <row r="134" spans="5:11" x14ac:dyDescent="0.2">
      <c r="E134" t="str" cm="1">
        <f t="array" ref="E134">IFERROR(INDEX(Merchant_Lookup!$C$2:$C$27,MATCH(TRUE,ISNUMBER(SEARCH(Merchant_Lookup!$A$2:$A$26,UPPER(B134))),0)),"NEEDS REVIEW")</f>
        <v>NEEDS REVIEW</v>
      </c>
      <c r="F134" t="str">
        <f>IF(E134="NEEDS REVIEW","",INDEX(Merchant_Lookup!$D$2:$D$27,MATCH(E134,Merchant_Lookup!$C$2:$C$27,0)))</f>
        <v/>
      </c>
      <c r="G134" t="str">
        <f>IF(E134="NEEDS REVIEW","",INDEX(Merchant_Lookup!$E$2:$E$27,MATCH(E134,Merchant_Lookup!$C$2:$C$27,0)))</f>
        <v/>
      </c>
      <c r="I134" t="str">
        <f t="shared" si="6"/>
        <v>NEEDS REVIEW</v>
      </c>
      <c r="J134" t="str">
        <f t="shared" si="7"/>
        <v>NEEDS REVIEW</v>
      </c>
      <c r="K134" t="str">
        <f t="shared" si="8"/>
        <v>NEEDS REVIEW</v>
      </c>
    </row>
    <row r="135" spans="5:11" x14ac:dyDescent="0.2">
      <c r="E135" t="str" cm="1">
        <f t="array" ref="E135">IFERROR(INDEX(Merchant_Lookup!$C$2:$C$27,MATCH(TRUE,ISNUMBER(SEARCH(Merchant_Lookup!$A$2:$A$26,UPPER(B135))),0)),"NEEDS REVIEW")</f>
        <v>NEEDS REVIEW</v>
      </c>
      <c r="F135" t="str">
        <f>IF(E135="NEEDS REVIEW","",INDEX(Merchant_Lookup!$D$2:$D$27,MATCH(E135,Merchant_Lookup!$C$2:$C$27,0)))</f>
        <v/>
      </c>
      <c r="G135" t="str">
        <f>IF(E135="NEEDS REVIEW","",INDEX(Merchant_Lookup!$E$2:$E$27,MATCH(E135,Merchant_Lookup!$C$2:$C$27,0)))</f>
        <v/>
      </c>
      <c r="I135" t="str">
        <f t="shared" si="6"/>
        <v>NEEDS REVIEW</v>
      </c>
      <c r="J135" t="str">
        <f t="shared" si="7"/>
        <v>NEEDS REVIEW</v>
      </c>
      <c r="K135" t="str">
        <f t="shared" si="8"/>
        <v>NEEDS REVIEW</v>
      </c>
    </row>
    <row r="136" spans="5:11" x14ac:dyDescent="0.2">
      <c r="E136" t="str" cm="1">
        <f t="array" ref="E136">IFERROR(INDEX(Merchant_Lookup!$C$2:$C$27,MATCH(TRUE,ISNUMBER(SEARCH(Merchant_Lookup!$A$2:$A$26,UPPER(B136))),0)),"NEEDS REVIEW")</f>
        <v>NEEDS REVIEW</v>
      </c>
      <c r="F136" t="str">
        <f>IF(E136="NEEDS REVIEW","",INDEX(Merchant_Lookup!$D$2:$D$27,MATCH(E136,Merchant_Lookup!$C$2:$C$27,0)))</f>
        <v/>
      </c>
      <c r="G136" t="str">
        <f>IF(E136="NEEDS REVIEW","",INDEX(Merchant_Lookup!$E$2:$E$27,MATCH(E136,Merchant_Lookup!$C$2:$C$27,0)))</f>
        <v/>
      </c>
      <c r="I136" t="str">
        <f t="shared" si="6"/>
        <v>NEEDS REVIEW</v>
      </c>
      <c r="J136" t="str">
        <f t="shared" si="7"/>
        <v>NEEDS REVIEW</v>
      </c>
      <c r="K136" t="str">
        <f t="shared" si="8"/>
        <v>NEEDS REVIEW</v>
      </c>
    </row>
    <row r="137" spans="5:11" x14ac:dyDescent="0.2">
      <c r="E137" t="str" cm="1">
        <f t="array" ref="E137">IFERROR(INDEX(Merchant_Lookup!$C$2:$C$27,MATCH(TRUE,ISNUMBER(SEARCH(Merchant_Lookup!$A$2:$A$26,UPPER(B137))),0)),"NEEDS REVIEW")</f>
        <v>NEEDS REVIEW</v>
      </c>
      <c r="F137" t="str">
        <f>IF(E137="NEEDS REVIEW","",INDEX(Merchant_Lookup!$D$2:$D$27,MATCH(E137,Merchant_Lookup!$C$2:$C$27,0)))</f>
        <v/>
      </c>
      <c r="G137" t="str">
        <f>IF(E137="NEEDS REVIEW","",INDEX(Merchant_Lookup!$E$2:$E$27,MATCH(E137,Merchant_Lookup!$C$2:$C$27,0)))</f>
        <v/>
      </c>
      <c r="I137" t="str">
        <f t="shared" si="6"/>
        <v>NEEDS REVIEW</v>
      </c>
      <c r="J137" t="str">
        <f t="shared" si="7"/>
        <v>NEEDS REVIEW</v>
      </c>
      <c r="K137" t="str">
        <f t="shared" si="8"/>
        <v>NEEDS REVIEW</v>
      </c>
    </row>
    <row r="138" spans="5:11" x14ac:dyDescent="0.2">
      <c r="E138" t="str" cm="1">
        <f t="array" ref="E138">IFERROR(INDEX(Merchant_Lookup!$C$2:$C$27,MATCH(TRUE,ISNUMBER(SEARCH(Merchant_Lookup!$A$2:$A$26,UPPER(B138))),0)),"NEEDS REVIEW")</f>
        <v>NEEDS REVIEW</v>
      </c>
      <c r="F138" t="str">
        <f>IF(E138="NEEDS REVIEW","",INDEX(Merchant_Lookup!$D$2:$D$27,MATCH(E138,Merchant_Lookup!$C$2:$C$27,0)))</f>
        <v/>
      </c>
      <c r="G138" t="str">
        <f>IF(E138="NEEDS REVIEW","",INDEX(Merchant_Lookup!$E$2:$E$27,MATCH(E138,Merchant_Lookup!$C$2:$C$27,0)))</f>
        <v/>
      </c>
      <c r="I138" t="str">
        <f t="shared" si="6"/>
        <v>NEEDS REVIEW</v>
      </c>
      <c r="J138" t="str">
        <f t="shared" si="7"/>
        <v>NEEDS REVIEW</v>
      </c>
      <c r="K138" t="str">
        <f t="shared" si="8"/>
        <v>NEEDS REVIEW</v>
      </c>
    </row>
    <row r="139" spans="5:11" x14ac:dyDescent="0.2">
      <c r="E139" t="str" cm="1">
        <f t="array" ref="E139">IFERROR(INDEX(Merchant_Lookup!$C$2:$C$27,MATCH(TRUE,ISNUMBER(SEARCH(Merchant_Lookup!$A$2:$A$26,UPPER(B139))),0)),"NEEDS REVIEW")</f>
        <v>NEEDS REVIEW</v>
      </c>
      <c r="F139" t="str">
        <f>IF(E139="NEEDS REVIEW","",INDEX(Merchant_Lookup!$D$2:$D$27,MATCH(E139,Merchant_Lookup!$C$2:$C$27,0)))</f>
        <v/>
      </c>
      <c r="G139" t="str">
        <f>IF(E139="NEEDS REVIEW","",INDEX(Merchant_Lookup!$E$2:$E$27,MATCH(E139,Merchant_Lookup!$C$2:$C$27,0)))</f>
        <v/>
      </c>
      <c r="I139" t="str">
        <f t="shared" si="6"/>
        <v>NEEDS REVIEW</v>
      </c>
      <c r="J139" t="str">
        <f t="shared" si="7"/>
        <v>NEEDS REVIEW</v>
      </c>
      <c r="K139" t="str">
        <f t="shared" si="8"/>
        <v>NEEDS REVIEW</v>
      </c>
    </row>
    <row r="140" spans="5:11" x14ac:dyDescent="0.2">
      <c r="E140" t="str" cm="1">
        <f t="array" ref="E140">IFERROR(INDEX(Merchant_Lookup!$C$2:$C$27,MATCH(TRUE,ISNUMBER(SEARCH(Merchant_Lookup!$A$2:$A$26,UPPER(B140))),0)),"NEEDS REVIEW")</f>
        <v>NEEDS REVIEW</v>
      </c>
      <c r="F140" t="str">
        <f>IF(E140="NEEDS REVIEW","",INDEX(Merchant_Lookup!$D$2:$D$27,MATCH(E140,Merchant_Lookup!$C$2:$C$27,0)))</f>
        <v/>
      </c>
      <c r="G140" t="str">
        <f>IF(E140="NEEDS REVIEW","",INDEX(Merchant_Lookup!$E$2:$E$27,MATCH(E140,Merchant_Lookup!$C$2:$C$27,0)))</f>
        <v/>
      </c>
      <c r="I140" t="str">
        <f t="shared" si="6"/>
        <v>NEEDS REVIEW</v>
      </c>
      <c r="J140" t="str">
        <f t="shared" si="7"/>
        <v>NEEDS REVIEW</v>
      </c>
      <c r="K140" t="str">
        <f t="shared" si="8"/>
        <v>NEEDS REVIEW</v>
      </c>
    </row>
    <row r="141" spans="5:11" x14ac:dyDescent="0.2">
      <c r="E141" t="str" cm="1">
        <f t="array" ref="E141">IFERROR(INDEX(Merchant_Lookup!$C$2:$C$27,MATCH(TRUE,ISNUMBER(SEARCH(Merchant_Lookup!$A$2:$A$26,UPPER(B141))),0)),"NEEDS REVIEW")</f>
        <v>NEEDS REVIEW</v>
      </c>
      <c r="F141" t="str">
        <f>IF(E141="NEEDS REVIEW","",INDEX(Merchant_Lookup!$D$2:$D$27,MATCH(E141,Merchant_Lookup!$C$2:$C$27,0)))</f>
        <v/>
      </c>
      <c r="G141" t="str">
        <f>IF(E141="NEEDS REVIEW","",INDEX(Merchant_Lookup!$E$2:$E$27,MATCH(E141,Merchant_Lookup!$C$2:$C$27,0)))</f>
        <v/>
      </c>
      <c r="I141" t="str">
        <f t="shared" si="6"/>
        <v>NEEDS REVIEW</v>
      </c>
      <c r="J141" t="str">
        <f t="shared" si="7"/>
        <v>NEEDS REVIEW</v>
      </c>
      <c r="K141" t="str">
        <f t="shared" si="8"/>
        <v>NEEDS REVIEW</v>
      </c>
    </row>
    <row r="142" spans="5:11" x14ac:dyDescent="0.2">
      <c r="E142" t="str" cm="1">
        <f t="array" ref="E142">IFERROR(INDEX(Merchant_Lookup!$C$2:$C$27,MATCH(TRUE,ISNUMBER(SEARCH(Merchant_Lookup!$A$2:$A$26,UPPER(B142))),0)),"NEEDS REVIEW")</f>
        <v>NEEDS REVIEW</v>
      </c>
      <c r="F142" t="str">
        <f>IF(E142="NEEDS REVIEW","",INDEX(Merchant_Lookup!$D$2:$D$27,MATCH(E142,Merchant_Lookup!$C$2:$C$27,0)))</f>
        <v/>
      </c>
      <c r="G142" t="str">
        <f>IF(E142="NEEDS REVIEW","",INDEX(Merchant_Lookup!$E$2:$E$27,MATCH(E142,Merchant_Lookup!$C$2:$C$27,0)))</f>
        <v/>
      </c>
      <c r="I142" t="str">
        <f t="shared" si="6"/>
        <v>NEEDS REVIEW</v>
      </c>
      <c r="J142" t="str">
        <f t="shared" si="7"/>
        <v>NEEDS REVIEW</v>
      </c>
      <c r="K142" t="str">
        <f t="shared" si="8"/>
        <v>NEEDS REVIEW</v>
      </c>
    </row>
    <row r="143" spans="5:11" x14ac:dyDescent="0.2">
      <c r="E143" t="str" cm="1">
        <f t="array" ref="E143">IFERROR(INDEX(Merchant_Lookup!$C$2:$C$27,MATCH(TRUE,ISNUMBER(SEARCH(Merchant_Lookup!$A$2:$A$26,UPPER(B143))),0)),"NEEDS REVIEW")</f>
        <v>NEEDS REVIEW</v>
      </c>
      <c r="F143" t="str">
        <f>IF(E143="NEEDS REVIEW","",INDEX(Merchant_Lookup!$D$2:$D$27,MATCH(E143,Merchant_Lookup!$C$2:$C$27,0)))</f>
        <v/>
      </c>
      <c r="G143" t="str">
        <f>IF(E143="NEEDS REVIEW","",INDEX(Merchant_Lookup!$E$2:$E$27,MATCH(E143,Merchant_Lookup!$C$2:$C$27,0)))</f>
        <v/>
      </c>
      <c r="I143" t="str">
        <f t="shared" si="6"/>
        <v>NEEDS REVIEW</v>
      </c>
      <c r="J143" t="str">
        <f t="shared" si="7"/>
        <v>NEEDS REVIEW</v>
      </c>
      <c r="K143" t="str">
        <f t="shared" si="8"/>
        <v>NEEDS REVIEW</v>
      </c>
    </row>
    <row r="144" spans="5:11" x14ac:dyDescent="0.2">
      <c r="E144" t="str" cm="1">
        <f t="array" ref="E144">IFERROR(INDEX(Merchant_Lookup!$C$2:$C$27,MATCH(TRUE,ISNUMBER(SEARCH(Merchant_Lookup!$A$2:$A$26,UPPER(B144))),0)),"NEEDS REVIEW")</f>
        <v>NEEDS REVIEW</v>
      </c>
      <c r="F144" t="str">
        <f>IF(E144="NEEDS REVIEW","",INDEX(Merchant_Lookup!$D$2:$D$27,MATCH(E144,Merchant_Lookup!$C$2:$C$27,0)))</f>
        <v/>
      </c>
      <c r="G144" t="str">
        <f>IF(E144="NEEDS REVIEW","",INDEX(Merchant_Lookup!$E$2:$E$27,MATCH(E144,Merchant_Lookup!$C$2:$C$27,0)))</f>
        <v/>
      </c>
      <c r="I144" t="str">
        <f t="shared" si="6"/>
        <v>NEEDS REVIEW</v>
      </c>
      <c r="J144" t="str">
        <f t="shared" si="7"/>
        <v>NEEDS REVIEW</v>
      </c>
      <c r="K144" t="str">
        <f t="shared" si="8"/>
        <v>NEEDS REVIEW</v>
      </c>
    </row>
    <row r="145" spans="5:11" x14ac:dyDescent="0.2">
      <c r="E145" t="str" cm="1">
        <f t="array" ref="E145">IFERROR(INDEX(Merchant_Lookup!$C$2:$C$27,MATCH(TRUE,ISNUMBER(SEARCH(Merchant_Lookup!$A$2:$A$26,UPPER(B145))),0)),"NEEDS REVIEW")</f>
        <v>NEEDS REVIEW</v>
      </c>
      <c r="F145" t="str">
        <f>IF(E145="NEEDS REVIEW","",INDEX(Merchant_Lookup!$D$2:$D$27,MATCH(E145,Merchant_Lookup!$C$2:$C$27,0)))</f>
        <v/>
      </c>
      <c r="G145" t="str">
        <f>IF(E145="NEEDS REVIEW","",INDEX(Merchant_Lookup!$E$2:$E$27,MATCH(E145,Merchant_Lookup!$C$2:$C$27,0)))</f>
        <v/>
      </c>
      <c r="I145" t="str">
        <f t="shared" si="6"/>
        <v>NEEDS REVIEW</v>
      </c>
      <c r="J145" t="str">
        <f t="shared" si="7"/>
        <v>NEEDS REVIEW</v>
      </c>
      <c r="K145" t="str">
        <f t="shared" si="8"/>
        <v>NEEDS REVIEW</v>
      </c>
    </row>
    <row r="146" spans="5:11" x14ac:dyDescent="0.2">
      <c r="E146" t="str" cm="1">
        <f t="array" ref="E146">IFERROR(INDEX(Merchant_Lookup!$C$2:$C$27,MATCH(TRUE,ISNUMBER(SEARCH(Merchant_Lookup!$A$2:$A$26,UPPER(B146))),0)),"NEEDS REVIEW")</f>
        <v>NEEDS REVIEW</v>
      </c>
      <c r="F146" t="str">
        <f>IF(E146="NEEDS REVIEW","",INDEX(Merchant_Lookup!$D$2:$D$27,MATCH(E146,Merchant_Lookup!$C$2:$C$27,0)))</f>
        <v/>
      </c>
      <c r="G146" t="str">
        <f>IF(E146="NEEDS REVIEW","",INDEX(Merchant_Lookup!$E$2:$E$27,MATCH(E146,Merchant_Lookup!$C$2:$C$27,0)))</f>
        <v/>
      </c>
      <c r="I146" t="str">
        <f t="shared" si="6"/>
        <v>NEEDS REVIEW</v>
      </c>
      <c r="J146" t="str">
        <f t="shared" si="7"/>
        <v>NEEDS REVIEW</v>
      </c>
      <c r="K146" t="str">
        <f t="shared" si="8"/>
        <v>NEEDS REVIEW</v>
      </c>
    </row>
    <row r="147" spans="5:11" x14ac:dyDescent="0.2">
      <c r="E147" t="str" cm="1">
        <f t="array" ref="E147">IFERROR(INDEX(Merchant_Lookup!$C$2:$C$27,MATCH(TRUE,ISNUMBER(SEARCH(Merchant_Lookup!$A$2:$A$26,UPPER(B147))),0)),"NEEDS REVIEW")</f>
        <v>NEEDS REVIEW</v>
      </c>
      <c r="F147" t="str">
        <f>IF(E147="NEEDS REVIEW","",INDEX(Merchant_Lookup!$D$2:$D$27,MATCH(E147,Merchant_Lookup!$C$2:$C$27,0)))</f>
        <v/>
      </c>
      <c r="G147" t="str">
        <f>IF(E147="NEEDS REVIEW","",INDEX(Merchant_Lookup!$E$2:$E$27,MATCH(E147,Merchant_Lookup!$C$2:$C$27,0)))</f>
        <v/>
      </c>
      <c r="I147" t="str">
        <f t="shared" si="6"/>
        <v>NEEDS REVIEW</v>
      </c>
      <c r="J147" t="str">
        <f t="shared" si="7"/>
        <v>NEEDS REVIEW</v>
      </c>
      <c r="K147" t="str">
        <f t="shared" si="8"/>
        <v>NEEDS REVIEW</v>
      </c>
    </row>
    <row r="148" spans="5:11" x14ac:dyDescent="0.2">
      <c r="E148" t="str" cm="1">
        <f t="array" ref="E148">IFERROR(INDEX(Merchant_Lookup!$C$2:$C$27,MATCH(TRUE,ISNUMBER(SEARCH(Merchant_Lookup!$A$2:$A$26,UPPER(B148))),0)),"NEEDS REVIEW")</f>
        <v>NEEDS REVIEW</v>
      </c>
      <c r="F148" t="str">
        <f>IF(E148="NEEDS REVIEW","",INDEX(Merchant_Lookup!$D$2:$D$27,MATCH(E148,Merchant_Lookup!$C$2:$C$27,0)))</f>
        <v/>
      </c>
      <c r="G148" t="str">
        <f>IF(E148="NEEDS REVIEW","",INDEX(Merchant_Lookup!$E$2:$E$27,MATCH(E148,Merchant_Lookup!$C$2:$C$27,0)))</f>
        <v/>
      </c>
      <c r="I148" t="str">
        <f t="shared" si="6"/>
        <v>NEEDS REVIEW</v>
      </c>
      <c r="J148" t="str">
        <f t="shared" si="7"/>
        <v>NEEDS REVIEW</v>
      </c>
      <c r="K148" t="str">
        <f t="shared" si="8"/>
        <v>NEEDS REVIEW</v>
      </c>
    </row>
    <row r="149" spans="5:11" x14ac:dyDescent="0.2">
      <c r="E149" t="str" cm="1">
        <f t="array" ref="E149">IFERROR(INDEX(Merchant_Lookup!$C$2:$C$27,MATCH(TRUE,ISNUMBER(SEARCH(Merchant_Lookup!$A$2:$A$26,UPPER(B149))),0)),"NEEDS REVIEW")</f>
        <v>NEEDS REVIEW</v>
      </c>
      <c r="F149" t="str">
        <f>IF(E149="NEEDS REVIEW","",INDEX(Merchant_Lookup!$D$2:$D$27,MATCH(E149,Merchant_Lookup!$C$2:$C$27,0)))</f>
        <v/>
      </c>
      <c r="G149" t="str">
        <f>IF(E149="NEEDS REVIEW","",INDEX(Merchant_Lookup!$E$2:$E$27,MATCH(E149,Merchant_Lookup!$C$2:$C$27,0)))</f>
        <v/>
      </c>
      <c r="I149" t="str">
        <f t="shared" si="6"/>
        <v>NEEDS REVIEW</v>
      </c>
      <c r="J149" t="str">
        <f t="shared" si="7"/>
        <v>NEEDS REVIEW</v>
      </c>
      <c r="K149" t="str">
        <f t="shared" si="8"/>
        <v>NEEDS REVIEW</v>
      </c>
    </row>
    <row r="150" spans="5:11" x14ac:dyDescent="0.2">
      <c r="E150" t="str" cm="1">
        <f t="array" ref="E150">IFERROR(INDEX(Merchant_Lookup!$C$2:$C$27,MATCH(TRUE,ISNUMBER(SEARCH(Merchant_Lookup!$A$2:$A$26,UPPER(B150))),0)),"NEEDS REVIEW")</f>
        <v>NEEDS REVIEW</v>
      </c>
      <c r="F150" t="str">
        <f>IF(E150="NEEDS REVIEW","",INDEX(Merchant_Lookup!$D$2:$D$27,MATCH(E150,Merchant_Lookup!$C$2:$C$27,0)))</f>
        <v/>
      </c>
      <c r="G150" t="str">
        <f>IF(E150="NEEDS REVIEW","",INDEX(Merchant_Lookup!$E$2:$E$27,MATCH(E150,Merchant_Lookup!$C$2:$C$27,0)))</f>
        <v/>
      </c>
      <c r="I150" t="str">
        <f t="shared" si="6"/>
        <v>NEEDS REVIEW</v>
      </c>
      <c r="J150" t="str">
        <f t="shared" si="7"/>
        <v>NEEDS REVIEW</v>
      </c>
      <c r="K150" t="str">
        <f t="shared" si="8"/>
        <v>NEEDS REVIEW</v>
      </c>
    </row>
    <row r="151" spans="5:11" x14ac:dyDescent="0.2">
      <c r="E151" t="str" cm="1">
        <f t="array" ref="E151">IFERROR(INDEX(Merchant_Lookup!$C$2:$C$27,MATCH(TRUE,ISNUMBER(SEARCH(Merchant_Lookup!$A$2:$A$26,UPPER(B151))),0)),"NEEDS REVIEW")</f>
        <v>NEEDS REVIEW</v>
      </c>
      <c r="F151" t="str">
        <f>IF(E151="NEEDS REVIEW","",INDEX(Merchant_Lookup!$D$2:$D$27,MATCH(E151,Merchant_Lookup!$C$2:$C$27,0)))</f>
        <v/>
      </c>
      <c r="G151" t="str">
        <f>IF(E151="NEEDS REVIEW","",INDEX(Merchant_Lookup!$E$2:$E$27,MATCH(E151,Merchant_Lookup!$C$2:$C$27,0)))</f>
        <v/>
      </c>
      <c r="I151" t="str">
        <f t="shared" si="6"/>
        <v>NEEDS REVIEW</v>
      </c>
      <c r="J151" t="str">
        <f t="shared" si="7"/>
        <v>NEEDS REVIEW</v>
      </c>
      <c r="K151" t="str">
        <f t="shared" si="8"/>
        <v>NEEDS REVIEW</v>
      </c>
    </row>
    <row r="152" spans="5:11" x14ac:dyDescent="0.2">
      <c r="E152" t="str" cm="1">
        <f t="array" ref="E152">IFERROR(INDEX(Merchant_Lookup!$C$2:$C$27,MATCH(TRUE,ISNUMBER(SEARCH(Merchant_Lookup!$A$2:$A$26,UPPER(B152))),0)),"NEEDS REVIEW")</f>
        <v>NEEDS REVIEW</v>
      </c>
      <c r="F152" t="str">
        <f>IF(E152="NEEDS REVIEW","",INDEX(Merchant_Lookup!$D$2:$D$27,MATCH(E152,Merchant_Lookup!$C$2:$C$27,0)))</f>
        <v/>
      </c>
      <c r="G152" t="str">
        <f>IF(E152="NEEDS REVIEW","",INDEX(Merchant_Lookup!$E$2:$E$27,MATCH(E152,Merchant_Lookup!$C$2:$C$27,0)))</f>
        <v/>
      </c>
      <c r="I152" t="str">
        <f t="shared" si="6"/>
        <v>NEEDS REVIEW</v>
      </c>
      <c r="J152" t="str">
        <f t="shared" si="7"/>
        <v>NEEDS REVIEW</v>
      </c>
      <c r="K152" t="str">
        <f t="shared" si="8"/>
        <v>NEEDS REVIEW</v>
      </c>
    </row>
    <row r="153" spans="5:11" x14ac:dyDescent="0.2">
      <c r="E153" t="str" cm="1">
        <f t="array" ref="E153">IFERROR(INDEX(Merchant_Lookup!$C$2:$C$27,MATCH(TRUE,ISNUMBER(SEARCH(Merchant_Lookup!$A$2:$A$26,UPPER(B153))),0)),"NEEDS REVIEW")</f>
        <v>NEEDS REVIEW</v>
      </c>
      <c r="F153" t="str">
        <f>IF(E153="NEEDS REVIEW","",INDEX(Merchant_Lookup!$D$2:$D$27,MATCH(E153,Merchant_Lookup!$C$2:$C$27,0)))</f>
        <v/>
      </c>
      <c r="G153" t="str">
        <f>IF(E153="NEEDS REVIEW","",INDEX(Merchant_Lookup!$E$2:$E$27,MATCH(E153,Merchant_Lookup!$C$2:$C$27,0)))</f>
        <v/>
      </c>
      <c r="I153" t="str">
        <f t="shared" si="6"/>
        <v>NEEDS REVIEW</v>
      </c>
      <c r="J153" t="str">
        <f t="shared" si="7"/>
        <v>NEEDS REVIEW</v>
      </c>
      <c r="K153" t="str">
        <f t="shared" si="8"/>
        <v>NEEDS REVIEW</v>
      </c>
    </row>
    <row r="154" spans="5:11" x14ac:dyDescent="0.2">
      <c r="E154" t="str" cm="1">
        <f t="array" ref="E154">IFERROR(INDEX(Merchant_Lookup!$C$2:$C$27,MATCH(TRUE,ISNUMBER(SEARCH(Merchant_Lookup!$A$2:$A$26,UPPER(B154))),0)),"NEEDS REVIEW")</f>
        <v>NEEDS REVIEW</v>
      </c>
      <c r="F154" t="str">
        <f>IF(E154="NEEDS REVIEW","",INDEX(Merchant_Lookup!$D$2:$D$27,MATCH(E154,Merchant_Lookup!$C$2:$C$27,0)))</f>
        <v/>
      </c>
      <c r="G154" t="str">
        <f>IF(E154="NEEDS REVIEW","",INDEX(Merchant_Lookup!$E$2:$E$27,MATCH(E154,Merchant_Lookup!$C$2:$C$27,0)))</f>
        <v/>
      </c>
      <c r="I154" t="str">
        <f t="shared" si="6"/>
        <v>NEEDS REVIEW</v>
      </c>
      <c r="J154" t="str">
        <f t="shared" si="7"/>
        <v>NEEDS REVIEW</v>
      </c>
      <c r="K154" t="str">
        <f t="shared" si="8"/>
        <v>NEEDS REVIEW</v>
      </c>
    </row>
    <row r="155" spans="5:11" x14ac:dyDescent="0.2">
      <c r="E155" t="str" cm="1">
        <f t="array" ref="E155">IFERROR(INDEX(Merchant_Lookup!$C$2:$C$27,MATCH(TRUE,ISNUMBER(SEARCH(Merchant_Lookup!$A$2:$A$26,UPPER(B155))),0)),"NEEDS REVIEW")</f>
        <v>NEEDS REVIEW</v>
      </c>
      <c r="F155" t="str">
        <f>IF(E155="NEEDS REVIEW","",INDEX(Merchant_Lookup!$D$2:$D$27,MATCH(E155,Merchant_Lookup!$C$2:$C$27,0)))</f>
        <v/>
      </c>
      <c r="G155" t="str">
        <f>IF(E155="NEEDS REVIEW","",INDEX(Merchant_Lookup!$E$2:$E$27,MATCH(E155,Merchant_Lookup!$C$2:$C$27,0)))</f>
        <v/>
      </c>
      <c r="I155" t="str">
        <f t="shared" si="6"/>
        <v>NEEDS REVIEW</v>
      </c>
      <c r="J155" t="str">
        <f t="shared" si="7"/>
        <v>NEEDS REVIEW</v>
      </c>
      <c r="K155" t="str">
        <f t="shared" si="8"/>
        <v>NEEDS REVIEW</v>
      </c>
    </row>
    <row r="156" spans="5:11" x14ac:dyDescent="0.2">
      <c r="E156" t="str" cm="1">
        <f t="array" ref="E156">IFERROR(INDEX(Merchant_Lookup!$C$2:$C$27,MATCH(TRUE,ISNUMBER(SEARCH(Merchant_Lookup!$A$2:$A$26,UPPER(B156))),0)),"NEEDS REVIEW")</f>
        <v>NEEDS REVIEW</v>
      </c>
      <c r="F156" t="str">
        <f>IF(E156="NEEDS REVIEW","",INDEX(Merchant_Lookup!$D$2:$D$27,MATCH(E156,Merchant_Lookup!$C$2:$C$27,0)))</f>
        <v/>
      </c>
      <c r="G156" t="str">
        <f>IF(E156="NEEDS REVIEW","",INDEX(Merchant_Lookup!$E$2:$E$27,MATCH(E156,Merchant_Lookup!$C$2:$C$27,0)))</f>
        <v/>
      </c>
      <c r="I156" t="str">
        <f t="shared" si="6"/>
        <v>NEEDS REVIEW</v>
      </c>
      <c r="J156" t="str">
        <f t="shared" si="7"/>
        <v>NEEDS REVIEW</v>
      </c>
      <c r="K156" t="str">
        <f t="shared" si="8"/>
        <v>NEEDS REVIEW</v>
      </c>
    </row>
    <row r="157" spans="5:11" x14ac:dyDescent="0.2">
      <c r="E157" t="str" cm="1">
        <f t="array" ref="E157">IFERROR(INDEX(Merchant_Lookup!$C$2:$C$27,MATCH(TRUE,ISNUMBER(SEARCH(Merchant_Lookup!$A$2:$A$26,UPPER(B157))),0)),"NEEDS REVIEW")</f>
        <v>NEEDS REVIEW</v>
      </c>
      <c r="F157" t="str">
        <f>IF(E157="NEEDS REVIEW","",INDEX(Merchant_Lookup!$D$2:$D$27,MATCH(E157,Merchant_Lookup!$C$2:$C$27,0)))</f>
        <v/>
      </c>
      <c r="G157" t="str">
        <f>IF(E157="NEEDS REVIEW","",INDEX(Merchant_Lookup!$E$2:$E$27,MATCH(E157,Merchant_Lookup!$C$2:$C$27,0)))</f>
        <v/>
      </c>
      <c r="I157" t="str">
        <f t="shared" si="6"/>
        <v>NEEDS REVIEW</v>
      </c>
      <c r="J157" t="str">
        <f t="shared" si="7"/>
        <v>NEEDS REVIEW</v>
      </c>
      <c r="K157" t="str">
        <f t="shared" si="8"/>
        <v>NEEDS REVIEW</v>
      </c>
    </row>
    <row r="158" spans="5:11" x14ac:dyDescent="0.2">
      <c r="E158" t="str" cm="1">
        <f t="array" ref="E158">IFERROR(INDEX(Merchant_Lookup!$C$2:$C$27,MATCH(TRUE,ISNUMBER(SEARCH(Merchant_Lookup!$A$2:$A$26,UPPER(B158))),0)),"NEEDS REVIEW")</f>
        <v>NEEDS REVIEW</v>
      </c>
      <c r="F158" t="str">
        <f>IF(E158="NEEDS REVIEW","",INDEX(Merchant_Lookup!$D$2:$D$27,MATCH(E158,Merchant_Lookup!$C$2:$C$27,0)))</f>
        <v/>
      </c>
      <c r="G158" t="str">
        <f>IF(E158="NEEDS REVIEW","",INDEX(Merchant_Lookup!$E$2:$E$27,MATCH(E158,Merchant_Lookup!$C$2:$C$27,0)))</f>
        <v/>
      </c>
      <c r="I158" t="str">
        <f t="shared" si="6"/>
        <v>NEEDS REVIEW</v>
      </c>
      <c r="J158" t="str">
        <f t="shared" si="7"/>
        <v>NEEDS REVIEW</v>
      </c>
      <c r="K158" t="str">
        <f t="shared" si="8"/>
        <v>NEEDS REVIEW</v>
      </c>
    </row>
    <row r="159" spans="5:11" x14ac:dyDescent="0.2">
      <c r="E159" t="str" cm="1">
        <f t="array" ref="E159">IFERROR(INDEX(Merchant_Lookup!$C$2:$C$27,MATCH(TRUE,ISNUMBER(SEARCH(Merchant_Lookup!$A$2:$A$26,UPPER(B159))),0)),"NEEDS REVIEW")</f>
        <v>NEEDS REVIEW</v>
      </c>
      <c r="F159" t="str">
        <f>IF(E159="NEEDS REVIEW","",INDEX(Merchant_Lookup!$D$2:$D$27,MATCH(E159,Merchant_Lookup!$C$2:$C$27,0)))</f>
        <v/>
      </c>
      <c r="G159" t="str">
        <f>IF(E159="NEEDS REVIEW","",INDEX(Merchant_Lookup!$E$2:$E$27,MATCH(E159,Merchant_Lookup!$C$2:$C$27,0)))</f>
        <v/>
      </c>
      <c r="I159" t="str">
        <f t="shared" si="6"/>
        <v>NEEDS REVIEW</v>
      </c>
      <c r="J159" t="str">
        <f t="shared" si="7"/>
        <v>NEEDS REVIEW</v>
      </c>
      <c r="K159" t="str">
        <f t="shared" si="8"/>
        <v>NEEDS REVIEW</v>
      </c>
    </row>
    <row r="160" spans="5:11" x14ac:dyDescent="0.2">
      <c r="E160" t="str" cm="1">
        <f t="array" ref="E160">IFERROR(INDEX(Merchant_Lookup!$C$2:$C$27,MATCH(TRUE,ISNUMBER(SEARCH(Merchant_Lookup!$A$2:$A$26,UPPER(B160))),0)),"NEEDS REVIEW")</f>
        <v>NEEDS REVIEW</v>
      </c>
      <c r="F160" t="str">
        <f>IF(E160="NEEDS REVIEW","",INDEX(Merchant_Lookup!$D$2:$D$27,MATCH(E160,Merchant_Lookup!$C$2:$C$27,0)))</f>
        <v/>
      </c>
      <c r="G160" t="str">
        <f>IF(E160="NEEDS REVIEW","",INDEX(Merchant_Lookup!$E$2:$E$27,MATCH(E160,Merchant_Lookup!$C$2:$C$27,0)))</f>
        <v/>
      </c>
      <c r="I160" t="str">
        <f t="shared" si="6"/>
        <v>NEEDS REVIEW</v>
      </c>
      <c r="J160" t="str">
        <f t="shared" si="7"/>
        <v>NEEDS REVIEW</v>
      </c>
      <c r="K160" t="str">
        <f t="shared" si="8"/>
        <v>NEEDS REVIEW</v>
      </c>
    </row>
    <row r="161" spans="5:11" x14ac:dyDescent="0.2">
      <c r="E161" t="str" cm="1">
        <f t="array" ref="E161">IFERROR(INDEX(Merchant_Lookup!$C$2:$C$27,MATCH(TRUE,ISNUMBER(SEARCH(Merchant_Lookup!$A$2:$A$26,UPPER(B161))),0)),"NEEDS REVIEW")</f>
        <v>NEEDS REVIEW</v>
      </c>
      <c r="F161" t="str">
        <f>IF(E161="NEEDS REVIEW","",INDEX(Merchant_Lookup!$D$2:$D$27,MATCH(E161,Merchant_Lookup!$C$2:$C$27,0)))</f>
        <v/>
      </c>
      <c r="G161" t="str">
        <f>IF(E161="NEEDS REVIEW","",INDEX(Merchant_Lookup!$E$2:$E$27,MATCH(E161,Merchant_Lookup!$C$2:$C$27,0)))</f>
        <v/>
      </c>
      <c r="I161" t="str">
        <f t="shared" si="6"/>
        <v>NEEDS REVIEW</v>
      </c>
      <c r="J161" t="str">
        <f t="shared" si="7"/>
        <v>NEEDS REVIEW</v>
      </c>
      <c r="K161" t="str">
        <f t="shared" si="8"/>
        <v>NEEDS REVIEW</v>
      </c>
    </row>
    <row r="162" spans="5:11" x14ac:dyDescent="0.2">
      <c r="E162" t="str" cm="1">
        <f t="array" ref="E162">IFERROR(INDEX(Merchant_Lookup!$C$2:$C$27,MATCH(TRUE,ISNUMBER(SEARCH(Merchant_Lookup!$A$2:$A$26,UPPER(B162))),0)),"NEEDS REVIEW")</f>
        <v>NEEDS REVIEW</v>
      </c>
      <c r="F162" t="str">
        <f>IF(E162="NEEDS REVIEW","",INDEX(Merchant_Lookup!$D$2:$D$27,MATCH(E162,Merchant_Lookup!$C$2:$C$27,0)))</f>
        <v/>
      </c>
      <c r="G162" t="str">
        <f>IF(E162="NEEDS REVIEW","",INDEX(Merchant_Lookup!$E$2:$E$27,MATCH(E162,Merchant_Lookup!$C$2:$C$27,0)))</f>
        <v/>
      </c>
      <c r="I162" t="str">
        <f t="shared" si="6"/>
        <v>NEEDS REVIEW</v>
      </c>
      <c r="J162" t="str">
        <f t="shared" si="7"/>
        <v>NEEDS REVIEW</v>
      </c>
      <c r="K162" t="str">
        <f t="shared" si="8"/>
        <v>NEEDS REVIEW</v>
      </c>
    </row>
    <row r="163" spans="5:11" x14ac:dyDescent="0.2">
      <c r="E163" t="str" cm="1">
        <f t="array" ref="E163">IFERROR(INDEX(Merchant_Lookup!$C$2:$C$27,MATCH(TRUE,ISNUMBER(SEARCH(Merchant_Lookup!$A$2:$A$26,UPPER(B163))),0)),"NEEDS REVIEW")</f>
        <v>NEEDS REVIEW</v>
      </c>
      <c r="F163" t="str">
        <f>IF(E163="NEEDS REVIEW","",INDEX(Merchant_Lookup!$D$2:$D$27,MATCH(E163,Merchant_Lookup!$C$2:$C$27,0)))</f>
        <v/>
      </c>
      <c r="G163" t="str">
        <f>IF(E163="NEEDS REVIEW","",INDEX(Merchant_Lookup!$E$2:$E$27,MATCH(E163,Merchant_Lookup!$C$2:$C$27,0)))</f>
        <v/>
      </c>
      <c r="I163" t="str">
        <f t="shared" si="6"/>
        <v>NEEDS REVIEW</v>
      </c>
      <c r="J163" t="str">
        <f t="shared" si="7"/>
        <v>NEEDS REVIEW</v>
      </c>
      <c r="K163" t="str">
        <f t="shared" si="8"/>
        <v>NEEDS REVIEW</v>
      </c>
    </row>
    <row r="164" spans="5:11" x14ac:dyDescent="0.2">
      <c r="E164" t="str" cm="1">
        <f t="array" ref="E164">IFERROR(INDEX(Merchant_Lookup!$C$2:$C$27,MATCH(TRUE,ISNUMBER(SEARCH(Merchant_Lookup!$A$2:$A$26,UPPER(B164))),0)),"NEEDS REVIEW")</f>
        <v>NEEDS REVIEW</v>
      </c>
      <c r="F164" t="str">
        <f>IF(E164="NEEDS REVIEW","",INDEX(Merchant_Lookup!$D$2:$D$27,MATCH(E164,Merchant_Lookup!$C$2:$C$27,0)))</f>
        <v/>
      </c>
      <c r="G164" t="str">
        <f>IF(E164="NEEDS REVIEW","",INDEX(Merchant_Lookup!$E$2:$E$27,MATCH(E164,Merchant_Lookup!$C$2:$C$27,0)))</f>
        <v/>
      </c>
      <c r="I164" t="str">
        <f t="shared" si="6"/>
        <v>NEEDS REVIEW</v>
      </c>
      <c r="J164" t="str">
        <f t="shared" si="7"/>
        <v>NEEDS REVIEW</v>
      </c>
      <c r="K164" t="str">
        <f t="shared" si="8"/>
        <v>NEEDS REVIEW</v>
      </c>
    </row>
    <row r="165" spans="5:11" x14ac:dyDescent="0.2">
      <c r="E165" t="str" cm="1">
        <f t="array" ref="E165">IFERROR(INDEX(Merchant_Lookup!$C$2:$C$27,MATCH(TRUE,ISNUMBER(SEARCH(Merchant_Lookup!$A$2:$A$26,UPPER(B165))),0)),"NEEDS REVIEW")</f>
        <v>NEEDS REVIEW</v>
      </c>
      <c r="F165" t="str">
        <f>IF(E165="NEEDS REVIEW","",INDEX(Merchant_Lookup!$D$2:$D$27,MATCH(E165,Merchant_Lookup!$C$2:$C$27,0)))</f>
        <v/>
      </c>
      <c r="G165" t="str">
        <f>IF(E165="NEEDS REVIEW","",INDEX(Merchant_Lookup!$E$2:$E$27,MATCH(E165,Merchant_Lookup!$C$2:$C$27,0)))</f>
        <v/>
      </c>
      <c r="I165" t="str">
        <f t="shared" si="6"/>
        <v>NEEDS REVIEW</v>
      </c>
      <c r="J165" t="str">
        <f t="shared" si="7"/>
        <v>NEEDS REVIEW</v>
      </c>
      <c r="K165" t="str">
        <f t="shared" si="8"/>
        <v>NEEDS REVIEW</v>
      </c>
    </row>
    <row r="166" spans="5:11" x14ac:dyDescent="0.2">
      <c r="E166" t="str" cm="1">
        <f t="array" ref="E166">IFERROR(INDEX(Merchant_Lookup!$C$2:$C$27,MATCH(TRUE,ISNUMBER(SEARCH(Merchant_Lookup!$A$2:$A$26,UPPER(B166))),0)),"NEEDS REVIEW")</f>
        <v>NEEDS REVIEW</v>
      </c>
      <c r="F166" t="str">
        <f>IF(E166="NEEDS REVIEW","",INDEX(Merchant_Lookup!$D$2:$D$27,MATCH(E166,Merchant_Lookup!$C$2:$C$27,0)))</f>
        <v/>
      </c>
      <c r="G166" t="str">
        <f>IF(E166="NEEDS REVIEW","",INDEX(Merchant_Lookup!$E$2:$E$27,MATCH(E166,Merchant_Lookup!$C$2:$C$27,0)))</f>
        <v/>
      </c>
      <c r="I166" t="str">
        <f t="shared" si="6"/>
        <v>NEEDS REVIEW</v>
      </c>
      <c r="J166" t="str">
        <f t="shared" si="7"/>
        <v>NEEDS REVIEW</v>
      </c>
      <c r="K166" t="str">
        <f t="shared" si="8"/>
        <v>NEEDS REVIEW</v>
      </c>
    </row>
    <row r="167" spans="5:11" x14ac:dyDescent="0.2">
      <c r="E167" t="str" cm="1">
        <f t="array" ref="E167">IFERROR(INDEX(Merchant_Lookup!$C$2:$C$27,MATCH(TRUE,ISNUMBER(SEARCH(Merchant_Lookup!$A$2:$A$26,UPPER(B167))),0)),"NEEDS REVIEW")</f>
        <v>NEEDS REVIEW</v>
      </c>
      <c r="F167" t="str">
        <f>IF(E167="NEEDS REVIEW","",INDEX(Merchant_Lookup!$D$2:$D$27,MATCH(E167,Merchant_Lookup!$C$2:$C$27,0)))</f>
        <v/>
      </c>
      <c r="G167" t="str">
        <f>IF(E167="NEEDS REVIEW","",INDEX(Merchant_Lookup!$E$2:$E$27,MATCH(E167,Merchant_Lookup!$C$2:$C$27,0)))</f>
        <v/>
      </c>
      <c r="I167" t="str">
        <f t="shared" si="6"/>
        <v>NEEDS REVIEW</v>
      </c>
      <c r="J167" t="str">
        <f t="shared" si="7"/>
        <v>NEEDS REVIEW</v>
      </c>
      <c r="K167" t="str">
        <f t="shared" si="8"/>
        <v>NEEDS REVIEW</v>
      </c>
    </row>
    <row r="168" spans="5:11" x14ac:dyDescent="0.2">
      <c r="E168" t="str" cm="1">
        <f t="array" ref="E168">IFERROR(INDEX(Merchant_Lookup!$C$2:$C$27,MATCH(TRUE,ISNUMBER(SEARCH(Merchant_Lookup!$A$2:$A$26,UPPER(B168))),0)),"NEEDS REVIEW")</f>
        <v>NEEDS REVIEW</v>
      </c>
      <c r="F168" t="str">
        <f>IF(E168="NEEDS REVIEW","",INDEX(Merchant_Lookup!$D$2:$D$27,MATCH(E168,Merchant_Lookup!$C$2:$C$27,0)))</f>
        <v/>
      </c>
      <c r="G168" t="str">
        <f>IF(E168="NEEDS REVIEW","",INDEX(Merchant_Lookup!$E$2:$E$27,MATCH(E168,Merchant_Lookup!$C$2:$C$27,0)))</f>
        <v/>
      </c>
      <c r="I168" t="str">
        <f t="shared" si="6"/>
        <v>NEEDS REVIEW</v>
      </c>
      <c r="J168" t="str">
        <f t="shared" si="7"/>
        <v>NEEDS REVIEW</v>
      </c>
      <c r="K168" t="str">
        <f t="shared" si="8"/>
        <v>NEEDS REVIEW</v>
      </c>
    </row>
    <row r="169" spans="5:11" x14ac:dyDescent="0.2">
      <c r="E169" t="str" cm="1">
        <f t="array" ref="E169">IFERROR(INDEX(Merchant_Lookup!$C$2:$C$27,MATCH(TRUE,ISNUMBER(SEARCH(Merchant_Lookup!$A$2:$A$26,UPPER(B169))),0)),"NEEDS REVIEW")</f>
        <v>NEEDS REVIEW</v>
      </c>
      <c r="F169" t="str">
        <f>IF(E169="NEEDS REVIEW","",INDEX(Merchant_Lookup!$D$2:$D$27,MATCH(E169,Merchant_Lookup!$C$2:$C$27,0)))</f>
        <v/>
      </c>
      <c r="G169" t="str">
        <f>IF(E169="NEEDS REVIEW","",INDEX(Merchant_Lookup!$E$2:$E$27,MATCH(E169,Merchant_Lookup!$C$2:$C$27,0)))</f>
        <v/>
      </c>
      <c r="I169" t="str">
        <f t="shared" si="6"/>
        <v>NEEDS REVIEW</v>
      </c>
      <c r="J169" t="str">
        <f t="shared" si="7"/>
        <v>NEEDS REVIEW</v>
      </c>
      <c r="K169" t="str">
        <f t="shared" si="8"/>
        <v>NEEDS REVIEW</v>
      </c>
    </row>
    <row r="170" spans="5:11" x14ac:dyDescent="0.2">
      <c r="E170" t="str" cm="1">
        <f t="array" ref="E170">IFERROR(INDEX(Merchant_Lookup!$C$2:$C$27,MATCH(TRUE,ISNUMBER(SEARCH(Merchant_Lookup!$A$2:$A$26,UPPER(B170))),0)),"NEEDS REVIEW")</f>
        <v>NEEDS REVIEW</v>
      </c>
      <c r="F170" t="str">
        <f>IF(E170="NEEDS REVIEW","",INDEX(Merchant_Lookup!$D$2:$D$27,MATCH(E170,Merchant_Lookup!$C$2:$C$27,0)))</f>
        <v/>
      </c>
      <c r="G170" t="str">
        <f>IF(E170="NEEDS REVIEW","",INDEX(Merchant_Lookup!$E$2:$E$27,MATCH(E170,Merchant_Lookup!$C$2:$C$27,0)))</f>
        <v/>
      </c>
      <c r="I170" t="str">
        <f t="shared" si="6"/>
        <v>NEEDS REVIEW</v>
      </c>
      <c r="J170" t="str">
        <f t="shared" si="7"/>
        <v>NEEDS REVIEW</v>
      </c>
      <c r="K170" t="str">
        <f t="shared" si="8"/>
        <v>NEEDS REVIEW</v>
      </c>
    </row>
    <row r="171" spans="5:11" x14ac:dyDescent="0.2">
      <c r="E171" t="str" cm="1">
        <f t="array" ref="E171">IFERROR(INDEX(Merchant_Lookup!$C$2:$C$27,MATCH(TRUE,ISNUMBER(SEARCH(Merchant_Lookup!$A$2:$A$26,UPPER(B171))),0)),"NEEDS REVIEW")</f>
        <v>NEEDS REVIEW</v>
      </c>
      <c r="F171" t="str">
        <f>IF(E171="NEEDS REVIEW","",INDEX(Merchant_Lookup!$D$2:$D$27,MATCH(E171,Merchant_Lookup!$C$2:$C$27,0)))</f>
        <v/>
      </c>
      <c r="G171" t="str">
        <f>IF(E171="NEEDS REVIEW","",INDEX(Merchant_Lookup!$E$2:$E$27,MATCH(E171,Merchant_Lookup!$C$2:$C$27,0)))</f>
        <v/>
      </c>
      <c r="I171" t="str">
        <f t="shared" si="6"/>
        <v>NEEDS REVIEW</v>
      </c>
      <c r="J171" t="str">
        <f t="shared" si="7"/>
        <v>NEEDS REVIEW</v>
      </c>
      <c r="K171" t="str">
        <f t="shared" si="8"/>
        <v>NEEDS REVIEW</v>
      </c>
    </row>
    <row r="172" spans="5:11" x14ac:dyDescent="0.2">
      <c r="E172" t="str" cm="1">
        <f t="array" ref="E172">IFERROR(INDEX(Merchant_Lookup!$C$2:$C$27,MATCH(TRUE,ISNUMBER(SEARCH(Merchant_Lookup!$A$2:$A$26,UPPER(B172))),0)),"NEEDS REVIEW")</f>
        <v>NEEDS REVIEW</v>
      </c>
      <c r="F172" t="str">
        <f>IF(E172="NEEDS REVIEW","",INDEX(Merchant_Lookup!$D$2:$D$27,MATCH(E172,Merchant_Lookup!$C$2:$C$27,0)))</f>
        <v/>
      </c>
      <c r="G172" t="str">
        <f>IF(E172="NEEDS REVIEW","",INDEX(Merchant_Lookup!$E$2:$E$27,MATCH(E172,Merchant_Lookup!$C$2:$C$27,0)))</f>
        <v/>
      </c>
      <c r="I172" t="str">
        <f t="shared" si="6"/>
        <v>NEEDS REVIEW</v>
      </c>
      <c r="J172" t="str">
        <f t="shared" si="7"/>
        <v>NEEDS REVIEW</v>
      </c>
      <c r="K172" t="str">
        <f t="shared" si="8"/>
        <v>NEEDS REVIEW</v>
      </c>
    </row>
    <row r="173" spans="5:11" x14ac:dyDescent="0.2">
      <c r="E173" t="str" cm="1">
        <f t="array" ref="E173">IFERROR(INDEX(Merchant_Lookup!$C$2:$C$27,MATCH(TRUE,ISNUMBER(SEARCH(Merchant_Lookup!$A$2:$A$26,UPPER(B173))),0)),"NEEDS REVIEW")</f>
        <v>NEEDS REVIEW</v>
      </c>
      <c r="F173" t="str">
        <f>IF(E173="NEEDS REVIEW","",INDEX(Merchant_Lookup!$D$2:$D$27,MATCH(E173,Merchant_Lookup!$C$2:$C$27,0)))</f>
        <v/>
      </c>
      <c r="G173" t="str">
        <f>IF(E173="NEEDS REVIEW","",INDEX(Merchant_Lookup!$E$2:$E$27,MATCH(E173,Merchant_Lookup!$C$2:$C$27,0)))</f>
        <v/>
      </c>
      <c r="I173" t="str">
        <f t="shared" si="6"/>
        <v>NEEDS REVIEW</v>
      </c>
      <c r="J173" t="str">
        <f t="shared" si="7"/>
        <v>NEEDS REVIEW</v>
      </c>
      <c r="K173" t="str">
        <f t="shared" si="8"/>
        <v>NEEDS REVIEW</v>
      </c>
    </row>
    <row r="174" spans="5:11" x14ac:dyDescent="0.2">
      <c r="E174" t="str" cm="1">
        <f t="array" ref="E174">IFERROR(INDEX(Merchant_Lookup!$C$2:$C$27,MATCH(TRUE,ISNUMBER(SEARCH(Merchant_Lookup!$A$2:$A$26,UPPER(B174))),0)),"NEEDS REVIEW")</f>
        <v>NEEDS REVIEW</v>
      </c>
      <c r="F174" t="str">
        <f>IF(E174="NEEDS REVIEW","",INDEX(Merchant_Lookup!$D$2:$D$27,MATCH(E174,Merchant_Lookup!$C$2:$C$27,0)))</f>
        <v/>
      </c>
      <c r="G174" t="str">
        <f>IF(E174="NEEDS REVIEW","",INDEX(Merchant_Lookup!$E$2:$E$27,MATCH(E174,Merchant_Lookup!$C$2:$C$27,0)))</f>
        <v/>
      </c>
      <c r="I174" t="str">
        <f t="shared" si="6"/>
        <v>NEEDS REVIEW</v>
      </c>
      <c r="J174" t="str">
        <f t="shared" si="7"/>
        <v>NEEDS REVIEW</v>
      </c>
      <c r="K174" t="str">
        <f t="shared" si="8"/>
        <v>NEEDS REVIEW</v>
      </c>
    </row>
    <row r="175" spans="5:11" x14ac:dyDescent="0.2">
      <c r="E175" t="str" cm="1">
        <f t="array" ref="E175">IFERROR(INDEX(Merchant_Lookup!$C$2:$C$27,MATCH(TRUE,ISNUMBER(SEARCH(Merchant_Lookup!$A$2:$A$26,UPPER(B175))),0)),"NEEDS REVIEW")</f>
        <v>NEEDS REVIEW</v>
      </c>
      <c r="F175" t="str">
        <f>IF(E175="NEEDS REVIEW","",INDEX(Merchant_Lookup!$D$2:$D$27,MATCH(E175,Merchant_Lookup!$C$2:$C$27,0)))</f>
        <v/>
      </c>
      <c r="G175" t="str">
        <f>IF(E175="NEEDS REVIEW","",INDEX(Merchant_Lookup!$E$2:$E$27,MATCH(E175,Merchant_Lookup!$C$2:$C$27,0)))</f>
        <v/>
      </c>
      <c r="I175" t="str">
        <f t="shared" si="6"/>
        <v>NEEDS REVIEW</v>
      </c>
      <c r="J175" t="str">
        <f t="shared" si="7"/>
        <v>NEEDS REVIEW</v>
      </c>
      <c r="K175" t="str">
        <f t="shared" si="8"/>
        <v>NEEDS REVIEW</v>
      </c>
    </row>
    <row r="176" spans="5:11" x14ac:dyDescent="0.2">
      <c r="E176" t="str" cm="1">
        <f t="array" ref="E176">IFERROR(INDEX(Merchant_Lookup!$C$2:$C$27,MATCH(TRUE,ISNUMBER(SEARCH(Merchant_Lookup!$A$2:$A$26,UPPER(B176))),0)),"NEEDS REVIEW")</f>
        <v>NEEDS REVIEW</v>
      </c>
      <c r="F176" t="str">
        <f>IF(E176="NEEDS REVIEW","",INDEX(Merchant_Lookup!$D$2:$D$27,MATCH(E176,Merchant_Lookup!$C$2:$C$27,0)))</f>
        <v/>
      </c>
      <c r="G176" t="str">
        <f>IF(E176="NEEDS REVIEW","",INDEX(Merchant_Lookup!$E$2:$E$27,MATCH(E176,Merchant_Lookup!$C$2:$C$27,0)))</f>
        <v/>
      </c>
      <c r="I176" t="str">
        <f t="shared" si="6"/>
        <v>NEEDS REVIEW</v>
      </c>
      <c r="J176" t="str">
        <f t="shared" si="7"/>
        <v>NEEDS REVIEW</v>
      </c>
      <c r="K176" t="str">
        <f t="shared" si="8"/>
        <v>NEEDS REVIEW</v>
      </c>
    </row>
    <row r="177" spans="5:11" x14ac:dyDescent="0.2">
      <c r="E177" t="str" cm="1">
        <f t="array" ref="E177">IFERROR(INDEX(Merchant_Lookup!$C$2:$C$27,MATCH(TRUE,ISNUMBER(SEARCH(Merchant_Lookup!$A$2:$A$26,UPPER(B177))),0)),"NEEDS REVIEW")</f>
        <v>NEEDS REVIEW</v>
      </c>
      <c r="F177" t="str">
        <f>IF(E177="NEEDS REVIEW","",INDEX(Merchant_Lookup!$D$2:$D$27,MATCH(E177,Merchant_Lookup!$C$2:$C$27,0)))</f>
        <v/>
      </c>
      <c r="G177" t="str">
        <f>IF(E177="NEEDS REVIEW","",INDEX(Merchant_Lookup!$E$2:$E$27,MATCH(E177,Merchant_Lookup!$C$2:$C$27,0)))</f>
        <v/>
      </c>
      <c r="I177" t="str">
        <f t="shared" si="6"/>
        <v>NEEDS REVIEW</v>
      </c>
      <c r="J177" t="str">
        <f t="shared" si="7"/>
        <v>NEEDS REVIEW</v>
      </c>
      <c r="K177" t="str">
        <f t="shared" si="8"/>
        <v>NEEDS REVIEW</v>
      </c>
    </row>
    <row r="178" spans="5:11" x14ac:dyDescent="0.2">
      <c r="E178" t="str" cm="1">
        <f t="array" ref="E178">IFERROR(INDEX(Merchant_Lookup!$C$2:$C$27,MATCH(TRUE,ISNUMBER(SEARCH(Merchant_Lookup!$A$2:$A$26,UPPER(B178))),0)),"NEEDS REVIEW")</f>
        <v>NEEDS REVIEW</v>
      </c>
      <c r="F178" t="str">
        <f>IF(E178="NEEDS REVIEW","",INDEX(Merchant_Lookup!$D$2:$D$27,MATCH(E178,Merchant_Lookup!$C$2:$C$27,0)))</f>
        <v/>
      </c>
      <c r="G178" t="str">
        <f>IF(E178="NEEDS REVIEW","",INDEX(Merchant_Lookup!$E$2:$E$27,MATCH(E178,Merchant_Lookup!$C$2:$C$27,0)))</f>
        <v/>
      </c>
      <c r="I178" t="str">
        <f t="shared" si="6"/>
        <v>NEEDS REVIEW</v>
      </c>
      <c r="J178" t="str">
        <f t="shared" si="7"/>
        <v>NEEDS REVIEW</v>
      </c>
      <c r="K178" t="str">
        <f t="shared" si="8"/>
        <v>NEEDS REVIEW</v>
      </c>
    </row>
    <row r="179" spans="5:11" x14ac:dyDescent="0.2">
      <c r="E179" t="str" cm="1">
        <f t="array" ref="E179">IFERROR(INDEX(Merchant_Lookup!$C$2:$C$27,MATCH(TRUE,ISNUMBER(SEARCH(Merchant_Lookup!$A$2:$A$26,UPPER(B179))),0)),"NEEDS REVIEW")</f>
        <v>NEEDS REVIEW</v>
      </c>
      <c r="F179" t="str">
        <f>IF(E179="NEEDS REVIEW","",INDEX(Merchant_Lookup!$D$2:$D$27,MATCH(E179,Merchant_Lookup!$C$2:$C$27,0)))</f>
        <v/>
      </c>
      <c r="G179" t="str">
        <f>IF(E179="NEEDS REVIEW","",INDEX(Merchant_Lookup!$E$2:$E$27,MATCH(E179,Merchant_Lookup!$C$2:$C$27,0)))</f>
        <v/>
      </c>
      <c r="I179" t="str">
        <f t="shared" si="6"/>
        <v>NEEDS REVIEW</v>
      </c>
      <c r="J179" t="str">
        <f t="shared" si="7"/>
        <v>NEEDS REVIEW</v>
      </c>
      <c r="K179" t="str">
        <f t="shared" si="8"/>
        <v>NEEDS REVIEW</v>
      </c>
    </row>
    <row r="180" spans="5:11" x14ac:dyDescent="0.2">
      <c r="E180" t="str" cm="1">
        <f t="array" ref="E180">IFERROR(INDEX(Merchant_Lookup!$C$2:$C$27,MATCH(TRUE,ISNUMBER(SEARCH(Merchant_Lookup!$A$2:$A$26,UPPER(B180))),0)),"NEEDS REVIEW")</f>
        <v>NEEDS REVIEW</v>
      </c>
      <c r="F180" t="str">
        <f>IF(E180="NEEDS REVIEW","",INDEX(Merchant_Lookup!$D$2:$D$27,MATCH(E180,Merchant_Lookup!$C$2:$C$27,0)))</f>
        <v/>
      </c>
      <c r="G180" t="str">
        <f>IF(E180="NEEDS REVIEW","",INDEX(Merchant_Lookup!$E$2:$E$27,MATCH(E180,Merchant_Lookup!$C$2:$C$27,0)))</f>
        <v/>
      </c>
      <c r="I180" t="str">
        <f t="shared" si="6"/>
        <v>NEEDS REVIEW</v>
      </c>
      <c r="J180" t="str">
        <f t="shared" si="7"/>
        <v>NEEDS REVIEW</v>
      </c>
      <c r="K180" t="str">
        <f t="shared" si="8"/>
        <v>NEEDS REVIEW</v>
      </c>
    </row>
    <row r="181" spans="5:11" x14ac:dyDescent="0.2">
      <c r="E181" t="str" cm="1">
        <f t="array" ref="E181">IFERROR(INDEX(Merchant_Lookup!$C$2:$C$27,MATCH(TRUE,ISNUMBER(SEARCH(Merchant_Lookup!$A$2:$A$26,UPPER(B181))),0)),"NEEDS REVIEW")</f>
        <v>NEEDS REVIEW</v>
      </c>
      <c r="F181" t="str">
        <f>IF(E181="NEEDS REVIEW","",INDEX(Merchant_Lookup!$D$2:$D$27,MATCH(E181,Merchant_Lookup!$C$2:$C$27,0)))</f>
        <v/>
      </c>
      <c r="G181" t="str">
        <f>IF(E181="NEEDS REVIEW","",INDEX(Merchant_Lookup!$E$2:$E$27,MATCH(E181,Merchant_Lookup!$C$2:$C$27,0)))</f>
        <v/>
      </c>
      <c r="I181" t="str">
        <f t="shared" si="6"/>
        <v>NEEDS REVIEW</v>
      </c>
      <c r="J181" t="str">
        <f t="shared" si="7"/>
        <v>NEEDS REVIEW</v>
      </c>
      <c r="K181" t="str">
        <f t="shared" si="8"/>
        <v>NEEDS REVIEW</v>
      </c>
    </row>
    <row r="182" spans="5:11" x14ac:dyDescent="0.2">
      <c r="E182" t="str" cm="1">
        <f t="array" ref="E182">IFERROR(INDEX(Merchant_Lookup!$C$2:$C$27,MATCH(TRUE,ISNUMBER(SEARCH(Merchant_Lookup!$A$2:$A$26,UPPER(B182))),0)),"NEEDS REVIEW")</f>
        <v>NEEDS REVIEW</v>
      </c>
      <c r="F182" t="str">
        <f>IF(E182="NEEDS REVIEW","",INDEX(Merchant_Lookup!$D$2:$D$27,MATCH(E182,Merchant_Lookup!$C$2:$C$27,0)))</f>
        <v/>
      </c>
      <c r="G182" t="str">
        <f>IF(E182="NEEDS REVIEW","",INDEX(Merchant_Lookup!$E$2:$E$27,MATCH(E182,Merchant_Lookup!$C$2:$C$27,0)))</f>
        <v/>
      </c>
      <c r="I182" t="str">
        <f t="shared" si="6"/>
        <v>NEEDS REVIEW</v>
      </c>
      <c r="J182" t="str">
        <f t="shared" si="7"/>
        <v>NEEDS REVIEW</v>
      </c>
      <c r="K182" t="str">
        <f t="shared" si="8"/>
        <v>NEEDS REVIEW</v>
      </c>
    </row>
    <row r="183" spans="5:11" x14ac:dyDescent="0.2">
      <c r="E183" t="str" cm="1">
        <f t="array" ref="E183">IFERROR(INDEX(Merchant_Lookup!$C$2:$C$27,MATCH(TRUE,ISNUMBER(SEARCH(Merchant_Lookup!$A$2:$A$26,UPPER(B183))),0)),"NEEDS REVIEW")</f>
        <v>NEEDS REVIEW</v>
      </c>
      <c r="F183" t="str">
        <f>IF(E183="NEEDS REVIEW","",INDEX(Merchant_Lookup!$D$2:$D$27,MATCH(E183,Merchant_Lookup!$C$2:$C$27,0)))</f>
        <v/>
      </c>
      <c r="G183" t="str">
        <f>IF(E183="NEEDS REVIEW","",INDEX(Merchant_Lookup!$E$2:$E$27,MATCH(E183,Merchant_Lookup!$C$2:$C$27,0)))</f>
        <v/>
      </c>
      <c r="I183" t="str">
        <f t="shared" si="6"/>
        <v>NEEDS REVIEW</v>
      </c>
      <c r="J183" t="str">
        <f t="shared" si="7"/>
        <v>NEEDS REVIEW</v>
      </c>
      <c r="K183" t="str">
        <f t="shared" si="8"/>
        <v>NEEDS REVIEW</v>
      </c>
    </row>
    <row r="184" spans="5:11" x14ac:dyDescent="0.2">
      <c r="E184" t="str" cm="1">
        <f t="array" ref="E184">IFERROR(INDEX(Merchant_Lookup!$C$2:$C$27,MATCH(TRUE,ISNUMBER(SEARCH(Merchant_Lookup!$A$2:$A$26,UPPER(B184))),0)),"NEEDS REVIEW")</f>
        <v>NEEDS REVIEW</v>
      </c>
      <c r="F184" t="str">
        <f>IF(E184="NEEDS REVIEW","",INDEX(Merchant_Lookup!$D$2:$D$27,MATCH(E184,Merchant_Lookup!$C$2:$C$27,0)))</f>
        <v/>
      </c>
      <c r="G184" t="str">
        <f>IF(E184="NEEDS REVIEW","",INDEX(Merchant_Lookup!$E$2:$E$27,MATCH(E184,Merchant_Lookup!$C$2:$C$27,0)))</f>
        <v/>
      </c>
      <c r="I184" t="str">
        <f t="shared" si="6"/>
        <v>NEEDS REVIEW</v>
      </c>
      <c r="J184" t="str">
        <f t="shared" si="7"/>
        <v>NEEDS REVIEW</v>
      </c>
      <c r="K184" t="str">
        <f t="shared" si="8"/>
        <v>NEEDS REVIEW</v>
      </c>
    </row>
    <row r="185" spans="5:11" x14ac:dyDescent="0.2">
      <c r="E185" t="str" cm="1">
        <f t="array" ref="E185">IFERROR(INDEX(Merchant_Lookup!$C$2:$C$27,MATCH(TRUE,ISNUMBER(SEARCH(Merchant_Lookup!$A$2:$A$26,UPPER(B185))),0)),"NEEDS REVIEW")</f>
        <v>NEEDS REVIEW</v>
      </c>
      <c r="F185" t="str">
        <f>IF(E185="NEEDS REVIEW","",INDEX(Merchant_Lookup!$D$2:$D$27,MATCH(E185,Merchant_Lookup!$C$2:$C$27,0)))</f>
        <v/>
      </c>
      <c r="G185" t="str">
        <f>IF(E185="NEEDS REVIEW","",INDEX(Merchant_Lookup!$E$2:$E$27,MATCH(E185,Merchant_Lookup!$C$2:$C$27,0)))</f>
        <v/>
      </c>
      <c r="I185" t="str">
        <f t="shared" si="6"/>
        <v>NEEDS REVIEW</v>
      </c>
      <c r="J185" t="str">
        <f t="shared" si="7"/>
        <v>NEEDS REVIEW</v>
      </c>
      <c r="K185" t="str">
        <f t="shared" si="8"/>
        <v>NEEDS REVIEW</v>
      </c>
    </row>
    <row r="186" spans="5:11" x14ac:dyDescent="0.2">
      <c r="E186" t="str" cm="1">
        <f t="array" ref="E186">IFERROR(INDEX(Merchant_Lookup!$C$2:$C$27,MATCH(TRUE,ISNUMBER(SEARCH(Merchant_Lookup!$A$2:$A$26,UPPER(B186))),0)),"NEEDS REVIEW")</f>
        <v>NEEDS REVIEW</v>
      </c>
      <c r="F186" t="str">
        <f>IF(E186="NEEDS REVIEW","",INDEX(Merchant_Lookup!$D$2:$D$27,MATCH(E186,Merchant_Lookup!$C$2:$C$27,0)))</f>
        <v/>
      </c>
      <c r="G186" t="str">
        <f>IF(E186="NEEDS REVIEW","",INDEX(Merchant_Lookup!$E$2:$E$27,MATCH(E186,Merchant_Lookup!$C$2:$C$27,0)))</f>
        <v/>
      </c>
      <c r="I186" t="str">
        <f t="shared" si="6"/>
        <v>NEEDS REVIEW</v>
      </c>
      <c r="J186" t="str">
        <f t="shared" si="7"/>
        <v>NEEDS REVIEW</v>
      </c>
      <c r="K186" t="str">
        <f t="shared" si="8"/>
        <v>NEEDS REVIEW</v>
      </c>
    </row>
    <row r="187" spans="5:11" x14ac:dyDescent="0.2">
      <c r="E187" t="str" cm="1">
        <f t="array" ref="E187">IFERROR(INDEX(Merchant_Lookup!$C$2:$C$27,MATCH(TRUE,ISNUMBER(SEARCH(Merchant_Lookup!$A$2:$A$26,UPPER(B187))),0)),"NEEDS REVIEW")</f>
        <v>NEEDS REVIEW</v>
      </c>
      <c r="F187" t="str">
        <f>IF(E187="NEEDS REVIEW","",INDEX(Merchant_Lookup!$D$2:$D$27,MATCH(E187,Merchant_Lookup!$C$2:$C$27,0)))</f>
        <v/>
      </c>
      <c r="G187" t="str">
        <f>IF(E187="NEEDS REVIEW","",INDEX(Merchant_Lookup!$E$2:$E$27,MATCH(E187,Merchant_Lookup!$C$2:$C$27,0)))</f>
        <v/>
      </c>
      <c r="I187" t="str">
        <f t="shared" si="6"/>
        <v>NEEDS REVIEW</v>
      </c>
      <c r="J187" t="str">
        <f t="shared" si="7"/>
        <v>NEEDS REVIEW</v>
      </c>
      <c r="K187" t="str">
        <f t="shared" si="8"/>
        <v>NEEDS REVIEW</v>
      </c>
    </row>
    <row r="188" spans="5:11" x14ac:dyDescent="0.2">
      <c r="E188" t="str" cm="1">
        <f t="array" ref="E188">IFERROR(INDEX(Merchant_Lookup!$C$2:$C$27,MATCH(TRUE,ISNUMBER(SEARCH(Merchant_Lookup!$A$2:$A$26,UPPER(B188))),0)),"NEEDS REVIEW")</f>
        <v>NEEDS REVIEW</v>
      </c>
      <c r="F188" t="str">
        <f>IF(E188="NEEDS REVIEW","",INDEX(Merchant_Lookup!$D$2:$D$27,MATCH(E188,Merchant_Lookup!$C$2:$C$27,0)))</f>
        <v/>
      </c>
      <c r="G188" t="str">
        <f>IF(E188="NEEDS REVIEW","",INDEX(Merchant_Lookup!$E$2:$E$27,MATCH(E188,Merchant_Lookup!$C$2:$C$27,0)))</f>
        <v/>
      </c>
      <c r="I188" t="str">
        <f t="shared" si="6"/>
        <v>NEEDS REVIEW</v>
      </c>
      <c r="J188" t="str">
        <f t="shared" si="7"/>
        <v>NEEDS REVIEW</v>
      </c>
      <c r="K188" t="str">
        <f t="shared" si="8"/>
        <v>NEEDS REVIEW</v>
      </c>
    </row>
    <row r="189" spans="5:11" x14ac:dyDescent="0.2">
      <c r="E189" t="str" cm="1">
        <f t="array" ref="E189">IFERROR(INDEX(Merchant_Lookup!$C$2:$C$27,MATCH(TRUE,ISNUMBER(SEARCH(Merchant_Lookup!$A$2:$A$26,UPPER(B189))),0)),"NEEDS REVIEW")</f>
        <v>NEEDS REVIEW</v>
      </c>
      <c r="F189" t="str">
        <f>IF(E189="NEEDS REVIEW","",INDEX(Merchant_Lookup!$D$2:$D$27,MATCH(E189,Merchant_Lookup!$C$2:$C$27,0)))</f>
        <v/>
      </c>
      <c r="G189" t="str">
        <f>IF(E189="NEEDS REVIEW","",INDEX(Merchant_Lookup!$E$2:$E$27,MATCH(E189,Merchant_Lookup!$C$2:$C$27,0)))</f>
        <v/>
      </c>
      <c r="I189" t="str">
        <f t="shared" si="6"/>
        <v>NEEDS REVIEW</v>
      </c>
      <c r="J189" t="str">
        <f t="shared" si="7"/>
        <v>NEEDS REVIEW</v>
      </c>
      <c r="K189" t="str">
        <f t="shared" si="8"/>
        <v>NEEDS REVIEW</v>
      </c>
    </row>
    <row r="190" spans="5:11" x14ac:dyDescent="0.2">
      <c r="E190" t="str" cm="1">
        <f t="array" ref="E190">IFERROR(INDEX(Merchant_Lookup!$C$2:$C$27,MATCH(TRUE,ISNUMBER(SEARCH(Merchant_Lookup!$A$2:$A$26,UPPER(B190))),0)),"NEEDS REVIEW")</f>
        <v>NEEDS REVIEW</v>
      </c>
      <c r="F190" t="str">
        <f>IF(E190="NEEDS REVIEW","",INDEX(Merchant_Lookup!$D$2:$D$27,MATCH(E190,Merchant_Lookup!$C$2:$C$27,0)))</f>
        <v/>
      </c>
      <c r="G190" t="str">
        <f>IF(E190="NEEDS REVIEW","",INDEX(Merchant_Lookup!$E$2:$E$27,MATCH(E190,Merchant_Lookup!$C$2:$C$27,0)))</f>
        <v/>
      </c>
      <c r="I190" t="str">
        <f t="shared" si="6"/>
        <v>NEEDS REVIEW</v>
      </c>
      <c r="J190" t="str">
        <f t="shared" si="7"/>
        <v>NEEDS REVIEW</v>
      </c>
      <c r="K190" t="str">
        <f t="shared" si="8"/>
        <v>NEEDS REVIEW</v>
      </c>
    </row>
    <row r="191" spans="5:11" x14ac:dyDescent="0.2">
      <c r="E191" t="str" cm="1">
        <f t="array" ref="E191">IFERROR(INDEX(Merchant_Lookup!$C$2:$C$27,MATCH(TRUE,ISNUMBER(SEARCH(Merchant_Lookup!$A$2:$A$26,UPPER(B191))),0)),"NEEDS REVIEW")</f>
        <v>NEEDS REVIEW</v>
      </c>
      <c r="F191" t="str">
        <f>IF(E191="NEEDS REVIEW","",INDEX(Merchant_Lookup!$D$2:$D$27,MATCH(E191,Merchant_Lookup!$C$2:$C$27,0)))</f>
        <v/>
      </c>
      <c r="G191" t="str">
        <f>IF(E191="NEEDS REVIEW","",INDEX(Merchant_Lookup!$E$2:$E$27,MATCH(E191,Merchant_Lookup!$C$2:$C$27,0)))</f>
        <v/>
      </c>
      <c r="I191" t="str">
        <f t="shared" si="6"/>
        <v>NEEDS REVIEW</v>
      </c>
      <c r="J191" t="str">
        <f t="shared" si="7"/>
        <v>NEEDS REVIEW</v>
      </c>
      <c r="K191" t="str">
        <f t="shared" si="8"/>
        <v>NEEDS REVIEW</v>
      </c>
    </row>
    <row r="192" spans="5:11" x14ac:dyDescent="0.2">
      <c r="E192" t="str" cm="1">
        <f t="array" ref="E192">IFERROR(INDEX(Merchant_Lookup!$C$2:$C$27,MATCH(TRUE,ISNUMBER(SEARCH(Merchant_Lookup!$A$2:$A$26,UPPER(B192))),0)),"NEEDS REVIEW")</f>
        <v>NEEDS REVIEW</v>
      </c>
      <c r="F192" t="str">
        <f>IF(E192="NEEDS REVIEW","",INDEX(Merchant_Lookup!$D$2:$D$27,MATCH(E192,Merchant_Lookup!$C$2:$C$27,0)))</f>
        <v/>
      </c>
      <c r="G192" t="str">
        <f>IF(E192="NEEDS REVIEW","",INDEX(Merchant_Lookup!$E$2:$E$27,MATCH(E192,Merchant_Lookup!$C$2:$C$27,0)))</f>
        <v/>
      </c>
      <c r="I192" t="str">
        <f t="shared" si="6"/>
        <v>NEEDS REVIEW</v>
      </c>
      <c r="J192" t="str">
        <f t="shared" si="7"/>
        <v>NEEDS REVIEW</v>
      </c>
      <c r="K192" t="str">
        <f t="shared" si="8"/>
        <v>NEEDS REVIEW</v>
      </c>
    </row>
    <row r="193" spans="5:11" x14ac:dyDescent="0.2">
      <c r="E193" t="str" cm="1">
        <f t="array" ref="E193">IFERROR(INDEX(Merchant_Lookup!$C$2:$C$27,MATCH(TRUE,ISNUMBER(SEARCH(Merchant_Lookup!$A$2:$A$26,UPPER(B193))),0)),"NEEDS REVIEW")</f>
        <v>NEEDS REVIEW</v>
      </c>
      <c r="F193" t="str">
        <f>IF(E193="NEEDS REVIEW","",INDEX(Merchant_Lookup!$D$2:$D$27,MATCH(E193,Merchant_Lookup!$C$2:$C$27,0)))</f>
        <v/>
      </c>
      <c r="G193" t="str">
        <f>IF(E193="NEEDS REVIEW","",INDEX(Merchant_Lookup!$E$2:$E$27,MATCH(E193,Merchant_Lookup!$C$2:$C$27,0)))</f>
        <v/>
      </c>
      <c r="I193" t="str">
        <f t="shared" si="6"/>
        <v>NEEDS REVIEW</v>
      </c>
      <c r="J193" t="str">
        <f t="shared" si="7"/>
        <v>NEEDS REVIEW</v>
      </c>
      <c r="K193" t="str">
        <f t="shared" si="8"/>
        <v>NEEDS REVIEW</v>
      </c>
    </row>
    <row r="194" spans="5:11" x14ac:dyDescent="0.2">
      <c r="E194" t="str" cm="1">
        <f t="array" ref="E194">IFERROR(INDEX(Merchant_Lookup!$C$2:$C$27,MATCH(TRUE,ISNUMBER(SEARCH(Merchant_Lookup!$A$2:$A$26,UPPER(B194))),0)),"NEEDS REVIEW")</f>
        <v>NEEDS REVIEW</v>
      </c>
      <c r="F194" t="str">
        <f>IF(E194="NEEDS REVIEW","",INDEX(Merchant_Lookup!$D$2:$D$27,MATCH(E194,Merchant_Lookup!$C$2:$C$27,0)))</f>
        <v/>
      </c>
      <c r="G194" t="str">
        <f>IF(E194="NEEDS REVIEW","",INDEX(Merchant_Lookup!$E$2:$E$27,MATCH(E194,Merchant_Lookup!$C$2:$C$27,0)))</f>
        <v/>
      </c>
      <c r="I194" t="str">
        <f t="shared" si="6"/>
        <v>NEEDS REVIEW</v>
      </c>
      <c r="J194" t="str">
        <f t="shared" si="7"/>
        <v>NEEDS REVIEW</v>
      </c>
      <c r="K194" t="str">
        <f t="shared" si="8"/>
        <v>NEEDS REVIEW</v>
      </c>
    </row>
    <row r="195" spans="5:11" x14ac:dyDescent="0.2">
      <c r="E195" t="str" cm="1">
        <f t="array" ref="E195">IFERROR(INDEX(Merchant_Lookup!$C$2:$C$27,MATCH(TRUE,ISNUMBER(SEARCH(Merchant_Lookup!$A$2:$A$26,UPPER(B195))),0)),"NEEDS REVIEW")</f>
        <v>NEEDS REVIEW</v>
      </c>
      <c r="F195" t="str">
        <f>IF(E195="NEEDS REVIEW","",INDEX(Merchant_Lookup!$D$2:$D$27,MATCH(E195,Merchant_Lookup!$C$2:$C$27,0)))</f>
        <v/>
      </c>
      <c r="G195" t="str">
        <f>IF(E195="NEEDS REVIEW","",INDEX(Merchant_Lookup!$E$2:$E$27,MATCH(E195,Merchant_Lookup!$C$2:$C$27,0)))</f>
        <v/>
      </c>
      <c r="I195" t="str">
        <f t="shared" ref="I195:I223" si="9">IF(H195&lt;&gt;"",H195,E195)</f>
        <v>NEEDS REVIEW</v>
      </c>
      <c r="J195" t="str">
        <f t="shared" ref="J195:J223" si="10">IF(H195&lt;&gt;"",H195,E195)</f>
        <v>NEEDS REVIEW</v>
      </c>
      <c r="K195" t="str">
        <f t="shared" ref="K195:K223" si="11">IF(I195&lt;&gt;"",I195,F195)</f>
        <v>NEEDS REVIEW</v>
      </c>
    </row>
    <row r="196" spans="5:11" x14ac:dyDescent="0.2">
      <c r="E196" t="str" cm="1">
        <f t="array" ref="E196">IFERROR(INDEX(Merchant_Lookup!$C$2:$C$27,MATCH(TRUE,ISNUMBER(SEARCH(Merchant_Lookup!$A$2:$A$26,UPPER(B196))),0)),"NEEDS REVIEW")</f>
        <v>NEEDS REVIEW</v>
      </c>
      <c r="F196" t="str">
        <f>IF(E196="NEEDS REVIEW","",INDEX(Merchant_Lookup!$D$2:$D$27,MATCH(E196,Merchant_Lookup!$C$2:$C$27,0)))</f>
        <v/>
      </c>
      <c r="G196" t="str">
        <f>IF(E196="NEEDS REVIEW","",INDEX(Merchant_Lookup!$E$2:$E$27,MATCH(E196,Merchant_Lookup!$C$2:$C$27,0)))</f>
        <v/>
      </c>
      <c r="I196" t="str">
        <f t="shared" si="9"/>
        <v>NEEDS REVIEW</v>
      </c>
      <c r="J196" t="str">
        <f t="shared" si="10"/>
        <v>NEEDS REVIEW</v>
      </c>
      <c r="K196" t="str">
        <f t="shared" si="11"/>
        <v>NEEDS REVIEW</v>
      </c>
    </row>
    <row r="197" spans="5:11" x14ac:dyDescent="0.2">
      <c r="E197" t="str" cm="1">
        <f t="array" ref="E197">IFERROR(INDEX(Merchant_Lookup!$C$2:$C$27,MATCH(TRUE,ISNUMBER(SEARCH(Merchant_Lookup!$A$2:$A$26,UPPER(B197))),0)),"NEEDS REVIEW")</f>
        <v>NEEDS REVIEW</v>
      </c>
      <c r="F197" t="str">
        <f>IF(E197="NEEDS REVIEW","",INDEX(Merchant_Lookup!$D$2:$D$27,MATCH(E197,Merchant_Lookup!$C$2:$C$27,0)))</f>
        <v/>
      </c>
      <c r="G197" t="str">
        <f>IF(E197="NEEDS REVIEW","",INDEX(Merchant_Lookup!$E$2:$E$27,MATCH(E197,Merchant_Lookup!$C$2:$C$27,0)))</f>
        <v/>
      </c>
      <c r="I197" t="str">
        <f t="shared" si="9"/>
        <v>NEEDS REVIEW</v>
      </c>
      <c r="J197" t="str">
        <f t="shared" si="10"/>
        <v>NEEDS REVIEW</v>
      </c>
      <c r="K197" t="str">
        <f t="shared" si="11"/>
        <v>NEEDS REVIEW</v>
      </c>
    </row>
    <row r="198" spans="5:11" x14ac:dyDescent="0.2">
      <c r="E198" t="str" cm="1">
        <f t="array" ref="E198">IFERROR(INDEX(Merchant_Lookup!$C$2:$C$27,MATCH(TRUE,ISNUMBER(SEARCH(Merchant_Lookup!$A$2:$A$26,UPPER(B198))),0)),"NEEDS REVIEW")</f>
        <v>NEEDS REVIEW</v>
      </c>
      <c r="F198" t="str">
        <f>IF(E198="NEEDS REVIEW","",INDEX(Merchant_Lookup!$D$2:$D$27,MATCH(E198,Merchant_Lookup!$C$2:$C$27,0)))</f>
        <v/>
      </c>
      <c r="G198" t="str">
        <f>IF(E198="NEEDS REVIEW","",INDEX(Merchant_Lookup!$E$2:$E$27,MATCH(E198,Merchant_Lookup!$C$2:$C$27,0)))</f>
        <v/>
      </c>
      <c r="I198" t="str">
        <f t="shared" si="9"/>
        <v>NEEDS REVIEW</v>
      </c>
      <c r="J198" t="str">
        <f t="shared" si="10"/>
        <v>NEEDS REVIEW</v>
      </c>
      <c r="K198" t="str">
        <f t="shared" si="11"/>
        <v>NEEDS REVIEW</v>
      </c>
    </row>
    <row r="199" spans="5:11" x14ac:dyDescent="0.2">
      <c r="E199" t="str" cm="1">
        <f t="array" ref="E199">IFERROR(INDEX(Merchant_Lookup!$C$2:$C$27,MATCH(TRUE,ISNUMBER(SEARCH(Merchant_Lookup!$A$2:$A$26,UPPER(B199))),0)),"NEEDS REVIEW")</f>
        <v>NEEDS REVIEW</v>
      </c>
      <c r="F199" t="str">
        <f>IF(E199="NEEDS REVIEW","",INDEX(Merchant_Lookup!$D$2:$D$27,MATCH(E199,Merchant_Lookup!$C$2:$C$27,0)))</f>
        <v/>
      </c>
      <c r="G199" t="str">
        <f>IF(E199="NEEDS REVIEW","",INDEX(Merchant_Lookup!$E$2:$E$27,MATCH(E199,Merchant_Lookup!$C$2:$C$27,0)))</f>
        <v/>
      </c>
      <c r="I199" t="str">
        <f t="shared" si="9"/>
        <v>NEEDS REVIEW</v>
      </c>
      <c r="J199" t="str">
        <f t="shared" si="10"/>
        <v>NEEDS REVIEW</v>
      </c>
      <c r="K199" t="str">
        <f t="shared" si="11"/>
        <v>NEEDS REVIEW</v>
      </c>
    </row>
    <row r="200" spans="5:11" x14ac:dyDescent="0.2">
      <c r="E200" t="str" cm="1">
        <f t="array" ref="E200">IFERROR(INDEX(Merchant_Lookup!$C$2:$C$27,MATCH(TRUE,ISNUMBER(SEARCH(Merchant_Lookup!$A$2:$A$26,UPPER(B200))),0)),"NEEDS REVIEW")</f>
        <v>NEEDS REVIEW</v>
      </c>
      <c r="F200" t="str">
        <f>IF(E200="NEEDS REVIEW","",INDEX(Merchant_Lookup!$D$2:$D$27,MATCH(E200,Merchant_Lookup!$C$2:$C$27,0)))</f>
        <v/>
      </c>
      <c r="G200" t="str">
        <f>IF(E200="NEEDS REVIEW","",INDEX(Merchant_Lookup!$E$2:$E$27,MATCH(E200,Merchant_Lookup!$C$2:$C$27,0)))</f>
        <v/>
      </c>
      <c r="I200" t="str">
        <f t="shared" si="9"/>
        <v>NEEDS REVIEW</v>
      </c>
      <c r="J200" t="str">
        <f t="shared" si="10"/>
        <v>NEEDS REVIEW</v>
      </c>
      <c r="K200" t="str">
        <f t="shared" si="11"/>
        <v>NEEDS REVIEW</v>
      </c>
    </row>
    <row r="201" spans="5:11" x14ac:dyDescent="0.2">
      <c r="E201" t="str" cm="1">
        <f t="array" ref="E201">IFERROR(INDEX(Merchant_Lookup!$C$2:$C$27,MATCH(TRUE,ISNUMBER(SEARCH(Merchant_Lookup!$A$2:$A$26,UPPER(B201))),0)),"NEEDS REVIEW")</f>
        <v>NEEDS REVIEW</v>
      </c>
      <c r="F201" t="str">
        <f>IF(E201="NEEDS REVIEW","",INDEX(Merchant_Lookup!$D$2:$D$27,MATCH(E201,Merchant_Lookup!$C$2:$C$27,0)))</f>
        <v/>
      </c>
      <c r="G201" t="str">
        <f>IF(E201="NEEDS REVIEW","",INDEX(Merchant_Lookup!$E$2:$E$27,MATCH(E201,Merchant_Lookup!$C$2:$C$27,0)))</f>
        <v/>
      </c>
      <c r="I201" t="str">
        <f t="shared" si="9"/>
        <v>NEEDS REVIEW</v>
      </c>
      <c r="J201" t="str">
        <f t="shared" si="10"/>
        <v>NEEDS REVIEW</v>
      </c>
      <c r="K201" t="str">
        <f t="shared" si="11"/>
        <v>NEEDS REVIEW</v>
      </c>
    </row>
    <row r="202" spans="5:11" x14ac:dyDescent="0.2">
      <c r="E202" t="str" cm="1">
        <f t="array" ref="E202">IFERROR(INDEX(Merchant_Lookup!$C$2:$C$27,MATCH(TRUE,ISNUMBER(SEARCH(Merchant_Lookup!$A$2:$A$26,UPPER(B202))),0)),"NEEDS REVIEW")</f>
        <v>NEEDS REVIEW</v>
      </c>
      <c r="F202" t="str">
        <f>IF(E202="NEEDS REVIEW","",INDEX(Merchant_Lookup!$D$2:$D$27,MATCH(E202,Merchant_Lookup!$C$2:$C$27,0)))</f>
        <v/>
      </c>
      <c r="G202" t="str">
        <f>IF(E202="NEEDS REVIEW","",INDEX(Merchant_Lookup!$E$2:$E$27,MATCH(E202,Merchant_Lookup!$C$2:$C$27,0)))</f>
        <v/>
      </c>
      <c r="I202" t="str">
        <f t="shared" si="9"/>
        <v>NEEDS REVIEW</v>
      </c>
      <c r="J202" t="str">
        <f t="shared" si="10"/>
        <v>NEEDS REVIEW</v>
      </c>
      <c r="K202" t="str">
        <f t="shared" si="11"/>
        <v>NEEDS REVIEW</v>
      </c>
    </row>
    <row r="203" spans="5:11" x14ac:dyDescent="0.2">
      <c r="E203" t="str" cm="1">
        <f t="array" ref="E203">IFERROR(INDEX(Merchant_Lookup!$C$2:$C$27,MATCH(TRUE,ISNUMBER(SEARCH(Merchant_Lookup!$A$2:$A$26,UPPER(B203))),0)),"NEEDS REVIEW")</f>
        <v>NEEDS REVIEW</v>
      </c>
      <c r="F203" t="str">
        <f>IF(E203="NEEDS REVIEW","",INDEX(Merchant_Lookup!$D$2:$D$27,MATCH(E203,Merchant_Lookup!$C$2:$C$27,0)))</f>
        <v/>
      </c>
      <c r="G203" t="str">
        <f>IF(E203="NEEDS REVIEW","",INDEX(Merchant_Lookup!$E$2:$E$27,MATCH(E203,Merchant_Lookup!$C$2:$C$27,0)))</f>
        <v/>
      </c>
      <c r="I203" t="str">
        <f t="shared" si="9"/>
        <v>NEEDS REVIEW</v>
      </c>
      <c r="J203" t="str">
        <f t="shared" si="10"/>
        <v>NEEDS REVIEW</v>
      </c>
      <c r="K203" t="str">
        <f t="shared" si="11"/>
        <v>NEEDS REVIEW</v>
      </c>
    </row>
    <row r="204" spans="5:11" x14ac:dyDescent="0.2">
      <c r="E204" t="str" cm="1">
        <f t="array" ref="E204">IFERROR(INDEX(Merchant_Lookup!$C$2:$C$27,MATCH(TRUE,ISNUMBER(SEARCH(Merchant_Lookup!$A$2:$A$26,UPPER(B204))),0)),"NEEDS REVIEW")</f>
        <v>NEEDS REVIEW</v>
      </c>
      <c r="F204" t="str">
        <f>IF(E204="NEEDS REVIEW","",INDEX(Merchant_Lookup!$D$2:$D$27,MATCH(E204,Merchant_Lookup!$C$2:$C$27,0)))</f>
        <v/>
      </c>
      <c r="G204" t="str">
        <f>IF(E204="NEEDS REVIEW","",INDEX(Merchant_Lookup!$E$2:$E$27,MATCH(E204,Merchant_Lookup!$C$2:$C$27,0)))</f>
        <v/>
      </c>
      <c r="I204" t="str">
        <f t="shared" si="9"/>
        <v>NEEDS REVIEW</v>
      </c>
      <c r="J204" t="str">
        <f t="shared" si="10"/>
        <v>NEEDS REVIEW</v>
      </c>
      <c r="K204" t="str">
        <f t="shared" si="11"/>
        <v>NEEDS REVIEW</v>
      </c>
    </row>
    <row r="205" spans="5:11" x14ac:dyDescent="0.2">
      <c r="E205" t="str" cm="1">
        <f t="array" ref="E205">IFERROR(INDEX(Merchant_Lookup!$C$2:$C$27,MATCH(TRUE,ISNUMBER(SEARCH(Merchant_Lookup!$A$2:$A$26,UPPER(B205))),0)),"NEEDS REVIEW")</f>
        <v>NEEDS REVIEW</v>
      </c>
      <c r="F205" t="str">
        <f>IF(E205="NEEDS REVIEW","",INDEX(Merchant_Lookup!$D$2:$D$27,MATCH(E205,Merchant_Lookup!$C$2:$C$27,0)))</f>
        <v/>
      </c>
      <c r="G205" t="str">
        <f>IF(E205="NEEDS REVIEW","",INDEX(Merchant_Lookup!$E$2:$E$27,MATCH(E205,Merchant_Lookup!$C$2:$C$27,0)))</f>
        <v/>
      </c>
      <c r="I205" t="str">
        <f t="shared" si="9"/>
        <v>NEEDS REVIEW</v>
      </c>
      <c r="J205" t="str">
        <f t="shared" si="10"/>
        <v>NEEDS REVIEW</v>
      </c>
      <c r="K205" t="str">
        <f t="shared" si="11"/>
        <v>NEEDS REVIEW</v>
      </c>
    </row>
    <row r="206" spans="5:11" x14ac:dyDescent="0.2">
      <c r="E206" t="str" cm="1">
        <f t="array" ref="E206">IFERROR(INDEX(Merchant_Lookup!$C$2:$C$27,MATCH(TRUE,ISNUMBER(SEARCH(Merchant_Lookup!$A$2:$A$26,UPPER(B206))),0)),"NEEDS REVIEW")</f>
        <v>NEEDS REVIEW</v>
      </c>
      <c r="F206" t="str">
        <f>IF(E206="NEEDS REVIEW","",INDEX(Merchant_Lookup!$D$2:$D$27,MATCH(E206,Merchant_Lookup!$C$2:$C$27,0)))</f>
        <v/>
      </c>
      <c r="G206" t="str">
        <f>IF(E206="NEEDS REVIEW","",INDEX(Merchant_Lookup!$E$2:$E$27,MATCH(E206,Merchant_Lookup!$C$2:$C$27,0)))</f>
        <v/>
      </c>
      <c r="I206" t="str">
        <f t="shared" si="9"/>
        <v>NEEDS REVIEW</v>
      </c>
      <c r="J206" t="str">
        <f t="shared" si="10"/>
        <v>NEEDS REVIEW</v>
      </c>
      <c r="K206" t="str">
        <f t="shared" si="11"/>
        <v>NEEDS REVIEW</v>
      </c>
    </row>
    <row r="207" spans="5:11" x14ac:dyDescent="0.2">
      <c r="E207" t="str" cm="1">
        <f t="array" ref="E207">IFERROR(INDEX(Merchant_Lookup!$C$2:$C$27,MATCH(TRUE,ISNUMBER(SEARCH(Merchant_Lookup!$A$2:$A$26,UPPER(B207))),0)),"NEEDS REVIEW")</f>
        <v>NEEDS REVIEW</v>
      </c>
      <c r="F207" t="str">
        <f>IF(E207="NEEDS REVIEW","",INDEX(Merchant_Lookup!$D$2:$D$27,MATCH(E207,Merchant_Lookup!$C$2:$C$27,0)))</f>
        <v/>
      </c>
      <c r="G207" t="str">
        <f>IF(E207="NEEDS REVIEW","",INDEX(Merchant_Lookup!$E$2:$E$27,MATCH(E207,Merchant_Lookup!$C$2:$C$27,0)))</f>
        <v/>
      </c>
      <c r="I207" t="str">
        <f t="shared" si="9"/>
        <v>NEEDS REVIEW</v>
      </c>
      <c r="J207" t="str">
        <f t="shared" si="10"/>
        <v>NEEDS REVIEW</v>
      </c>
      <c r="K207" t="str">
        <f t="shared" si="11"/>
        <v>NEEDS REVIEW</v>
      </c>
    </row>
    <row r="208" spans="5:11" x14ac:dyDescent="0.2">
      <c r="E208" t="str" cm="1">
        <f t="array" ref="E208">IFERROR(INDEX(Merchant_Lookup!$C$2:$C$27,MATCH(TRUE,ISNUMBER(SEARCH(Merchant_Lookup!$A$2:$A$26,UPPER(B208))),0)),"NEEDS REVIEW")</f>
        <v>NEEDS REVIEW</v>
      </c>
      <c r="F208" t="str">
        <f>IF(E208="NEEDS REVIEW","",INDEX(Merchant_Lookup!$D$2:$D$27,MATCH(E208,Merchant_Lookup!$C$2:$C$27,0)))</f>
        <v/>
      </c>
      <c r="G208" t="str">
        <f>IF(E208="NEEDS REVIEW","",INDEX(Merchant_Lookup!$E$2:$E$27,MATCH(E208,Merchant_Lookup!$C$2:$C$27,0)))</f>
        <v/>
      </c>
      <c r="I208" t="str">
        <f t="shared" si="9"/>
        <v>NEEDS REVIEW</v>
      </c>
      <c r="J208" t="str">
        <f t="shared" si="10"/>
        <v>NEEDS REVIEW</v>
      </c>
      <c r="K208" t="str">
        <f t="shared" si="11"/>
        <v>NEEDS REVIEW</v>
      </c>
    </row>
    <row r="209" spans="5:11" x14ac:dyDescent="0.2">
      <c r="E209" t="str" cm="1">
        <f t="array" ref="E209">IFERROR(INDEX(Merchant_Lookup!$C$2:$C$27,MATCH(TRUE,ISNUMBER(SEARCH(Merchant_Lookup!$A$2:$A$26,UPPER(B209))),0)),"NEEDS REVIEW")</f>
        <v>NEEDS REVIEW</v>
      </c>
      <c r="F209" t="str">
        <f>IF(E209="NEEDS REVIEW","",INDEX(Merchant_Lookup!$D$2:$D$27,MATCH(E209,Merchant_Lookup!$C$2:$C$27,0)))</f>
        <v/>
      </c>
      <c r="G209" t="str">
        <f>IF(E209="NEEDS REVIEW","",INDEX(Merchant_Lookup!$E$2:$E$27,MATCH(E209,Merchant_Lookup!$C$2:$C$27,0)))</f>
        <v/>
      </c>
      <c r="I209" t="str">
        <f t="shared" si="9"/>
        <v>NEEDS REVIEW</v>
      </c>
      <c r="J209" t="str">
        <f t="shared" si="10"/>
        <v>NEEDS REVIEW</v>
      </c>
      <c r="K209" t="str">
        <f t="shared" si="11"/>
        <v>NEEDS REVIEW</v>
      </c>
    </row>
    <row r="210" spans="5:11" x14ac:dyDescent="0.2">
      <c r="E210" t="str" cm="1">
        <f t="array" ref="E210">IFERROR(INDEX(Merchant_Lookup!$C$2:$C$27,MATCH(TRUE,ISNUMBER(SEARCH(Merchant_Lookup!$A$2:$A$26,UPPER(B210))),0)),"NEEDS REVIEW")</f>
        <v>NEEDS REVIEW</v>
      </c>
      <c r="F210" t="str">
        <f>IF(E210="NEEDS REVIEW","",INDEX(Merchant_Lookup!$D$2:$D$27,MATCH(E210,Merchant_Lookup!$C$2:$C$27,0)))</f>
        <v/>
      </c>
      <c r="G210" t="str">
        <f>IF(E210="NEEDS REVIEW","",INDEX(Merchant_Lookup!$E$2:$E$27,MATCH(E210,Merchant_Lookup!$C$2:$C$27,0)))</f>
        <v/>
      </c>
      <c r="I210" t="str">
        <f t="shared" si="9"/>
        <v>NEEDS REVIEW</v>
      </c>
      <c r="J210" t="str">
        <f t="shared" si="10"/>
        <v>NEEDS REVIEW</v>
      </c>
      <c r="K210" t="str">
        <f t="shared" si="11"/>
        <v>NEEDS REVIEW</v>
      </c>
    </row>
    <row r="211" spans="5:11" x14ac:dyDescent="0.2">
      <c r="E211" t="str" cm="1">
        <f t="array" ref="E211">IFERROR(INDEX(Merchant_Lookup!$C$2:$C$27,MATCH(TRUE,ISNUMBER(SEARCH(Merchant_Lookup!$A$2:$A$26,UPPER(B211))),0)),"NEEDS REVIEW")</f>
        <v>NEEDS REVIEW</v>
      </c>
      <c r="F211" t="str">
        <f>IF(E211="NEEDS REVIEW","",INDEX(Merchant_Lookup!$D$2:$D$27,MATCH(E211,Merchant_Lookup!$C$2:$C$27,0)))</f>
        <v/>
      </c>
      <c r="G211" t="str">
        <f>IF(E211="NEEDS REVIEW","",INDEX(Merchant_Lookup!$E$2:$E$27,MATCH(E211,Merchant_Lookup!$C$2:$C$27,0)))</f>
        <v/>
      </c>
      <c r="I211" t="str">
        <f t="shared" si="9"/>
        <v>NEEDS REVIEW</v>
      </c>
      <c r="J211" t="str">
        <f t="shared" si="10"/>
        <v>NEEDS REVIEW</v>
      </c>
      <c r="K211" t="str">
        <f t="shared" si="11"/>
        <v>NEEDS REVIEW</v>
      </c>
    </row>
    <row r="212" spans="5:11" x14ac:dyDescent="0.2">
      <c r="E212" t="str" cm="1">
        <f t="array" ref="E212">IFERROR(INDEX(Merchant_Lookup!$C$2:$C$27,MATCH(TRUE,ISNUMBER(SEARCH(Merchant_Lookup!$A$2:$A$26,UPPER(B212))),0)),"NEEDS REVIEW")</f>
        <v>NEEDS REVIEW</v>
      </c>
      <c r="F212" t="str">
        <f>IF(E212="NEEDS REVIEW","",INDEX(Merchant_Lookup!$D$2:$D$27,MATCH(E212,Merchant_Lookup!$C$2:$C$27,0)))</f>
        <v/>
      </c>
      <c r="G212" t="str">
        <f>IF(E212="NEEDS REVIEW","",INDEX(Merchant_Lookup!$E$2:$E$27,MATCH(E212,Merchant_Lookup!$C$2:$C$27,0)))</f>
        <v/>
      </c>
      <c r="I212" t="str">
        <f t="shared" si="9"/>
        <v>NEEDS REVIEW</v>
      </c>
      <c r="J212" t="str">
        <f t="shared" si="10"/>
        <v>NEEDS REVIEW</v>
      </c>
      <c r="K212" t="str">
        <f t="shared" si="11"/>
        <v>NEEDS REVIEW</v>
      </c>
    </row>
    <row r="213" spans="5:11" x14ac:dyDescent="0.2">
      <c r="E213" t="str" cm="1">
        <f t="array" ref="E213">IFERROR(INDEX(Merchant_Lookup!$C$2:$C$27,MATCH(TRUE,ISNUMBER(SEARCH(Merchant_Lookup!$A$2:$A$26,UPPER(B213))),0)),"NEEDS REVIEW")</f>
        <v>NEEDS REVIEW</v>
      </c>
      <c r="F213" t="str">
        <f>IF(E213="NEEDS REVIEW","",INDEX(Merchant_Lookup!$D$2:$D$27,MATCH(E213,Merchant_Lookup!$C$2:$C$27,0)))</f>
        <v/>
      </c>
      <c r="G213" t="str">
        <f>IF(E213="NEEDS REVIEW","",INDEX(Merchant_Lookup!$E$2:$E$27,MATCH(E213,Merchant_Lookup!$C$2:$C$27,0)))</f>
        <v/>
      </c>
      <c r="I213" t="str">
        <f t="shared" si="9"/>
        <v>NEEDS REVIEW</v>
      </c>
      <c r="J213" t="str">
        <f t="shared" si="10"/>
        <v>NEEDS REVIEW</v>
      </c>
      <c r="K213" t="str">
        <f t="shared" si="11"/>
        <v>NEEDS REVIEW</v>
      </c>
    </row>
    <row r="214" spans="5:11" x14ac:dyDescent="0.2">
      <c r="E214" t="str" cm="1">
        <f t="array" ref="E214">IFERROR(INDEX(Merchant_Lookup!$C$2:$C$27,MATCH(TRUE,ISNUMBER(SEARCH(Merchant_Lookup!$A$2:$A$26,UPPER(B214))),0)),"NEEDS REVIEW")</f>
        <v>NEEDS REVIEW</v>
      </c>
      <c r="F214" t="str">
        <f>IF(E214="NEEDS REVIEW","",INDEX(Merchant_Lookup!$D$2:$D$27,MATCH(E214,Merchant_Lookup!$C$2:$C$27,0)))</f>
        <v/>
      </c>
      <c r="G214" t="str">
        <f>IF(E214="NEEDS REVIEW","",INDEX(Merchant_Lookup!$E$2:$E$27,MATCH(E214,Merchant_Lookup!$C$2:$C$27,0)))</f>
        <v/>
      </c>
      <c r="I214" t="str">
        <f t="shared" si="9"/>
        <v>NEEDS REVIEW</v>
      </c>
      <c r="J214" t="str">
        <f t="shared" si="10"/>
        <v>NEEDS REVIEW</v>
      </c>
      <c r="K214" t="str">
        <f t="shared" si="11"/>
        <v>NEEDS REVIEW</v>
      </c>
    </row>
    <row r="215" spans="5:11" x14ac:dyDescent="0.2">
      <c r="E215" t="str" cm="1">
        <f t="array" ref="E215">IFERROR(INDEX(Merchant_Lookup!$C$2:$C$27,MATCH(TRUE,ISNUMBER(SEARCH(Merchant_Lookup!$A$2:$A$26,UPPER(B215))),0)),"NEEDS REVIEW")</f>
        <v>NEEDS REVIEW</v>
      </c>
      <c r="F215" t="str">
        <f>IF(E215="NEEDS REVIEW","",INDEX(Merchant_Lookup!$D$2:$D$27,MATCH(E215,Merchant_Lookup!$C$2:$C$27,0)))</f>
        <v/>
      </c>
      <c r="G215" t="str">
        <f>IF(E215="NEEDS REVIEW","",INDEX(Merchant_Lookup!$E$2:$E$27,MATCH(E215,Merchant_Lookup!$C$2:$C$27,0)))</f>
        <v/>
      </c>
      <c r="I215" t="str">
        <f t="shared" si="9"/>
        <v>NEEDS REVIEW</v>
      </c>
      <c r="J215" t="str">
        <f t="shared" si="10"/>
        <v>NEEDS REVIEW</v>
      </c>
      <c r="K215" t="str">
        <f t="shared" si="11"/>
        <v>NEEDS REVIEW</v>
      </c>
    </row>
    <row r="216" spans="5:11" x14ac:dyDescent="0.2">
      <c r="E216" t="str" cm="1">
        <f t="array" ref="E216">IFERROR(INDEX(Merchant_Lookup!$C$2:$C$27,MATCH(TRUE,ISNUMBER(SEARCH(Merchant_Lookup!$A$2:$A$26,UPPER(B216))),0)),"NEEDS REVIEW")</f>
        <v>NEEDS REVIEW</v>
      </c>
      <c r="F216" t="str">
        <f>IF(E216="NEEDS REVIEW","",INDEX(Merchant_Lookup!$D$2:$D$27,MATCH(E216,Merchant_Lookup!$C$2:$C$27,0)))</f>
        <v/>
      </c>
      <c r="G216" t="str">
        <f>IF(E216="NEEDS REVIEW","",INDEX(Merchant_Lookup!$E$2:$E$27,MATCH(E216,Merchant_Lookup!$C$2:$C$27,0)))</f>
        <v/>
      </c>
      <c r="I216" t="str">
        <f t="shared" si="9"/>
        <v>NEEDS REVIEW</v>
      </c>
      <c r="J216" t="str">
        <f t="shared" si="10"/>
        <v>NEEDS REVIEW</v>
      </c>
      <c r="K216" t="str">
        <f t="shared" si="11"/>
        <v>NEEDS REVIEW</v>
      </c>
    </row>
    <row r="217" spans="5:11" x14ac:dyDescent="0.2">
      <c r="E217" t="str" cm="1">
        <f t="array" ref="E217">IFERROR(INDEX(Merchant_Lookup!$C$2:$C$27,MATCH(TRUE,ISNUMBER(SEARCH(Merchant_Lookup!$A$2:$A$26,UPPER(B217))),0)),"NEEDS REVIEW")</f>
        <v>NEEDS REVIEW</v>
      </c>
      <c r="F217" t="str">
        <f>IF(E217="NEEDS REVIEW","",INDEX(Merchant_Lookup!$D$2:$D$27,MATCH(E217,Merchant_Lookup!$C$2:$C$27,0)))</f>
        <v/>
      </c>
      <c r="G217" t="str">
        <f>IF(E217="NEEDS REVIEW","",INDEX(Merchant_Lookup!$E$2:$E$27,MATCH(E217,Merchant_Lookup!$C$2:$C$27,0)))</f>
        <v/>
      </c>
      <c r="I217" t="str">
        <f t="shared" si="9"/>
        <v>NEEDS REVIEW</v>
      </c>
      <c r="J217" t="str">
        <f t="shared" si="10"/>
        <v>NEEDS REVIEW</v>
      </c>
      <c r="K217" t="str">
        <f t="shared" si="11"/>
        <v>NEEDS REVIEW</v>
      </c>
    </row>
    <row r="218" spans="5:11" x14ac:dyDescent="0.2">
      <c r="E218" t="str" cm="1">
        <f t="array" ref="E218">IFERROR(INDEX(Merchant_Lookup!$C$2:$C$27,MATCH(TRUE,ISNUMBER(SEARCH(Merchant_Lookup!$A$2:$A$26,UPPER(B218))),0)),"NEEDS REVIEW")</f>
        <v>NEEDS REVIEW</v>
      </c>
      <c r="F218" t="str">
        <f>IF(E218="NEEDS REVIEW","",INDEX(Merchant_Lookup!$D$2:$D$27,MATCH(E218,Merchant_Lookup!$C$2:$C$27,0)))</f>
        <v/>
      </c>
      <c r="G218" t="str">
        <f>IF(E218="NEEDS REVIEW","",INDEX(Merchant_Lookup!$E$2:$E$27,MATCH(E218,Merchant_Lookup!$C$2:$C$27,0)))</f>
        <v/>
      </c>
      <c r="I218" t="str">
        <f t="shared" si="9"/>
        <v>NEEDS REVIEW</v>
      </c>
      <c r="J218" t="str">
        <f t="shared" si="10"/>
        <v>NEEDS REVIEW</v>
      </c>
      <c r="K218" t="str">
        <f t="shared" si="11"/>
        <v>NEEDS REVIEW</v>
      </c>
    </row>
    <row r="219" spans="5:11" x14ac:dyDescent="0.2">
      <c r="E219" t="str" cm="1">
        <f t="array" ref="E219">IFERROR(INDEX(Merchant_Lookup!$C$2:$C$27,MATCH(TRUE,ISNUMBER(SEARCH(Merchant_Lookup!$A$2:$A$26,UPPER(B219))),0)),"NEEDS REVIEW")</f>
        <v>NEEDS REVIEW</v>
      </c>
      <c r="F219" t="str">
        <f>IF(E219="NEEDS REVIEW","",INDEX(Merchant_Lookup!$D$2:$D$27,MATCH(E219,Merchant_Lookup!$C$2:$C$27,0)))</f>
        <v/>
      </c>
      <c r="G219" t="str">
        <f>IF(E219="NEEDS REVIEW","",INDEX(Merchant_Lookup!$E$2:$E$27,MATCH(E219,Merchant_Lookup!$C$2:$C$27,0)))</f>
        <v/>
      </c>
      <c r="I219" t="str">
        <f t="shared" si="9"/>
        <v>NEEDS REVIEW</v>
      </c>
      <c r="J219" t="str">
        <f t="shared" si="10"/>
        <v>NEEDS REVIEW</v>
      </c>
      <c r="K219" t="str">
        <f t="shared" si="11"/>
        <v>NEEDS REVIEW</v>
      </c>
    </row>
    <row r="220" spans="5:11" x14ac:dyDescent="0.2">
      <c r="E220" t="str" cm="1">
        <f t="array" ref="E220">IFERROR(INDEX(Merchant_Lookup!$C$2:$C$27,MATCH(TRUE,ISNUMBER(SEARCH(Merchant_Lookup!$A$2:$A$26,UPPER(B220))),0)),"NEEDS REVIEW")</f>
        <v>NEEDS REVIEW</v>
      </c>
      <c r="F220" t="str">
        <f>IF(E220="NEEDS REVIEW","",INDEX(Merchant_Lookup!$D$2:$D$27,MATCH(E220,Merchant_Lookup!$C$2:$C$27,0)))</f>
        <v/>
      </c>
      <c r="G220" t="str">
        <f>IF(E220="NEEDS REVIEW","",INDEX(Merchant_Lookup!$E$2:$E$27,MATCH(E220,Merchant_Lookup!$C$2:$C$27,0)))</f>
        <v/>
      </c>
      <c r="I220" t="str">
        <f t="shared" si="9"/>
        <v>NEEDS REVIEW</v>
      </c>
      <c r="J220" t="str">
        <f t="shared" si="10"/>
        <v>NEEDS REVIEW</v>
      </c>
      <c r="K220" t="str">
        <f t="shared" si="11"/>
        <v>NEEDS REVIEW</v>
      </c>
    </row>
    <row r="221" spans="5:11" x14ac:dyDescent="0.2">
      <c r="E221" t="str" cm="1">
        <f t="array" ref="E221">IFERROR(INDEX(Merchant_Lookup!$C$2:$C$27,MATCH(TRUE,ISNUMBER(SEARCH(Merchant_Lookup!$A$2:$A$26,UPPER(B221))),0)),"NEEDS REVIEW")</f>
        <v>NEEDS REVIEW</v>
      </c>
      <c r="F221" t="str">
        <f>IF(E221="NEEDS REVIEW","",INDEX(Merchant_Lookup!$D$2:$D$27,MATCH(E221,Merchant_Lookup!$C$2:$C$27,0)))</f>
        <v/>
      </c>
      <c r="G221" t="str">
        <f>IF(E221="NEEDS REVIEW","",INDEX(Merchant_Lookup!$E$2:$E$27,MATCH(E221,Merchant_Lookup!$C$2:$C$27,0)))</f>
        <v/>
      </c>
      <c r="I221" t="str">
        <f t="shared" si="9"/>
        <v>NEEDS REVIEW</v>
      </c>
      <c r="J221" t="str">
        <f t="shared" si="10"/>
        <v>NEEDS REVIEW</v>
      </c>
      <c r="K221" t="str">
        <f t="shared" si="11"/>
        <v>NEEDS REVIEW</v>
      </c>
    </row>
    <row r="222" spans="5:11" x14ac:dyDescent="0.2">
      <c r="E222" t="str" cm="1">
        <f t="array" ref="E222">IFERROR(INDEX(Merchant_Lookup!$C$2:$C$27,MATCH(TRUE,ISNUMBER(SEARCH(Merchant_Lookup!$A$2:$A$26,UPPER(B222))),0)),"NEEDS REVIEW")</f>
        <v>NEEDS REVIEW</v>
      </c>
      <c r="F222" t="str">
        <f>IF(E222="NEEDS REVIEW","",INDEX(Merchant_Lookup!$D$2:$D$27,MATCH(E222,Merchant_Lookup!$C$2:$C$27,0)))</f>
        <v/>
      </c>
      <c r="G222" t="str">
        <f>IF(E222="NEEDS REVIEW","",INDEX(Merchant_Lookup!$E$2:$E$27,MATCH(E222,Merchant_Lookup!$C$2:$C$27,0)))</f>
        <v/>
      </c>
      <c r="I222" t="str">
        <f t="shared" si="9"/>
        <v>NEEDS REVIEW</v>
      </c>
      <c r="J222" t="str">
        <f t="shared" si="10"/>
        <v>NEEDS REVIEW</v>
      </c>
      <c r="K222" t="str">
        <f t="shared" si="11"/>
        <v>NEEDS REVIEW</v>
      </c>
    </row>
    <row r="223" spans="5:11" x14ac:dyDescent="0.2">
      <c r="E223" t="str" cm="1">
        <f t="array" ref="E223">IFERROR(INDEX(Merchant_Lookup!$C$2:$C$27,MATCH(TRUE,ISNUMBER(SEARCH(Merchant_Lookup!$A$2:$A$26,UPPER(B223))),0)),"NEEDS REVIEW")</f>
        <v>NEEDS REVIEW</v>
      </c>
      <c r="F223" t="str">
        <f>IF(E223="NEEDS REVIEW","",INDEX(Merchant_Lookup!$D$2:$D$27,MATCH(E223,Merchant_Lookup!$C$2:$C$27,0)))</f>
        <v/>
      </c>
      <c r="G223" t="str">
        <f>IF(E223="NEEDS REVIEW","",INDEX(Merchant_Lookup!$E$2:$E$27,MATCH(E223,Merchant_Lookup!$C$2:$C$27,0)))</f>
        <v/>
      </c>
      <c r="I223" t="str">
        <f t="shared" si="9"/>
        <v>NEEDS REVIEW</v>
      </c>
      <c r="J223" t="str">
        <f t="shared" si="10"/>
        <v>NEEDS REVIEW</v>
      </c>
      <c r="K223" t="str">
        <f t="shared" si="11"/>
        <v>NEEDS REVIEW</v>
      </c>
    </row>
  </sheetData>
  <conditionalFormatting sqref="E1:E1048576">
    <cfRule type="cellIs" dxfId="1" priority="1" operator="notEqual">
      <formula>"NEEDS REVIEW"</formula>
    </cfRule>
    <cfRule type="cellIs" dxfId="0" priority="2" operator="equal">
      <formula>"NEEDS REVIEW"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0A95-DC06-B14A-A722-0DEBD6155328}">
  <dimension ref="A1:F142"/>
  <sheetViews>
    <sheetView topLeftCell="A104" zoomScale="125" zoomScaleNormal="125" workbookViewId="0">
      <selection activeCell="B143" sqref="B143"/>
    </sheetView>
  </sheetViews>
  <sheetFormatPr baseColWidth="10" defaultRowHeight="16" x14ac:dyDescent="0.2"/>
  <cols>
    <col min="1" max="1" width="64.83203125" bestFit="1" customWidth="1"/>
    <col min="2" max="2" width="14.6640625" bestFit="1" customWidth="1"/>
    <col min="3" max="3" width="29" bestFit="1" customWidth="1"/>
    <col min="5" max="5" width="12.83203125" bestFit="1" customWidth="1"/>
  </cols>
  <sheetData>
    <row r="1" spans="1:6" x14ac:dyDescent="0.2">
      <c r="A1" s="1" t="s">
        <v>11</v>
      </c>
      <c r="B1" t="s">
        <v>12</v>
      </c>
      <c r="C1" t="s">
        <v>13</v>
      </c>
      <c r="D1" t="s">
        <v>226</v>
      </c>
      <c r="E1" t="s">
        <v>168</v>
      </c>
    </row>
    <row r="2" spans="1:6" x14ac:dyDescent="0.2">
      <c r="A2" t="s">
        <v>121</v>
      </c>
      <c r="B2" t="s">
        <v>156</v>
      </c>
      <c r="C2" t="s">
        <v>164</v>
      </c>
      <c r="D2" t="s">
        <v>157</v>
      </c>
    </row>
    <row r="3" spans="1:6" x14ac:dyDescent="0.2">
      <c r="A3" t="s">
        <v>115</v>
      </c>
      <c r="B3" t="s">
        <v>158</v>
      </c>
      <c r="C3" t="s">
        <v>62</v>
      </c>
    </row>
    <row r="4" spans="1:6" x14ac:dyDescent="0.2">
      <c r="A4" t="s">
        <v>134</v>
      </c>
      <c r="B4" t="s">
        <v>159</v>
      </c>
      <c r="D4" t="s">
        <v>160</v>
      </c>
    </row>
    <row r="5" spans="1:6" x14ac:dyDescent="0.2">
      <c r="A5" t="s">
        <v>235</v>
      </c>
      <c r="B5" t="s">
        <v>250</v>
      </c>
      <c r="C5" t="s">
        <v>164</v>
      </c>
      <c r="D5" t="s">
        <v>174</v>
      </c>
      <c r="E5" t="s">
        <v>168</v>
      </c>
    </row>
    <row r="6" spans="1:6" x14ac:dyDescent="0.2">
      <c r="A6" t="s">
        <v>147</v>
      </c>
      <c r="D6" t="s">
        <v>160</v>
      </c>
    </row>
    <row r="7" spans="1:6" x14ac:dyDescent="0.2">
      <c r="A7" t="s">
        <v>64</v>
      </c>
      <c r="B7" t="s">
        <v>65</v>
      </c>
      <c r="C7" t="s">
        <v>66</v>
      </c>
      <c r="D7" t="s">
        <v>174</v>
      </c>
      <c r="E7" t="s">
        <v>168</v>
      </c>
      <c r="F7" t="s">
        <v>168</v>
      </c>
    </row>
    <row r="8" spans="1:6" x14ac:dyDescent="0.2">
      <c r="A8" t="s">
        <v>230</v>
      </c>
      <c r="B8" t="s">
        <v>247</v>
      </c>
      <c r="C8" t="s">
        <v>218</v>
      </c>
      <c r="D8" t="s">
        <v>174</v>
      </c>
      <c r="E8" t="s">
        <v>168</v>
      </c>
    </row>
    <row r="9" spans="1:6" x14ac:dyDescent="0.2">
      <c r="A9" t="s">
        <v>99</v>
      </c>
      <c r="B9" t="s">
        <v>161</v>
      </c>
      <c r="C9" t="s">
        <v>165</v>
      </c>
      <c r="F9" t="s">
        <v>169</v>
      </c>
    </row>
    <row r="10" spans="1:6" x14ac:dyDescent="0.2">
      <c r="A10" t="s">
        <v>93</v>
      </c>
      <c r="B10" t="s">
        <v>161</v>
      </c>
      <c r="C10" t="s">
        <v>165</v>
      </c>
    </row>
    <row r="11" spans="1:6" x14ac:dyDescent="0.2">
      <c r="A11" t="s">
        <v>148</v>
      </c>
      <c r="B11" t="s">
        <v>161</v>
      </c>
      <c r="C11" t="s">
        <v>165</v>
      </c>
    </row>
    <row r="12" spans="1:6" x14ac:dyDescent="0.2">
      <c r="A12" t="s">
        <v>26</v>
      </c>
      <c r="B12" t="s">
        <v>27</v>
      </c>
      <c r="C12" t="s">
        <v>28</v>
      </c>
      <c r="D12" t="s">
        <v>174</v>
      </c>
      <c r="E12" t="s">
        <v>168</v>
      </c>
    </row>
    <row r="13" spans="1:6" x14ac:dyDescent="0.2">
      <c r="A13" t="s">
        <v>19</v>
      </c>
      <c r="B13" t="s">
        <v>20</v>
      </c>
      <c r="C13" t="s">
        <v>21</v>
      </c>
      <c r="D13" t="s">
        <v>174</v>
      </c>
      <c r="E13" t="s">
        <v>168</v>
      </c>
    </row>
    <row r="14" spans="1:6" x14ac:dyDescent="0.2">
      <c r="A14" t="s">
        <v>104</v>
      </c>
      <c r="B14" t="s">
        <v>162</v>
      </c>
      <c r="C14" t="s">
        <v>163</v>
      </c>
    </row>
    <row r="15" spans="1:6" x14ac:dyDescent="0.2">
      <c r="A15" t="s">
        <v>22</v>
      </c>
      <c r="B15" t="s">
        <v>23</v>
      </c>
      <c r="C15" t="s">
        <v>24</v>
      </c>
      <c r="D15" t="s">
        <v>160</v>
      </c>
      <c r="E15" t="s">
        <v>168</v>
      </c>
    </row>
    <row r="16" spans="1:6" x14ac:dyDescent="0.2">
      <c r="A16" t="s">
        <v>95</v>
      </c>
      <c r="B16" t="s">
        <v>23</v>
      </c>
      <c r="C16" t="s">
        <v>24</v>
      </c>
    </row>
    <row r="17" spans="1:5" x14ac:dyDescent="0.2">
      <c r="A17" t="s">
        <v>141</v>
      </c>
      <c r="B17" t="s">
        <v>165</v>
      </c>
      <c r="D17" t="s">
        <v>160</v>
      </c>
    </row>
    <row r="18" spans="1:5" x14ac:dyDescent="0.2">
      <c r="A18" t="s">
        <v>118</v>
      </c>
      <c r="B18" t="s">
        <v>166</v>
      </c>
      <c r="C18" t="s">
        <v>164</v>
      </c>
      <c r="D18" t="s">
        <v>157</v>
      </c>
      <c r="E18" t="s">
        <v>168</v>
      </c>
    </row>
    <row r="19" spans="1:5" x14ac:dyDescent="0.2">
      <c r="A19" t="s">
        <v>119</v>
      </c>
      <c r="B19" t="s">
        <v>251</v>
      </c>
      <c r="C19" t="s">
        <v>206</v>
      </c>
      <c r="D19" t="s">
        <v>157</v>
      </c>
      <c r="E19" t="s">
        <v>168</v>
      </c>
    </row>
    <row r="20" spans="1:5" x14ac:dyDescent="0.2">
      <c r="A20" t="s">
        <v>30</v>
      </c>
      <c r="B20" t="s">
        <v>252</v>
      </c>
      <c r="C20" t="s">
        <v>28</v>
      </c>
      <c r="D20" t="s">
        <v>174</v>
      </c>
      <c r="E20" t="s">
        <v>168</v>
      </c>
    </row>
    <row r="21" spans="1:5" x14ac:dyDescent="0.2">
      <c r="A21" t="s">
        <v>77</v>
      </c>
      <c r="B21" t="s">
        <v>253</v>
      </c>
      <c r="C21" t="s">
        <v>73</v>
      </c>
      <c r="D21" t="s">
        <v>174</v>
      </c>
      <c r="E21" t="s">
        <v>168</v>
      </c>
    </row>
    <row r="22" spans="1:5" x14ac:dyDescent="0.2">
      <c r="A22" t="s">
        <v>122</v>
      </c>
      <c r="B22" t="s">
        <v>254</v>
      </c>
      <c r="C22" t="s">
        <v>164</v>
      </c>
      <c r="D22" t="s">
        <v>157</v>
      </c>
      <c r="E22" t="s">
        <v>168</v>
      </c>
    </row>
    <row r="23" spans="1:5" x14ac:dyDescent="0.2">
      <c r="A23" t="s">
        <v>29</v>
      </c>
      <c r="B23" t="s">
        <v>29</v>
      </c>
      <c r="C23" t="s">
        <v>28</v>
      </c>
      <c r="D23" t="s">
        <v>174</v>
      </c>
      <c r="E23" t="s">
        <v>168</v>
      </c>
    </row>
    <row r="24" spans="1:5" x14ac:dyDescent="0.2">
      <c r="A24" t="s">
        <v>149</v>
      </c>
      <c r="D24" t="s">
        <v>160</v>
      </c>
    </row>
    <row r="25" spans="1:5" x14ac:dyDescent="0.2">
      <c r="A25" t="s">
        <v>113</v>
      </c>
      <c r="B25" t="s">
        <v>255</v>
      </c>
      <c r="C25" t="s">
        <v>197</v>
      </c>
      <c r="D25" t="s">
        <v>174</v>
      </c>
      <c r="E25" t="s">
        <v>168</v>
      </c>
    </row>
    <row r="26" spans="1:5" x14ac:dyDescent="0.2">
      <c r="A26" t="s">
        <v>58</v>
      </c>
      <c r="B26" t="s">
        <v>59</v>
      </c>
      <c r="C26" t="s">
        <v>57</v>
      </c>
      <c r="D26" t="s">
        <v>167</v>
      </c>
      <c r="E26" t="s">
        <v>169</v>
      </c>
    </row>
    <row r="27" spans="1:5" x14ac:dyDescent="0.2">
      <c r="A27" t="s">
        <v>117</v>
      </c>
      <c r="B27" t="s">
        <v>256</v>
      </c>
      <c r="C27" t="s">
        <v>176</v>
      </c>
      <c r="D27" t="s">
        <v>157</v>
      </c>
      <c r="E27" t="s">
        <v>168</v>
      </c>
    </row>
    <row r="28" spans="1:5" x14ac:dyDescent="0.2">
      <c r="A28" t="s">
        <v>240</v>
      </c>
      <c r="D28" t="s">
        <v>200</v>
      </c>
    </row>
    <row r="29" spans="1:5" x14ac:dyDescent="0.2">
      <c r="A29" t="s">
        <v>120</v>
      </c>
      <c r="B29" t="s">
        <v>257</v>
      </c>
      <c r="C29" t="s">
        <v>164</v>
      </c>
      <c r="D29" t="s">
        <v>157</v>
      </c>
      <c r="E29" t="s">
        <v>168</v>
      </c>
    </row>
    <row r="30" spans="1:5" x14ac:dyDescent="0.2">
      <c r="A30" t="s">
        <v>74</v>
      </c>
      <c r="B30" t="s">
        <v>74</v>
      </c>
      <c r="D30" t="s">
        <v>160</v>
      </c>
    </row>
    <row r="31" spans="1:5" x14ac:dyDescent="0.2">
      <c r="A31" t="s">
        <v>238</v>
      </c>
      <c r="B31" t="s">
        <v>258</v>
      </c>
      <c r="C31" t="s">
        <v>204</v>
      </c>
      <c r="D31" t="s">
        <v>157</v>
      </c>
      <c r="E31" t="s">
        <v>168</v>
      </c>
    </row>
    <row r="32" spans="1:5" x14ac:dyDescent="0.2">
      <c r="A32" t="s">
        <v>132</v>
      </c>
      <c r="B32" t="s">
        <v>171</v>
      </c>
      <c r="D32" t="s">
        <v>160</v>
      </c>
    </row>
    <row r="33" spans="1:5" x14ac:dyDescent="0.2">
      <c r="A33" t="s">
        <v>123</v>
      </c>
      <c r="B33" t="s">
        <v>170</v>
      </c>
      <c r="C33" t="s">
        <v>164</v>
      </c>
      <c r="D33" t="s">
        <v>157</v>
      </c>
      <c r="E33" t="s">
        <v>168</v>
      </c>
    </row>
    <row r="34" spans="1:5" x14ac:dyDescent="0.2">
      <c r="A34" t="s">
        <v>105</v>
      </c>
      <c r="B34" t="s">
        <v>172</v>
      </c>
      <c r="C34" t="s">
        <v>173</v>
      </c>
      <c r="D34" t="s">
        <v>174</v>
      </c>
      <c r="E34" t="s">
        <v>168</v>
      </c>
    </row>
    <row r="35" spans="1:5" x14ac:dyDescent="0.2">
      <c r="A35" t="s">
        <v>126</v>
      </c>
      <c r="B35" t="s">
        <v>175</v>
      </c>
      <c r="C35" t="s">
        <v>176</v>
      </c>
      <c r="D35" t="s">
        <v>157</v>
      </c>
      <c r="E35" t="s">
        <v>168</v>
      </c>
    </row>
    <row r="36" spans="1:5" x14ac:dyDescent="0.2">
      <c r="A36" t="s">
        <v>60</v>
      </c>
      <c r="B36" t="s">
        <v>60</v>
      </c>
      <c r="C36" t="s">
        <v>61</v>
      </c>
      <c r="D36" t="s">
        <v>167</v>
      </c>
      <c r="E36" t="s">
        <v>169</v>
      </c>
    </row>
    <row r="37" spans="1:5" x14ac:dyDescent="0.2">
      <c r="A37" t="s">
        <v>86</v>
      </c>
      <c r="B37" t="s">
        <v>177</v>
      </c>
      <c r="C37" t="s">
        <v>51</v>
      </c>
      <c r="D37" t="s">
        <v>174</v>
      </c>
      <c r="E37" t="s">
        <v>168</v>
      </c>
    </row>
    <row r="38" spans="1:5" x14ac:dyDescent="0.2">
      <c r="A38" t="s">
        <v>142</v>
      </c>
      <c r="B38" t="s">
        <v>178</v>
      </c>
      <c r="D38" t="s">
        <v>160</v>
      </c>
    </row>
    <row r="39" spans="1:5" x14ac:dyDescent="0.2">
      <c r="A39" t="s">
        <v>143</v>
      </c>
      <c r="B39" t="s">
        <v>179</v>
      </c>
      <c r="D39" t="s">
        <v>160</v>
      </c>
    </row>
    <row r="40" spans="1:5" x14ac:dyDescent="0.2">
      <c r="A40" t="s">
        <v>37</v>
      </c>
      <c r="B40" t="s">
        <v>38</v>
      </c>
      <c r="C40" t="s">
        <v>36</v>
      </c>
      <c r="D40" t="s">
        <v>174</v>
      </c>
      <c r="E40" t="s">
        <v>168</v>
      </c>
    </row>
    <row r="41" spans="1:5" x14ac:dyDescent="0.2">
      <c r="A41" t="s">
        <v>82</v>
      </c>
      <c r="B41" t="s">
        <v>83</v>
      </c>
      <c r="C41" t="s">
        <v>84</v>
      </c>
      <c r="D41" t="s">
        <v>174</v>
      </c>
      <c r="E41" t="s">
        <v>168</v>
      </c>
    </row>
    <row r="42" spans="1:5" x14ac:dyDescent="0.2">
      <c r="A42" t="s">
        <v>135</v>
      </c>
      <c r="B42" t="s">
        <v>180</v>
      </c>
      <c r="D42" t="s">
        <v>160</v>
      </c>
    </row>
    <row r="43" spans="1:5" x14ac:dyDescent="0.2">
      <c r="A43" t="s">
        <v>100</v>
      </c>
      <c r="B43" t="s">
        <v>181</v>
      </c>
      <c r="C43" t="s">
        <v>182</v>
      </c>
      <c r="D43" t="s">
        <v>174</v>
      </c>
      <c r="E43" t="s">
        <v>168</v>
      </c>
    </row>
    <row r="44" spans="1:5" x14ac:dyDescent="0.2">
      <c r="A44" t="s">
        <v>18</v>
      </c>
      <c r="B44" t="s">
        <v>18</v>
      </c>
      <c r="C44" t="s">
        <v>17</v>
      </c>
      <c r="D44" t="s">
        <v>174</v>
      </c>
      <c r="E44" t="s">
        <v>168</v>
      </c>
    </row>
    <row r="45" spans="1:5" x14ac:dyDescent="0.2">
      <c r="A45" t="s">
        <v>80</v>
      </c>
      <c r="B45" t="s">
        <v>80</v>
      </c>
      <c r="C45" t="s">
        <v>81</v>
      </c>
      <c r="D45" t="s">
        <v>174</v>
      </c>
      <c r="E45" t="s">
        <v>168</v>
      </c>
    </row>
    <row r="46" spans="1:5" x14ac:dyDescent="0.2">
      <c r="A46" t="s">
        <v>85</v>
      </c>
      <c r="B46" t="s">
        <v>183</v>
      </c>
      <c r="C46" t="s">
        <v>24</v>
      </c>
      <c r="D46" t="s">
        <v>174</v>
      </c>
      <c r="E46" t="s">
        <v>168</v>
      </c>
    </row>
    <row r="47" spans="1:5" x14ac:dyDescent="0.2">
      <c r="A47" s="3" t="s">
        <v>102</v>
      </c>
      <c r="B47" t="s">
        <v>85</v>
      </c>
      <c r="C47" t="s">
        <v>164</v>
      </c>
      <c r="D47" t="s">
        <v>174</v>
      </c>
      <c r="E47" t="s">
        <v>168</v>
      </c>
    </row>
    <row r="48" spans="1:5" x14ac:dyDescent="0.2">
      <c r="A48" s="3" t="s">
        <v>144</v>
      </c>
      <c r="B48" t="s">
        <v>184</v>
      </c>
      <c r="D48" t="s">
        <v>160</v>
      </c>
    </row>
    <row r="49" spans="1:5" x14ac:dyDescent="0.2">
      <c r="A49" t="s">
        <v>34</v>
      </c>
      <c r="B49" t="s">
        <v>34</v>
      </c>
      <c r="C49" t="s">
        <v>185</v>
      </c>
      <c r="D49" t="s">
        <v>174</v>
      </c>
      <c r="E49" t="s">
        <v>168</v>
      </c>
    </row>
    <row r="50" spans="1:5" x14ac:dyDescent="0.2">
      <c r="A50" t="s">
        <v>96</v>
      </c>
      <c r="B50" t="s">
        <v>34</v>
      </c>
      <c r="C50" t="s">
        <v>185</v>
      </c>
      <c r="D50" t="s">
        <v>174</v>
      </c>
      <c r="E50" t="s">
        <v>168</v>
      </c>
    </row>
    <row r="51" spans="1:5" x14ac:dyDescent="0.2">
      <c r="A51" t="s">
        <v>35</v>
      </c>
      <c r="B51" t="s">
        <v>35</v>
      </c>
      <c r="C51" t="s">
        <v>36</v>
      </c>
      <c r="D51" t="s">
        <v>174</v>
      </c>
      <c r="E51" t="s">
        <v>168</v>
      </c>
    </row>
    <row r="52" spans="1:5" x14ac:dyDescent="0.2">
      <c r="A52" t="s">
        <v>97</v>
      </c>
      <c r="B52" t="s">
        <v>35</v>
      </c>
      <c r="C52" t="s">
        <v>186</v>
      </c>
      <c r="D52" t="s">
        <v>174</v>
      </c>
      <c r="E52" t="s">
        <v>168</v>
      </c>
    </row>
    <row r="53" spans="1:5" x14ac:dyDescent="0.2">
      <c r="A53" t="s">
        <v>124</v>
      </c>
      <c r="B53" t="s">
        <v>187</v>
      </c>
      <c r="C53" t="s">
        <v>164</v>
      </c>
      <c r="D53" t="s">
        <v>157</v>
      </c>
      <c r="E53" t="s">
        <v>168</v>
      </c>
    </row>
    <row r="54" spans="1:5" x14ac:dyDescent="0.2">
      <c r="A54" t="s">
        <v>128</v>
      </c>
      <c r="B54" t="s">
        <v>188</v>
      </c>
      <c r="C54" t="s">
        <v>189</v>
      </c>
      <c r="D54" t="s">
        <v>167</v>
      </c>
      <c r="E54" t="s">
        <v>169</v>
      </c>
    </row>
    <row r="55" spans="1:5" x14ac:dyDescent="0.2">
      <c r="A55" t="s">
        <v>50</v>
      </c>
      <c r="B55" t="s">
        <v>50</v>
      </c>
      <c r="C55" t="s">
        <v>51</v>
      </c>
      <c r="D55" t="s">
        <v>174</v>
      </c>
      <c r="E55" t="s">
        <v>168</v>
      </c>
    </row>
    <row r="56" spans="1:5" x14ac:dyDescent="0.2">
      <c r="A56" t="s">
        <v>114</v>
      </c>
      <c r="B56" t="s">
        <v>190</v>
      </c>
      <c r="C56" t="s">
        <v>191</v>
      </c>
      <c r="D56" t="s">
        <v>157</v>
      </c>
      <c r="E56" t="s">
        <v>168</v>
      </c>
    </row>
    <row r="57" spans="1:5" x14ac:dyDescent="0.2">
      <c r="A57" t="s">
        <v>62</v>
      </c>
      <c r="B57" t="s">
        <v>62</v>
      </c>
      <c r="C57" t="s">
        <v>63</v>
      </c>
      <c r="D57" t="s">
        <v>157</v>
      </c>
      <c r="E57" t="s">
        <v>169</v>
      </c>
    </row>
    <row r="58" spans="1:5" x14ac:dyDescent="0.2">
      <c r="A58" t="s">
        <v>236</v>
      </c>
      <c r="B58" t="s">
        <v>259</v>
      </c>
      <c r="C58" t="s">
        <v>259</v>
      </c>
      <c r="D58" t="s">
        <v>157</v>
      </c>
      <c r="E58" t="s">
        <v>168</v>
      </c>
    </row>
    <row r="59" spans="1:5" x14ac:dyDescent="0.2">
      <c r="A59" t="s">
        <v>31</v>
      </c>
      <c r="B59" t="s">
        <v>32</v>
      </c>
      <c r="C59" t="s">
        <v>33</v>
      </c>
      <c r="D59" t="s">
        <v>174</v>
      </c>
      <c r="E59" t="s">
        <v>168</v>
      </c>
    </row>
    <row r="60" spans="1:5" x14ac:dyDescent="0.2">
      <c r="A60" t="s">
        <v>48</v>
      </c>
      <c r="B60" t="s">
        <v>49</v>
      </c>
      <c r="C60" t="s">
        <v>47</v>
      </c>
      <c r="D60" t="s">
        <v>174</v>
      </c>
      <c r="E60" t="s">
        <v>168</v>
      </c>
    </row>
    <row r="61" spans="1:5" x14ac:dyDescent="0.2">
      <c r="A61" t="s">
        <v>155</v>
      </c>
      <c r="D61" t="s">
        <v>160</v>
      </c>
    </row>
    <row r="62" spans="1:5" x14ac:dyDescent="0.2">
      <c r="A62" t="s">
        <v>87</v>
      </c>
      <c r="B62" t="s">
        <v>88</v>
      </c>
      <c r="C62" t="s">
        <v>73</v>
      </c>
      <c r="D62" t="s">
        <v>174</v>
      </c>
      <c r="E62" t="s">
        <v>168</v>
      </c>
    </row>
    <row r="63" spans="1:5" x14ac:dyDescent="0.2">
      <c r="A63" s="3" t="s">
        <v>109</v>
      </c>
      <c r="B63" t="s">
        <v>192</v>
      </c>
      <c r="C63" t="s">
        <v>193</v>
      </c>
    </row>
    <row r="64" spans="1:5" x14ac:dyDescent="0.2">
      <c r="A64" s="3" t="s">
        <v>244</v>
      </c>
      <c r="D64" t="s">
        <v>160</v>
      </c>
    </row>
    <row r="65" spans="1:5" x14ac:dyDescent="0.2">
      <c r="A65" s="3" t="s">
        <v>138</v>
      </c>
      <c r="B65" t="s">
        <v>194</v>
      </c>
      <c r="C65" t="s">
        <v>195</v>
      </c>
      <c r="D65" t="s">
        <v>174</v>
      </c>
      <c r="E65" t="s">
        <v>168</v>
      </c>
    </row>
    <row r="66" spans="1:5" x14ac:dyDescent="0.2">
      <c r="A66" s="3" t="s">
        <v>234</v>
      </c>
      <c r="B66" t="s">
        <v>260</v>
      </c>
      <c r="C66" t="s">
        <v>206</v>
      </c>
      <c r="D66" t="s">
        <v>174</v>
      </c>
      <c r="E66" t="s">
        <v>168</v>
      </c>
    </row>
    <row r="67" spans="1:5" x14ac:dyDescent="0.2">
      <c r="A67" s="3" t="s">
        <v>237</v>
      </c>
      <c r="B67" t="s">
        <v>261</v>
      </c>
      <c r="C67" t="s">
        <v>206</v>
      </c>
      <c r="D67" t="s">
        <v>157</v>
      </c>
      <c r="E67" t="s">
        <v>168</v>
      </c>
    </row>
    <row r="68" spans="1:5" x14ac:dyDescent="0.2">
      <c r="A68" t="s">
        <v>111</v>
      </c>
      <c r="B68" t="s">
        <v>196</v>
      </c>
      <c r="C68" t="s">
        <v>197</v>
      </c>
      <c r="D68" t="s">
        <v>174</v>
      </c>
      <c r="E68" t="s">
        <v>168</v>
      </c>
    </row>
    <row r="69" spans="1:5" x14ac:dyDescent="0.2">
      <c r="A69" t="s">
        <v>130</v>
      </c>
      <c r="B69" t="s">
        <v>198</v>
      </c>
      <c r="C69" t="s">
        <v>55</v>
      </c>
      <c r="D69" t="s">
        <v>167</v>
      </c>
      <c r="E69" t="s">
        <v>169</v>
      </c>
    </row>
    <row r="70" spans="1:5" x14ac:dyDescent="0.2">
      <c r="A70" t="s">
        <v>75</v>
      </c>
      <c r="B70" t="s">
        <v>199</v>
      </c>
      <c r="C70" t="s">
        <v>73</v>
      </c>
      <c r="D70" t="s">
        <v>174</v>
      </c>
      <c r="E70" t="s">
        <v>168</v>
      </c>
    </row>
    <row r="71" spans="1:5" x14ac:dyDescent="0.2">
      <c r="A71" t="s">
        <v>52</v>
      </c>
      <c r="B71" t="s">
        <v>52</v>
      </c>
      <c r="C71" t="s">
        <v>53</v>
      </c>
      <c r="D71" t="s">
        <v>157</v>
      </c>
      <c r="E71" t="s">
        <v>169</v>
      </c>
    </row>
    <row r="72" spans="1:5" x14ac:dyDescent="0.2">
      <c r="A72" t="s">
        <v>25</v>
      </c>
      <c r="B72" t="s">
        <v>25</v>
      </c>
      <c r="C72" t="s">
        <v>24</v>
      </c>
      <c r="D72" t="s">
        <v>174</v>
      </c>
      <c r="E72" t="s">
        <v>168</v>
      </c>
    </row>
    <row r="73" spans="1:5" x14ac:dyDescent="0.2">
      <c r="A73" s="3" t="s">
        <v>106</v>
      </c>
      <c r="D73" t="s">
        <v>160</v>
      </c>
    </row>
    <row r="74" spans="1:5" x14ac:dyDescent="0.2">
      <c r="A74" s="3" t="s">
        <v>125</v>
      </c>
      <c r="B74" t="s">
        <v>201</v>
      </c>
      <c r="C74" t="s">
        <v>164</v>
      </c>
      <c r="D74" t="s">
        <v>157</v>
      </c>
      <c r="E74" t="s">
        <v>168</v>
      </c>
    </row>
    <row r="75" spans="1:5" x14ac:dyDescent="0.2">
      <c r="A75" s="3" t="s">
        <v>16</v>
      </c>
      <c r="B75" t="s">
        <v>202</v>
      </c>
      <c r="C75" t="s">
        <v>17</v>
      </c>
      <c r="D75" t="s">
        <v>174</v>
      </c>
      <c r="E75" t="s">
        <v>168</v>
      </c>
    </row>
    <row r="76" spans="1:5" x14ac:dyDescent="0.2">
      <c r="A76" s="3" t="s">
        <v>94</v>
      </c>
      <c r="B76" t="s">
        <v>202</v>
      </c>
      <c r="C76" t="s">
        <v>17</v>
      </c>
      <c r="D76" t="s">
        <v>174</v>
      </c>
      <c r="E76" t="s">
        <v>168</v>
      </c>
    </row>
    <row r="77" spans="1:5" x14ac:dyDescent="0.2">
      <c r="A77" t="s">
        <v>41</v>
      </c>
      <c r="B77" t="s">
        <v>42</v>
      </c>
      <c r="C77" t="s">
        <v>43</v>
      </c>
      <c r="D77" t="s">
        <v>174</v>
      </c>
      <c r="E77" t="s">
        <v>168</v>
      </c>
    </row>
    <row r="78" spans="1:5" x14ac:dyDescent="0.2">
      <c r="A78" t="s">
        <v>116</v>
      </c>
      <c r="B78" t="s">
        <v>203</v>
      </c>
      <c r="C78" t="s">
        <v>204</v>
      </c>
      <c r="D78" t="s">
        <v>157</v>
      </c>
      <c r="E78" t="s">
        <v>168</v>
      </c>
    </row>
    <row r="79" spans="1:5" x14ac:dyDescent="0.2">
      <c r="A79" t="s">
        <v>70</v>
      </c>
      <c r="B79" t="s">
        <v>70</v>
      </c>
      <c r="C79" t="s">
        <v>71</v>
      </c>
      <c r="D79" t="s">
        <v>174</v>
      </c>
      <c r="E79" t="s">
        <v>168</v>
      </c>
    </row>
    <row r="80" spans="1:5" x14ac:dyDescent="0.2">
      <c r="A80" t="s">
        <v>127</v>
      </c>
      <c r="B80" t="s">
        <v>205</v>
      </c>
      <c r="C80" t="s">
        <v>206</v>
      </c>
      <c r="D80" t="s">
        <v>157</v>
      </c>
      <c r="E80" t="s">
        <v>168</v>
      </c>
    </row>
    <row r="81" spans="1:5" x14ac:dyDescent="0.2">
      <c r="A81" t="s">
        <v>129</v>
      </c>
      <c r="D81" t="s">
        <v>160</v>
      </c>
    </row>
    <row r="82" spans="1:5" x14ac:dyDescent="0.2">
      <c r="A82" t="s">
        <v>69</v>
      </c>
      <c r="B82" t="s">
        <v>69</v>
      </c>
      <c r="C82" t="s">
        <v>68</v>
      </c>
      <c r="D82" t="s">
        <v>174</v>
      </c>
      <c r="E82" t="s">
        <v>168</v>
      </c>
    </row>
    <row r="83" spans="1:5" x14ac:dyDescent="0.2">
      <c r="A83" t="s">
        <v>145</v>
      </c>
      <c r="B83" t="s">
        <v>207</v>
      </c>
      <c r="D83" t="s">
        <v>160</v>
      </c>
    </row>
    <row r="84" spans="1:5" x14ac:dyDescent="0.2">
      <c r="A84" t="s">
        <v>55</v>
      </c>
      <c r="B84" t="s">
        <v>56</v>
      </c>
      <c r="C84" t="s">
        <v>57</v>
      </c>
      <c r="D84" t="s">
        <v>157</v>
      </c>
      <c r="E84" t="s">
        <v>54</v>
      </c>
    </row>
    <row r="85" spans="1:5" x14ac:dyDescent="0.2">
      <c r="A85" t="s">
        <v>245</v>
      </c>
      <c r="D85" t="s">
        <v>160</v>
      </c>
    </row>
    <row r="86" spans="1:5" x14ac:dyDescent="0.2">
      <c r="A86" t="s">
        <v>46</v>
      </c>
      <c r="B86" t="s">
        <v>46</v>
      </c>
      <c r="C86" t="s">
        <v>47</v>
      </c>
      <c r="D86" t="s">
        <v>174</v>
      </c>
      <c r="E86" t="s">
        <v>168</v>
      </c>
    </row>
    <row r="87" spans="1:5" x14ac:dyDescent="0.2">
      <c r="A87" t="s">
        <v>110</v>
      </c>
      <c r="B87" t="s">
        <v>208</v>
      </c>
      <c r="C87" t="s">
        <v>204</v>
      </c>
      <c r="D87" t="s">
        <v>174</v>
      </c>
      <c r="E87" t="s">
        <v>168</v>
      </c>
    </row>
    <row r="88" spans="1:5" x14ac:dyDescent="0.2">
      <c r="A88" t="s">
        <v>154</v>
      </c>
      <c r="B88" t="s">
        <v>209</v>
      </c>
      <c r="C88" t="s">
        <v>197</v>
      </c>
      <c r="D88" t="s">
        <v>174</v>
      </c>
      <c r="E88" t="s">
        <v>168</v>
      </c>
    </row>
    <row r="89" spans="1:5" x14ac:dyDescent="0.2">
      <c r="A89" t="s">
        <v>242</v>
      </c>
      <c r="B89" t="s">
        <v>262</v>
      </c>
      <c r="C89" t="s">
        <v>263</v>
      </c>
      <c r="D89" t="s">
        <v>167</v>
      </c>
      <c r="E89" t="s">
        <v>169</v>
      </c>
    </row>
    <row r="90" spans="1:5" x14ac:dyDescent="0.2">
      <c r="A90" t="s">
        <v>239</v>
      </c>
      <c r="B90" t="s">
        <v>264</v>
      </c>
      <c r="C90" t="s">
        <v>265</v>
      </c>
      <c r="D90" t="s">
        <v>167</v>
      </c>
      <c r="E90" t="s">
        <v>169</v>
      </c>
    </row>
    <row r="91" spans="1:5" x14ac:dyDescent="0.2">
      <c r="A91" t="s">
        <v>76</v>
      </c>
      <c r="B91" t="s">
        <v>210</v>
      </c>
      <c r="C91" t="s">
        <v>197</v>
      </c>
      <c r="D91" t="s">
        <v>174</v>
      </c>
      <c r="E91" t="s">
        <v>168</v>
      </c>
    </row>
    <row r="92" spans="1:5" x14ac:dyDescent="0.2">
      <c r="A92" t="s">
        <v>150</v>
      </c>
      <c r="D92" t="s">
        <v>160</v>
      </c>
    </row>
    <row r="93" spans="1:5" x14ac:dyDescent="0.2">
      <c r="A93" t="s">
        <v>136</v>
      </c>
      <c r="D93" t="s">
        <v>160</v>
      </c>
    </row>
    <row r="94" spans="1:5" x14ac:dyDescent="0.2">
      <c r="A94" t="s">
        <v>131</v>
      </c>
      <c r="B94" t="s">
        <v>211</v>
      </c>
      <c r="C94" t="s">
        <v>212</v>
      </c>
      <c r="D94" t="s">
        <v>167</v>
      </c>
      <c r="E94" t="s">
        <v>169</v>
      </c>
    </row>
    <row r="95" spans="1:5" x14ac:dyDescent="0.2">
      <c r="A95" t="s">
        <v>241</v>
      </c>
      <c r="D95" t="s">
        <v>160</v>
      </c>
    </row>
    <row r="96" spans="1:5" x14ac:dyDescent="0.2">
      <c r="A96" t="s">
        <v>103</v>
      </c>
      <c r="B96" t="s">
        <v>213</v>
      </c>
      <c r="C96" t="s">
        <v>214</v>
      </c>
      <c r="D96" t="s">
        <v>157</v>
      </c>
      <c r="E96" t="s">
        <v>168</v>
      </c>
    </row>
    <row r="97" spans="1:5" x14ac:dyDescent="0.2">
      <c r="A97" t="s">
        <v>108</v>
      </c>
      <c r="B97" t="s">
        <v>172</v>
      </c>
      <c r="C97" t="s">
        <v>173</v>
      </c>
      <c r="D97" t="s">
        <v>174</v>
      </c>
      <c r="E97" t="s">
        <v>168</v>
      </c>
    </row>
    <row r="98" spans="1:5" x14ac:dyDescent="0.2">
      <c r="A98" t="s">
        <v>139</v>
      </c>
      <c r="B98" t="s">
        <v>215</v>
      </c>
      <c r="C98" t="s">
        <v>216</v>
      </c>
      <c r="D98" t="s">
        <v>174</v>
      </c>
      <c r="E98" t="s">
        <v>168</v>
      </c>
    </row>
    <row r="99" spans="1:5" x14ac:dyDescent="0.2">
      <c r="A99" t="s">
        <v>133</v>
      </c>
      <c r="D99" t="s">
        <v>160</v>
      </c>
    </row>
    <row r="100" spans="1:5" x14ac:dyDescent="0.2">
      <c r="A100" t="s">
        <v>233</v>
      </c>
      <c r="B100" t="s">
        <v>266</v>
      </c>
      <c r="C100" t="s">
        <v>206</v>
      </c>
      <c r="D100" t="s">
        <v>174</v>
      </c>
      <c r="E100" t="s">
        <v>168</v>
      </c>
    </row>
    <row r="101" spans="1:5" x14ac:dyDescent="0.2">
      <c r="A101" t="s">
        <v>112</v>
      </c>
      <c r="B101" t="s">
        <v>217</v>
      </c>
      <c r="C101" t="s">
        <v>195</v>
      </c>
      <c r="D101" t="s">
        <v>174</v>
      </c>
      <c r="E101" t="s">
        <v>168</v>
      </c>
    </row>
    <row r="102" spans="1:5" x14ac:dyDescent="0.2">
      <c r="A102" t="s">
        <v>39</v>
      </c>
      <c r="B102" t="s">
        <v>39</v>
      </c>
      <c r="C102" t="s">
        <v>218</v>
      </c>
      <c r="D102" t="s">
        <v>174</v>
      </c>
      <c r="E102" t="s">
        <v>168</v>
      </c>
    </row>
    <row r="103" spans="1:5" x14ac:dyDescent="0.2">
      <c r="A103" t="s">
        <v>232</v>
      </c>
      <c r="B103" t="s">
        <v>39</v>
      </c>
      <c r="C103" t="s">
        <v>218</v>
      </c>
      <c r="D103" t="s">
        <v>174</v>
      </c>
      <c r="E103" t="s">
        <v>168</v>
      </c>
    </row>
    <row r="104" spans="1:5" x14ac:dyDescent="0.2">
      <c r="A104" t="s">
        <v>243</v>
      </c>
      <c r="B104" t="s">
        <v>267</v>
      </c>
      <c r="D104" t="s">
        <v>160</v>
      </c>
    </row>
    <row r="105" spans="1:5" x14ac:dyDescent="0.2">
      <c r="A105" t="s">
        <v>246</v>
      </c>
      <c r="B105" t="s">
        <v>268</v>
      </c>
    </row>
    <row r="106" spans="1:5" x14ac:dyDescent="0.2">
      <c r="A106" t="s">
        <v>231</v>
      </c>
      <c r="B106" t="s">
        <v>248</v>
      </c>
      <c r="C106" t="s">
        <v>249</v>
      </c>
      <c r="D106" t="s">
        <v>174</v>
      </c>
      <c r="E106" t="s">
        <v>168</v>
      </c>
    </row>
    <row r="107" spans="1:5" x14ac:dyDescent="0.2">
      <c r="A107" t="s">
        <v>107</v>
      </c>
      <c r="B107" t="s">
        <v>219</v>
      </c>
      <c r="C107" t="s">
        <v>220</v>
      </c>
      <c r="D107" t="s">
        <v>174</v>
      </c>
      <c r="E107" t="s">
        <v>168</v>
      </c>
    </row>
    <row r="108" spans="1:5" x14ac:dyDescent="0.2">
      <c r="A108" t="s">
        <v>153</v>
      </c>
      <c r="D108" t="s">
        <v>160</v>
      </c>
    </row>
    <row r="109" spans="1:5" x14ac:dyDescent="0.2">
      <c r="A109" t="s">
        <v>67</v>
      </c>
      <c r="B109" t="s">
        <v>224</v>
      </c>
      <c r="C109" t="s">
        <v>68</v>
      </c>
      <c r="D109" t="s">
        <v>174</v>
      </c>
      <c r="E109" t="s">
        <v>168</v>
      </c>
    </row>
    <row r="110" spans="1:5" x14ac:dyDescent="0.2">
      <c r="A110" t="s">
        <v>44</v>
      </c>
      <c r="B110" t="s">
        <v>223</v>
      </c>
      <c r="C110" t="s">
        <v>45</v>
      </c>
      <c r="D110" t="s">
        <v>174</v>
      </c>
      <c r="E110" t="s">
        <v>168</v>
      </c>
    </row>
    <row r="111" spans="1:5" x14ac:dyDescent="0.2">
      <c r="A111" t="s">
        <v>101</v>
      </c>
      <c r="B111" t="s">
        <v>221</v>
      </c>
      <c r="C111" t="s">
        <v>222</v>
      </c>
      <c r="D111" t="s">
        <v>174</v>
      </c>
      <c r="E111" t="s">
        <v>168</v>
      </c>
    </row>
    <row r="112" spans="1:5" x14ac:dyDescent="0.2">
      <c r="A112" t="s">
        <v>40</v>
      </c>
      <c r="B112" t="s">
        <v>40</v>
      </c>
      <c r="C112" t="s">
        <v>225</v>
      </c>
      <c r="D112" t="s">
        <v>174</v>
      </c>
      <c r="E112" t="s">
        <v>168</v>
      </c>
    </row>
    <row r="113" spans="1:5" x14ac:dyDescent="0.2">
      <c r="A113" t="s">
        <v>151</v>
      </c>
      <c r="B113" t="s">
        <v>40</v>
      </c>
      <c r="C113" t="s">
        <v>225</v>
      </c>
      <c r="D113" t="s">
        <v>174</v>
      </c>
      <c r="E113" t="s">
        <v>168</v>
      </c>
    </row>
    <row r="114" spans="1:5" x14ac:dyDescent="0.2">
      <c r="A114" t="s">
        <v>78</v>
      </c>
      <c r="B114" t="s">
        <v>227</v>
      </c>
      <c r="C114" t="s">
        <v>79</v>
      </c>
      <c r="D114" t="s">
        <v>174</v>
      </c>
      <c r="E114" t="s">
        <v>168</v>
      </c>
    </row>
    <row r="115" spans="1:5" x14ac:dyDescent="0.2">
      <c r="A115" t="s">
        <v>98</v>
      </c>
      <c r="B115" t="s">
        <v>227</v>
      </c>
      <c r="C115" t="s">
        <v>228</v>
      </c>
      <c r="D115" t="s">
        <v>174</v>
      </c>
      <c r="E115" t="s">
        <v>168</v>
      </c>
    </row>
    <row r="116" spans="1:5" x14ac:dyDescent="0.2">
      <c r="A116" t="s">
        <v>140</v>
      </c>
      <c r="D116" t="s">
        <v>160</v>
      </c>
    </row>
    <row r="117" spans="1:5" x14ac:dyDescent="0.2">
      <c r="A117" s="3" t="s">
        <v>72</v>
      </c>
      <c r="D117" t="s">
        <v>160</v>
      </c>
    </row>
    <row r="118" spans="1:5" x14ac:dyDescent="0.2">
      <c r="A118" t="s">
        <v>152</v>
      </c>
      <c r="D118" t="s">
        <v>160</v>
      </c>
    </row>
    <row r="119" spans="1:5" x14ac:dyDescent="0.2">
      <c r="A119" t="s">
        <v>137</v>
      </c>
      <c r="D119" t="s">
        <v>160</v>
      </c>
    </row>
    <row r="120" spans="1:5" x14ac:dyDescent="0.2">
      <c r="A120" s="4" t="s">
        <v>14</v>
      </c>
      <c r="B120" t="s">
        <v>14</v>
      </c>
      <c r="C120" t="s">
        <v>15</v>
      </c>
      <c r="D120" t="s">
        <v>174</v>
      </c>
      <c r="E120" t="s">
        <v>168</v>
      </c>
    </row>
    <row r="121" spans="1:5" x14ac:dyDescent="0.2">
      <c r="A121" t="s">
        <v>92</v>
      </c>
      <c r="B121" t="s">
        <v>14</v>
      </c>
      <c r="C121" t="s">
        <v>15</v>
      </c>
      <c r="D121" t="s">
        <v>174</v>
      </c>
      <c r="E121" t="s">
        <v>168</v>
      </c>
    </row>
    <row r="122" spans="1:5" x14ac:dyDescent="0.2">
      <c r="A122" t="s">
        <v>146</v>
      </c>
      <c r="B122" t="s">
        <v>229</v>
      </c>
      <c r="D122" t="s">
        <v>160</v>
      </c>
    </row>
    <row r="123" spans="1:5" x14ac:dyDescent="0.2">
      <c r="A123" t="s">
        <v>269</v>
      </c>
      <c r="B123" t="s">
        <v>259</v>
      </c>
      <c r="C123" t="s">
        <v>259</v>
      </c>
      <c r="D123" t="s">
        <v>157</v>
      </c>
      <c r="E123" t="s">
        <v>168</v>
      </c>
    </row>
    <row r="124" spans="1:5" x14ac:dyDescent="0.2">
      <c r="A124" t="s">
        <v>270</v>
      </c>
      <c r="B124" t="s">
        <v>279</v>
      </c>
      <c r="C124" t="s">
        <v>280</v>
      </c>
      <c r="D124" t="s">
        <v>157</v>
      </c>
      <c r="E124" t="s">
        <v>168</v>
      </c>
    </row>
    <row r="125" spans="1:5" x14ac:dyDescent="0.2">
      <c r="A125" t="s">
        <v>271</v>
      </c>
      <c r="D125" t="s">
        <v>160</v>
      </c>
    </row>
    <row r="126" spans="1:5" x14ac:dyDescent="0.2">
      <c r="A126" t="s">
        <v>272</v>
      </c>
      <c r="B126" t="s">
        <v>179</v>
      </c>
      <c r="D126" t="s">
        <v>160</v>
      </c>
    </row>
    <row r="127" spans="1:5" x14ac:dyDescent="0.2">
      <c r="A127" t="s">
        <v>273</v>
      </c>
      <c r="B127" t="s">
        <v>281</v>
      </c>
      <c r="D127" t="s">
        <v>160</v>
      </c>
    </row>
    <row r="128" spans="1:5" x14ac:dyDescent="0.2">
      <c r="A128" t="s">
        <v>274</v>
      </c>
      <c r="B128" t="s">
        <v>282</v>
      </c>
      <c r="D128" t="s">
        <v>160</v>
      </c>
    </row>
    <row r="129" spans="1:5" x14ac:dyDescent="0.2">
      <c r="A129" t="s">
        <v>275</v>
      </c>
      <c r="B129" t="s">
        <v>283</v>
      </c>
      <c r="C129" t="s">
        <v>284</v>
      </c>
      <c r="D129" t="s">
        <v>157</v>
      </c>
      <c r="E129" t="s">
        <v>168</v>
      </c>
    </row>
    <row r="130" spans="1:5" x14ac:dyDescent="0.2">
      <c r="A130" t="s">
        <v>276</v>
      </c>
      <c r="D130" t="s">
        <v>160</v>
      </c>
    </row>
    <row r="131" spans="1:5" x14ac:dyDescent="0.2">
      <c r="A131" t="s">
        <v>277</v>
      </c>
      <c r="D131" t="s">
        <v>160</v>
      </c>
    </row>
    <row r="132" spans="1:5" x14ac:dyDescent="0.2">
      <c r="A132" t="s">
        <v>278</v>
      </c>
      <c r="D132" t="s">
        <v>160</v>
      </c>
    </row>
    <row r="133" spans="1:5" x14ac:dyDescent="0.2">
      <c r="A133" t="s">
        <v>285</v>
      </c>
      <c r="B133" t="s">
        <v>295</v>
      </c>
      <c r="C133" t="s">
        <v>296</v>
      </c>
      <c r="D133" t="s">
        <v>174</v>
      </c>
      <c r="E133" t="s">
        <v>168</v>
      </c>
    </row>
    <row r="134" spans="1:5" x14ac:dyDescent="0.2">
      <c r="A134" t="s">
        <v>286</v>
      </c>
      <c r="B134" t="s">
        <v>190</v>
      </c>
      <c r="C134" t="s">
        <v>190</v>
      </c>
      <c r="D134" t="s">
        <v>157</v>
      </c>
      <c r="E134" t="s">
        <v>168</v>
      </c>
    </row>
    <row r="135" spans="1:5" x14ac:dyDescent="0.2">
      <c r="A135" t="s">
        <v>287</v>
      </c>
      <c r="B135" t="s">
        <v>297</v>
      </c>
      <c r="C135" t="s">
        <v>190</v>
      </c>
      <c r="D135" t="s">
        <v>157</v>
      </c>
      <c r="E135" t="s">
        <v>168</v>
      </c>
    </row>
    <row r="136" spans="1:5" x14ac:dyDescent="0.2">
      <c r="A136" t="s">
        <v>288</v>
      </c>
      <c r="B136" t="s">
        <v>298</v>
      </c>
      <c r="C136" t="s">
        <v>299</v>
      </c>
      <c r="D136" t="s">
        <v>167</v>
      </c>
    </row>
    <row r="137" spans="1:5" x14ac:dyDescent="0.2">
      <c r="A137" t="s">
        <v>289</v>
      </c>
      <c r="B137" t="s">
        <v>301</v>
      </c>
      <c r="C137" t="s">
        <v>300</v>
      </c>
      <c r="D137" t="s">
        <v>167</v>
      </c>
    </row>
    <row r="138" spans="1:5" x14ac:dyDescent="0.2">
      <c r="A138" t="s">
        <v>290</v>
      </c>
      <c r="B138" t="s">
        <v>302</v>
      </c>
      <c r="C138" t="s">
        <v>300</v>
      </c>
      <c r="D138" t="s">
        <v>167</v>
      </c>
    </row>
    <row r="139" spans="1:5" x14ac:dyDescent="0.2">
      <c r="A139" t="s">
        <v>291</v>
      </c>
      <c r="B139" t="s">
        <v>303</v>
      </c>
      <c r="C139" t="s">
        <v>304</v>
      </c>
      <c r="D139" t="s">
        <v>167</v>
      </c>
    </row>
    <row r="140" spans="1:5" x14ac:dyDescent="0.2">
      <c r="A140" t="s">
        <v>292</v>
      </c>
      <c r="B140" t="s">
        <v>305</v>
      </c>
      <c r="C140" t="s">
        <v>306</v>
      </c>
      <c r="D140" t="s">
        <v>167</v>
      </c>
    </row>
    <row r="141" spans="1:5" x14ac:dyDescent="0.2">
      <c r="A141" t="s">
        <v>293</v>
      </c>
      <c r="B141" t="s">
        <v>307</v>
      </c>
      <c r="D141" t="s">
        <v>160</v>
      </c>
    </row>
    <row r="142" spans="1:5" x14ac:dyDescent="0.2">
      <c r="A142" t="s">
        <v>294</v>
      </c>
      <c r="D142" t="s">
        <v>160</v>
      </c>
    </row>
  </sheetData>
  <sortState xmlns:xlrd2="http://schemas.microsoft.com/office/spreadsheetml/2017/richdata2" ref="A2:F128">
    <sortCondition ref="A2:A128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C19-3351-1D4F-A3B4-3560B599F4A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C109-0F24-0545-B98D-C5723CD68492}">
  <dimension ref="A1:K648"/>
  <sheetViews>
    <sheetView workbookViewId="0">
      <selection activeCell="P29" sqref="P29"/>
    </sheetView>
  </sheetViews>
  <sheetFormatPr baseColWidth="10" defaultRowHeight="16" x14ac:dyDescent="0.2"/>
  <cols>
    <col min="5" max="5" width="13.5" bestFit="1" customWidth="1"/>
    <col min="10" max="10" width="13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E2" t="str" cm="1">
        <f t="array" ref="E2">IFERROR(INDEX(Merchant_Lookup!$C$2:$C$27,MATCH(TRUE,ISNUMBER(SEARCH(Merchant_Lookup!$A$2:$A$26,UPPER(B2))),0)),"NEEDS REVIEW")</f>
        <v>NEEDS REVIEW</v>
      </c>
      <c r="F2" t="str">
        <f>IF(E2="NEEDS REVIEW","",INDEX(Merchant_Lookup!$D$2:$D$27,MATCH(E2,Merchant_Lookup!$C$2:$C$27,0)))</f>
        <v/>
      </c>
      <c r="G2" t="str">
        <f>IF(E2="NEEDS REVIEW","",INDEX(Merchant_Lookup!$E$2:$E$27,MATCH(E2,Merchant_Lookup!$C$2:$C$27,0)))</f>
        <v/>
      </c>
      <c r="J2" t="str">
        <f>IF(H2&lt;&gt;"",H2,E2)</f>
        <v>NEEDS REVIEW</v>
      </c>
      <c r="K2" t="str">
        <f>IF(I2&lt;&gt;"",I2,F2)</f>
        <v/>
      </c>
    </row>
    <row r="3" spans="1:11" x14ac:dyDescent="0.2">
      <c r="E3" t="str" cm="1">
        <f t="array" ref="E3">IFERROR(INDEX(Merchant_Lookup!$C$2:$C$27,MATCH(TRUE,ISNUMBER(SEARCH(Merchant_Lookup!$A$2:$A$26,UPPER(B3))),0)),"NEEDS REVIEW")</f>
        <v>NEEDS REVIEW</v>
      </c>
      <c r="F3" t="str">
        <f>IF(E3="NEEDS REVIEW","",INDEX(Merchant_Lookup!$D$2:$D$27,MATCH(E3,Merchant_Lookup!$C$2:$C$27,0)))</f>
        <v/>
      </c>
      <c r="G3" t="str">
        <f>IF(E3="NEEDS REVIEW","",INDEX(Merchant_Lookup!$E$2:$E$27,MATCH(E3,Merchant_Lookup!$C$2:$C$27,0)))</f>
        <v/>
      </c>
      <c r="J3" t="str">
        <f t="shared" ref="J3:J66" si="0">IF(H3&lt;&gt;"",H3,E3)</f>
        <v>NEEDS REVIEW</v>
      </c>
      <c r="K3" t="str">
        <f t="shared" ref="K3:K66" si="1">IF(I3&lt;&gt;"",I3,F3)</f>
        <v/>
      </c>
    </row>
    <row r="4" spans="1:11" x14ac:dyDescent="0.2">
      <c r="E4" t="str" cm="1">
        <f t="array" ref="E4">IFERROR(INDEX(Merchant_Lookup!$C$2:$C$27,MATCH(TRUE,ISNUMBER(SEARCH(Merchant_Lookup!$A$2:$A$26,UPPER(B4))),0)),"NEEDS REVIEW")</f>
        <v>NEEDS REVIEW</v>
      </c>
      <c r="F4" t="str">
        <f>IF(E4="NEEDS REVIEW","",INDEX(Merchant_Lookup!$D$2:$D$27,MATCH(E4,Merchant_Lookup!$C$2:$C$27,0)))</f>
        <v/>
      </c>
      <c r="G4" t="str">
        <f>IF(E4="NEEDS REVIEW","",INDEX(Merchant_Lookup!$E$2:$E$27,MATCH(E4,Merchant_Lookup!$C$2:$C$27,0)))</f>
        <v/>
      </c>
      <c r="J4" t="str">
        <f t="shared" si="0"/>
        <v>NEEDS REVIEW</v>
      </c>
      <c r="K4" t="str">
        <f t="shared" si="1"/>
        <v/>
      </c>
    </row>
    <row r="5" spans="1:11" x14ac:dyDescent="0.2">
      <c r="E5" t="str" cm="1">
        <f t="array" ref="E5">IFERROR(INDEX(Merchant_Lookup!$C$2:$C$27,MATCH(TRUE,ISNUMBER(SEARCH(Merchant_Lookup!$A$2:$A$26,UPPER(B5))),0)),"NEEDS REVIEW")</f>
        <v>NEEDS REVIEW</v>
      </c>
      <c r="F5" t="str">
        <f>IF(E5="NEEDS REVIEW","",INDEX(Merchant_Lookup!$D$2:$D$27,MATCH(E5,Merchant_Lookup!$C$2:$C$27,0)))</f>
        <v/>
      </c>
      <c r="G5" t="str">
        <f>IF(E5="NEEDS REVIEW","",INDEX(Merchant_Lookup!$E$2:$E$27,MATCH(E5,Merchant_Lookup!$C$2:$C$27,0)))</f>
        <v/>
      </c>
      <c r="J5" t="str">
        <f t="shared" si="0"/>
        <v>NEEDS REVIEW</v>
      </c>
      <c r="K5" t="str">
        <f t="shared" si="1"/>
        <v/>
      </c>
    </row>
    <row r="6" spans="1:11" x14ac:dyDescent="0.2">
      <c r="E6" t="str" cm="1">
        <f t="array" ref="E6">IFERROR(INDEX(Merchant_Lookup!$C$2:$C$27,MATCH(TRUE,ISNUMBER(SEARCH(Merchant_Lookup!$A$2:$A$26,UPPER(B6))),0)),"NEEDS REVIEW")</f>
        <v>NEEDS REVIEW</v>
      </c>
      <c r="F6" t="str">
        <f>IF(E6="NEEDS REVIEW","",INDEX(Merchant_Lookup!$D$2:$D$27,MATCH(E6,Merchant_Lookup!$C$2:$C$27,0)))</f>
        <v/>
      </c>
      <c r="G6" t="str">
        <f>IF(E6="NEEDS REVIEW","",INDEX(Merchant_Lookup!$E$2:$E$27,MATCH(E6,Merchant_Lookup!$C$2:$C$27,0)))</f>
        <v/>
      </c>
      <c r="J6" t="str">
        <f t="shared" si="0"/>
        <v>NEEDS REVIEW</v>
      </c>
      <c r="K6" t="str">
        <f t="shared" si="1"/>
        <v/>
      </c>
    </row>
    <row r="7" spans="1:11" x14ac:dyDescent="0.2">
      <c r="E7" t="str" cm="1">
        <f t="array" ref="E7">IFERROR(INDEX(Merchant_Lookup!$C$2:$C$27,MATCH(TRUE,ISNUMBER(SEARCH(Merchant_Lookup!$A$2:$A$26,UPPER(B7))),0)),"NEEDS REVIEW")</f>
        <v>NEEDS REVIEW</v>
      </c>
      <c r="F7" t="str">
        <f>IF(E7="NEEDS REVIEW","",INDEX(Merchant_Lookup!$D$2:$D$27,MATCH(E7,Merchant_Lookup!$C$2:$C$27,0)))</f>
        <v/>
      </c>
      <c r="G7" t="str">
        <f>IF(E7="NEEDS REVIEW","",INDEX(Merchant_Lookup!$E$2:$E$27,MATCH(E7,Merchant_Lookup!$C$2:$C$27,0)))</f>
        <v/>
      </c>
      <c r="J7" t="str">
        <f t="shared" si="0"/>
        <v>NEEDS REVIEW</v>
      </c>
      <c r="K7" t="str">
        <f t="shared" si="1"/>
        <v/>
      </c>
    </row>
    <row r="8" spans="1:11" x14ac:dyDescent="0.2">
      <c r="E8" t="str" cm="1">
        <f t="array" ref="E8">IFERROR(INDEX(Merchant_Lookup!$C$2:$C$27,MATCH(TRUE,ISNUMBER(SEARCH(Merchant_Lookup!$A$2:$A$26,UPPER(B8))),0)),"NEEDS REVIEW")</f>
        <v>NEEDS REVIEW</v>
      </c>
      <c r="F8" t="str">
        <f>IF(E8="NEEDS REVIEW","",INDEX(Merchant_Lookup!$D$2:$D$27,MATCH(E8,Merchant_Lookup!$C$2:$C$27,0)))</f>
        <v/>
      </c>
      <c r="G8" t="str">
        <f>IF(E8="NEEDS REVIEW","",INDEX(Merchant_Lookup!$E$2:$E$27,MATCH(E8,Merchant_Lookup!$C$2:$C$27,0)))</f>
        <v/>
      </c>
      <c r="J8" t="str">
        <f t="shared" si="0"/>
        <v>NEEDS REVIEW</v>
      </c>
      <c r="K8" t="str">
        <f t="shared" si="1"/>
        <v/>
      </c>
    </row>
    <row r="9" spans="1:11" x14ac:dyDescent="0.2">
      <c r="E9" t="str" cm="1">
        <f t="array" ref="E9">IFERROR(INDEX(Merchant_Lookup!$C$2:$C$27,MATCH(TRUE,ISNUMBER(SEARCH(Merchant_Lookup!$A$2:$A$26,UPPER(B9))),0)),"NEEDS REVIEW")</f>
        <v>NEEDS REVIEW</v>
      </c>
      <c r="F9" t="str">
        <f>IF(E9="NEEDS REVIEW","",INDEX(Merchant_Lookup!$D$2:$D$27,MATCH(E9,Merchant_Lookup!$C$2:$C$27,0)))</f>
        <v/>
      </c>
      <c r="G9" t="str">
        <f>IF(E9="NEEDS REVIEW","",INDEX(Merchant_Lookup!$E$2:$E$27,MATCH(E9,Merchant_Lookup!$C$2:$C$27,0)))</f>
        <v/>
      </c>
      <c r="J9" t="str">
        <f t="shared" si="0"/>
        <v>NEEDS REVIEW</v>
      </c>
      <c r="K9" t="str">
        <f t="shared" si="1"/>
        <v/>
      </c>
    </row>
    <row r="10" spans="1:11" x14ac:dyDescent="0.2">
      <c r="E10" t="str" cm="1">
        <f t="array" ref="E10">IFERROR(INDEX(Merchant_Lookup!$C$2:$C$27,MATCH(TRUE,ISNUMBER(SEARCH(Merchant_Lookup!$A$2:$A$26,UPPER(B10))),0)),"NEEDS REVIEW")</f>
        <v>NEEDS REVIEW</v>
      </c>
      <c r="F10" t="str">
        <f>IF(E10="NEEDS REVIEW","",INDEX(Merchant_Lookup!$D$2:$D$27,MATCH(E10,Merchant_Lookup!$C$2:$C$27,0)))</f>
        <v/>
      </c>
      <c r="G10" t="str">
        <f>IF(E10="NEEDS REVIEW","",INDEX(Merchant_Lookup!$E$2:$E$27,MATCH(E10,Merchant_Lookup!$C$2:$C$27,0)))</f>
        <v/>
      </c>
      <c r="J10" t="str">
        <f t="shared" si="0"/>
        <v>NEEDS REVIEW</v>
      </c>
      <c r="K10" t="str">
        <f t="shared" si="1"/>
        <v/>
      </c>
    </row>
    <row r="11" spans="1:11" x14ac:dyDescent="0.2">
      <c r="E11" t="str" cm="1">
        <f t="array" ref="E11">IFERROR(INDEX(Merchant_Lookup!$C$2:$C$27,MATCH(TRUE,ISNUMBER(SEARCH(Merchant_Lookup!$A$2:$A$26,UPPER(B11))),0)),"NEEDS REVIEW")</f>
        <v>NEEDS REVIEW</v>
      </c>
      <c r="F11" t="str">
        <f>IF(E11="NEEDS REVIEW","",INDEX(Merchant_Lookup!$D$2:$D$27,MATCH(E11,Merchant_Lookup!$C$2:$C$27,0)))</f>
        <v/>
      </c>
      <c r="G11" t="str">
        <f>IF(E11="NEEDS REVIEW","",INDEX(Merchant_Lookup!$E$2:$E$27,MATCH(E11,Merchant_Lookup!$C$2:$C$27,0)))</f>
        <v/>
      </c>
      <c r="J11" t="str">
        <f t="shared" si="0"/>
        <v>NEEDS REVIEW</v>
      </c>
      <c r="K11" t="str">
        <f t="shared" si="1"/>
        <v/>
      </c>
    </row>
    <row r="12" spans="1:11" x14ac:dyDescent="0.2">
      <c r="E12" t="str" cm="1">
        <f t="array" ref="E12">IFERROR(INDEX(Merchant_Lookup!$C$2:$C$27,MATCH(TRUE,ISNUMBER(SEARCH(Merchant_Lookup!$A$2:$A$26,UPPER(B12))),0)),"NEEDS REVIEW")</f>
        <v>NEEDS REVIEW</v>
      </c>
      <c r="F12" t="str">
        <f>IF(E12="NEEDS REVIEW","",INDEX(Merchant_Lookup!$D$2:$D$27,MATCH(E12,Merchant_Lookup!$C$2:$C$27,0)))</f>
        <v/>
      </c>
      <c r="G12" t="str">
        <f>IF(E12="NEEDS REVIEW","",INDEX(Merchant_Lookup!$E$2:$E$27,MATCH(E12,Merchant_Lookup!$C$2:$C$27,0)))</f>
        <v/>
      </c>
      <c r="J12" t="str">
        <f t="shared" si="0"/>
        <v>NEEDS REVIEW</v>
      </c>
      <c r="K12" t="str">
        <f t="shared" si="1"/>
        <v/>
      </c>
    </row>
    <row r="13" spans="1:11" x14ac:dyDescent="0.2">
      <c r="E13" t="str" cm="1">
        <f t="array" ref="E13">IFERROR(INDEX(Merchant_Lookup!$C$2:$C$27,MATCH(TRUE,ISNUMBER(SEARCH(Merchant_Lookup!$A$2:$A$26,UPPER(B13))),0)),"NEEDS REVIEW")</f>
        <v>NEEDS REVIEW</v>
      </c>
      <c r="F13" t="str">
        <f>IF(E13="NEEDS REVIEW","",INDEX(Merchant_Lookup!$D$2:$D$27,MATCH(E13,Merchant_Lookup!$C$2:$C$27,0)))</f>
        <v/>
      </c>
      <c r="G13" t="str">
        <f>IF(E13="NEEDS REVIEW","",INDEX(Merchant_Lookup!$E$2:$E$27,MATCH(E13,Merchant_Lookup!$C$2:$C$27,0)))</f>
        <v/>
      </c>
      <c r="J13" t="str">
        <f t="shared" si="0"/>
        <v>NEEDS REVIEW</v>
      </c>
      <c r="K13" t="str">
        <f t="shared" si="1"/>
        <v/>
      </c>
    </row>
    <row r="14" spans="1:11" x14ac:dyDescent="0.2">
      <c r="E14" t="str" cm="1">
        <f t="array" ref="E14">IFERROR(INDEX(Merchant_Lookup!$C$2:$C$27,MATCH(TRUE,ISNUMBER(SEARCH(Merchant_Lookup!$A$2:$A$26,UPPER(B14))),0)),"NEEDS REVIEW")</f>
        <v>NEEDS REVIEW</v>
      </c>
      <c r="F14" t="str">
        <f>IF(E14="NEEDS REVIEW","",INDEX(Merchant_Lookup!$D$2:$D$27,MATCH(E14,Merchant_Lookup!$C$2:$C$27,0)))</f>
        <v/>
      </c>
      <c r="G14" t="str">
        <f>IF(E14="NEEDS REVIEW","",INDEX(Merchant_Lookup!$E$2:$E$27,MATCH(E14,Merchant_Lookup!$C$2:$C$27,0)))</f>
        <v/>
      </c>
      <c r="J14" t="str">
        <f t="shared" si="0"/>
        <v>NEEDS REVIEW</v>
      </c>
      <c r="K14" t="str">
        <f t="shared" si="1"/>
        <v/>
      </c>
    </row>
    <row r="15" spans="1:11" x14ac:dyDescent="0.2">
      <c r="E15" t="str" cm="1">
        <f t="array" ref="E15">IFERROR(INDEX(Merchant_Lookup!$C$2:$C$27,MATCH(TRUE,ISNUMBER(SEARCH(Merchant_Lookup!$A$2:$A$26,UPPER(B15))),0)),"NEEDS REVIEW")</f>
        <v>NEEDS REVIEW</v>
      </c>
      <c r="F15" t="str">
        <f>IF(E15="NEEDS REVIEW","",INDEX(Merchant_Lookup!$D$2:$D$27,MATCH(E15,Merchant_Lookup!$C$2:$C$27,0)))</f>
        <v/>
      </c>
      <c r="G15" t="str">
        <f>IF(E15="NEEDS REVIEW","",INDEX(Merchant_Lookup!$E$2:$E$27,MATCH(E15,Merchant_Lookup!$C$2:$C$27,0)))</f>
        <v/>
      </c>
      <c r="J15" t="str">
        <f t="shared" si="0"/>
        <v>NEEDS REVIEW</v>
      </c>
      <c r="K15" t="str">
        <f t="shared" si="1"/>
        <v/>
      </c>
    </row>
    <row r="16" spans="1:11" x14ac:dyDescent="0.2">
      <c r="E16" t="str" cm="1">
        <f t="array" ref="E16">IFERROR(INDEX(Merchant_Lookup!$C$2:$C$27,MATCH(TRUE,ISNUMBER(SEARCH(Merchant_Lookup!$A$2:$A$26,UPPER(B16))),0)),"NEEDS REVIEW")</f>
        <v>NEEDS REVIEW</v>
      </c>
      <c r="F16" t="str">
        <f>IF(E16="NEEDS REVIEW","",INDEX(Merchant_Lookup!$D$2:$D$27,MATCH(E16,Merchant_Lookup!$C$2:$C$27,0)))</f>
        <v/>
      </c>
      <c r="G16" t="str">
        <f>IF(E16="NEEDS REVIEW","",INDEX(Merchant_Lookup!$E$2:$E$27,MATCH(E16,Merchant_Lookup!$C$2:$C$27,0)))</f>
        <v/>
      </c>
      <c r="J16" t="str">
        <f t="shared" si="0"/>
        <v>NEEDS REVIEW</v>
      </c>
      <c r="K16" t="str">
        <f t="shared" si="1"/>
        <v/>
      </c>
    </row>
    <row r="17" spans="5:11" x14ac:dyDescent="0.2">
      <c r="E17" t="str" cm="1">
        <f t="array" ref="E17">IFERROR(INDEX(Merchant_Lookup!$C$2:$C$27,MATCH(TRUE,ISNUMBER(SEARCH(Merchant_Lookup!$A$2:$A$26,UPPER(B17))),0)),"NEEDS REVIEW")</f>
        <v>NEEDS REVIEW</v>
      </c>
      <c r="F17" t="str">
        <f>IF(E17="NEEDS REVIEW","",INDEX(Merchant_Lookup!$D$2:$D$27,MATCH(E17,Merchant_Lookup!$C$2:$C$27,0)))</f>
        <v/>
      </c>
      <c r="G17" t="str">
        <f>IF(E17="NEEDS REVIEW","",INDEX(Merchant_Lookup!$E$2:$E$27,MATCH(E17,Merchant_Lookup!$C$2:$C$27,0)))</f>
        <v/>
      </c>
      <c r="J17" t="str">
        <f t="shared" si="0"/>
        <v>NEEDS REVIEW</v>
      </c>
      <c r="K17" t="str">
        <f t="shared" si="1"/>
        <v/>
      </c>
    </row>
    <row r="18" spans="5:11" x14ac:dyDescent="0.2">
      <c r="E18" t="str" cm="1">
        <f t="array" ref="E18">IFERROR(INDEX(Merchant_Lookup!$C$2:$C$27,MATCH(TRUE,ISNUMBER(SEARCH(Merchant_Lookup!$A$2:$A$26,UPPER(B18))),0)),"NEEDS REVIEW")</f>
        <v>NEEDS REVIEW</v>
      </c>
      <c r="F18" t="str">
        <f>IF(E18="NEEDS REVIEW","",INDEX(Merchant_Lookup!$D$2:$D$27,MATCH(E18,Merchant_Lookup!$C$2:$C$27,0)))</f>
        <v/>
      </c>
      <c r="G18" t="str">
        <f>IF(E18="NEEDS REVIEW","",INDEX(Merchant_Lookup!$E$2:$E$27,MATCH(E18,Merchant_Lookup!$C$2:$C$27,0)))</f>
        <v/>
      </c>
      <c r="J18" t="str">
        <f t="shared" si="0"/>
        <v>NEEDS REVIEW</v>
      </c>
      <c r="K18" t="str">
        <f t="shared" si="1"/>
        <v/>
      </c>
    </row>
    <row r="19" spans="5:11" x14ac:dyDescent="0.2">
      <c r="E19" t="str" cm="1">
        <f t="array" ref="E19">IFERROR(INDEX(Merchant_Lookup!$C$2:$C$27,MATCH(TRUE,ISNUMBER(SEARCH(Merchant_Lookup!$A$2:$A$26,UPPER(B19))),0)),"NEEDS REVIEW")</f>
        <v>NEEDS REVIEW</v>
      </c>
      <c r="F19" t="str">
        <f>IF(E19="NEEDS REVIEW","",INDEX(Merchant_Lookup!$D$2:$D$27,MATCH(E19,Merchant_Lookup!$C$2:$C$27,0)))</f>
        <v/>
      </c>
      <c r="G19" t="str">
        <f>IF(E19="NEEDS REVIEW","",INDEX(Merchant_Lookup!$E$2:$E$27,MATCH(E19,Merchant_Lookup!$C$2:$C$27,0)))</f>
        <v/>
      </c>
      <c r="J19" t="str">
        <f t="shared" si="0"/>
        <v>NEEDS REVIEW</v>
      </c>
      <c r="K19" t="str">
        <f t="shared" si="1"/>
        <v/>
      </c>
    </row>
    <row r="20" spans="5:11" x14ac:dyDescent="0.2">
      <c r="E20" t="str" cm="1">
        <f t="array" ref="E20">IFERROR(INDEX(Merchant_Lookup!$C$2:$C$27,MATCH(TRUE,ISNUMBER(SEARCH(Merchant_Lookup!$A$2:$A$26,UPPER(B20))),0)),"NEEDS REVIEW")</f>
        <v>NEEDS REVIEW</v>
      </c>
      <c r="F20" t="str">
        <f>IF(E20="NEEDS REVIEW","",INDEX(Merchant_Lookup!$D$2:$D$27,MATCH(E20,Merchant_Lookup!$C$2:$C$27,0)))</f>
        <v/>
      </c>
      <c r="G20" t="str">
        <f>IF(E20="NEEDS REVIEW","",INDEX(Merchant_Lookup!$E$2:$E$27,MATCH(E20,Merchant_Lookup!$C$2:$C$27,0)))</f>
        <v/>
      </c>
      <c r="J20" t="str">
        <f t="shared" si="0"/>
        <v>NEEDS REVIEW</v>
      </c>
      <c r="K20" t="str">
        <f t="shared" si="1"/>
        <v/>
      </c>
    </row>
    <row r="21" spans="5:11" x14ac:dyDescent="0.2">
      <c r="E21" t="str" cm="1">
        <f t="array" ref="E21">IFERROR(INDEX(Merchant_Lookup!$C$2:$C$27,MATCH(TRUE,ISNUMBER(SEARCH(Merchant_Lookup!$A$2:$A$26,UPPER(B21))),0)),"NEEDS REVIEW")</f>
        <v>NEEDS REVIEW</v>
      </c>
      <c r="F21" t="str">
        <f>IF(E21="NEEDS REVIEW","",INDEX(Merchant_Lookup!$D$2:$D$27,MATCH(E21,Merchant_Lookup!$C$2:$C$27,0)))</f>
        <v/>
      </c>
      <c r="G21" t="str">
        <f>IF(E21="NEEDS REVIEW","",INDEX(Merchant_Lookup!$E$2:$E$27,MATCH(E21,Merchant_Lookup!$C$2:$C$27,0)))</f>
        <v/>
      </c>
      <c r="J21" t="str">
        <f t="shared" si="0"/>
        <v>NEEDS REVIEW</v>
      </c>
      <c r="K21" t="str">
        <f t="shared" si="1"/>
        <v/>
      </c>
    </row>
    <row r="22" spans="5:11" x14ac:dyDescent="0.2">
      <c r="E22" t="str" cm="1">
        <f t="array" ref="E22">IFERROR(INDEX(Merchant_Lookup!$C$2:$C$27,MATCH(TRUE,ISNUMBER(SEARCH(Merchant_Lookup!$A$2:$A$26,UPPER(B22))),0)),"NEEDS REVIEW")</f>
        <v>NEEDS REVIEW</v>
      </c>
      <c r="F22" t="str">
        <f>IF(E22="NEEDS REVIEW","",INDEX(Merchant_Lookup!$D$2:$D$27,MATCH(E22,Merchant_Lookup!$C$2:$C$27,0)))</f>
        <v/>
      </c>
      <c r="G22" t="str">
        <f>IF(E22="NEEDS REVIEW","",INDEX(Merchant_Lookup!$E$2:$E$27,MATCH(E22,Merchant_Lookup!$C$2:$C$27,0)))</f>
        <v/>
      </c>
      <c r="J22" t="str">
        <f t="shared" si="0"/>
        <v>NEEDS REVIEW</v>
      </c>
      <c r="K22" t="str">
        <f t="shared" si="1"/>
        <v/>
      </c>
    </row>
    <row r="23" spans="5:11" x14ac:dyDescent="0.2">
      <c r="E23" t="str" cm="1">
        <f t="array" ref="E23">IFERROR(INDEX(Merchant_Lookup!$C$2:$C$27,MATCH(TRUE,ISNUMBER(SEARCH(Merchant_Lookup!$A$2:$A$26,UPPER(B23))),0)),"NEEDS REVIEW")</f>
        <v>NEEDS REVIEW</v>
      </c>
      <c r="F23" t="str">
        <f>IF(E23="NEEDS REVIEW","",INDEX(Merchant_Lookup!$D$2:$D$27,MATCH(E23,Merchant_Lookup!$C$2:$C$27,0)))</f>
        <v/>
      </c>
      <c r="G23" t="str">
        <f>IF(E23="NEEDS REVIEW","",INDEX(Merchant_Lookup!$E$2:$E$27,MATCH(E23,Merchant_Lookup!$C$2:$C$27,0)))</f>
        <v/>
      </c>
      <c r="J23" t="str">
        <f t="shared" si="0"/>
        <v>NEEDS REVIEW</v>
      </c>
      <c r="K23" t="str">
        <f t="shared" si="1"/>
        <v/>
      </c>
    </row>
    <row r="24" spans="5:11" x14ac:dyDescent="0.2">
      <c r="E24" t="str" cm="1">
        <f t="array" ref="E24">IFERROR(INDEX(Merchant_Lookup!$C$2:$C$27,MATCH(TRUE,ISNUMBER(SEARCH(Merchant_Lookup!$A$2:$A$26,UPPER(B24))),0)),"NEEDS REVIEW")</f>
        <v>NEEDS REVIEW</v>
      </c>
      <c r="F24" t="str">
        <f>IF(E24="NEEDS REVIEW","",INDEX(Merchant_Lookup!$D$2:$D$27,MATCH(E24,Merchant_Lookup!$C$2:$C$27,0)))</f>
        <v/>
      </c>
      <c r="G24" t="str">
        <f>IF(E24="NEEDS REVIEW","",INDEX(Merchant_Lookup!$E$2:$E$27,MATCH(E24,Merchant_Lookup!$C$2:$C$27,0)))</f>
        <v/>
      </c>
      <c r="J24" t="str">
        <f t="shared" si="0"/>
        <v>NEEDS REVIEW</v>
      </c>
      <c r="K24" t="str">
        <f t="shared" si="1"/>
        <v/>
      </c>
    </row>
    <row r="25" spans="5:11" x14ac:dyDescent="0.2">
      <c r="E25" t="str" cm="1">
        <f t="array" ref="E25">IFERROR(INDEX(Merchant_Lookup!$C$2:$C$27,MATCH(TRUE,ISNUMBER(SEARCH(Merchant_Lookup!$A$2:$A$26,UPPER(B25))),0)),"NEEDS REVIEW")</f>
        <v>NEEDS REVIEW</v>
      </c>
      <c r="F25" t="str">
        <f>IF(E25="NEEDS REVIEW","",INDEX(Merchant_Lookup!$D$2:$D$27,MATCH(E25,Merchant_Lookup!$C$2:$C$27,0)))</f>
        <v/>
      </c>
      <c r="G25" t="str">
        <f>IF(E25="NEEDS REVIEW","",INDEX(Merchant_Lookup!$E$2:$E$27,MATCH(E25,Merchant_Lookup!$C$2:$C$27,0)))</f>
        <v/>
      </c>
      <c r="J25" t="str">
        <f t="shared" si="0"/>
        <v>NEEDS REVIEW</v>
      </c>
      <c r="K25" t="str">
        <f t="shared" si="1"/>
        <v/>
      </c>
    </row>
    <row r="26" spans="5:11" x14ac:dyDescent="0.2">
      <c r="E26" t="str" cm="1">
        <f t="array" ref="E26">IFERROR(INDEX(Merchant_Lookup!$C$2:$C$27,MATCH(TRUE,ISNUMBER(SEARCH(Merchant_Lookup!$A$2:$A$26,UPPER(B26))),0)),"NEEDS REVIEW")</f>
        <v>NEEDS REVIEW</v>
      </c>
      <c r="F26" t="str">
        <f>IF(E26="NEEDS REVIEW","",INDEX(Merchant_Lookup!$D$2:$D$27,MATCH(E26,Merchant_Lookup!$C$2:$C$27,0)))</f>
        <v/>
      </c>
      <c r="G26" t="str">
        <f>IF(E26="NEEDS REVIEW","",INDEX(Merchant_Lookup!$E$2:$E$27,MATCH(E26,Merchant_Lookup!$C$2:$C$27,0)))</f>
        <v/>
      </c>
      <c r="J26" t="str">
        <f t="shared" si="0"/>
        <v>NEEDS REVIEW</v>
      </c>
      <c r="K26" t="str">
        <f t="shared" si="1"/>
        <v/>
      </c>
    </row>
    <row r="27" spans="5:11" x14ac:dyDescent="0.2">
      <c r="E27" t="str" cm="1">
        <f t="array" ref="E27">IFERROR(INDEX(Merchant_Lookup!$C$2:$C$27,MATCH(TRUE,ISNUMBER(SEARCH(Merchant_Lookup!$A$2:$A$26,UPPER(B27))),0)),"NEEDS REVIEW")</f>
        <v>NEEDS REVIEW</v>
      </c>
      <c r="F27" t="str">
        <f>IF(E27="NEEDS REVIEW","",INDEX(Merchant_Lookup!$D$2:$D$27,MATCH(E27,Merchant_Lookup!$C$2:$C$27,0)))</f>
        <v/>
      </c>
      <c r="G27" t="str">
        <f>IF(E27="NEEDS REVIEW","",INDEX(Merchant_Lookup!$E$2:$E$27,MATCH(E27,Merchant_Lookup!$C$2:$C$27,0)))</f>
        <v/>
      </c>
      <c r="J27" t="str">
        <f t="shared" si="0"/>
        <v>NEEDS REVIEW</v>
      </c>
      <c r="K27" t="str">
        <f t="shared" si="1"/>
        <v/>
      </c>
    </row>
    <row r="28" spans="5:11" x14ac:dyDescent="0.2">
      <c r="E28" t="str" cm="1">
        <f t="array" ref="E28">IFERROR(INDEX(Merchant_Lookup!$C$2:$C$27,MATCH(TRUE,ISNUMBER(SEARCH(Merchant_Lookup!$A$2:$A$26,UPPER(B28))),0)),"NEEDS REVIEW")</f>
        <v>NEEDS REVIEW</v>
      </c>
      <c r="F28" t="str">
        <f>IF(E28="NEEDS REVIEW","",INDEX(Merchant_Lookup!$D$2:$D$27,MATCH(E28,Merchant_Lookup!$C$2:$C$27,0)))</f>
        <v/>
      </c>
      <c r="G28" t="str">
        <f>IF(E28="NEEDS REVIEW","",INDEX(Merchant_Lookup!$E$2:$E$27,MATCH(E28,Merchant_Lookup!$C$2:$C$27,0)))</f>
        <v/>
      </c>
      <c r="J28" t="str">
        <f t="shared" si="0"/>
        <v>NEEDS REVIEW</v>
      </c>
      <c r="K28" t="str">
        <f t="shared" si="1"/>
        <v/>
      </c>
    </row>
    <row r="29" spans="5:11" x14ac:dyDescent="0.2">
      <c r="E29" t="str" cm="1">
        <f t="array" ref="E29">IFERROR(INDEX(Merchant_Lookup!$C$2:$C$27,MATCH(TRUE,ISNUMBER(SEARCH(Merchant_Lookup!$A$2:$A$26,UPPER(B29))),0)),"NEEDS REVIEW")</f>
        <v>NEEDS REVIEW</v>
      </c>
      <c r="F29" t="str">
        <f>IF(E29="NEEDS REVIEW","",INDEX(Merchant_Lookup!$D$2:$D$27,MATCH(E29,Merchant_Lookup!$C$2:$C$27,0)))</f>
        <v/>
      </c>
      <c r="G29" t="str">
        <f>IF(E29="NEEDS REVIEW","",INDEX(Merchant_Lookup!$E$2:$E$27,MATCH(E29,Merchant_Lookup!$C$2:$C$27,0)))</f>
        <v/>
      </c>
      <c r="J29" t="str">
        <f t="shared" si="0"/>
        <v>NEEDS REVIEW</v>
      </c>
      <c r="K29" t="str">
        <f t="shared" si="1"/>
        <v/>
      </c>
    </row>
    <row r="30" spans="5:11" x14ac:dyDescent="0.2">
      <c r="E30" t="str" cm="1">
        <f t="array" ref="E30">IFERROR(INDEX(Merchant_Lookup!$C$2:$C$27,MATCH(TRUE,ISNUMBER(SEARCH(Merchant_Lookup!$A$2:$A$26,UPPER(B30))),0)),"NEEDS REVIEW")</f>
        <v>NEEDS REVIEW</v>
      </c>
      <c r="F30" t="str">
        <f>IF(E30="NEEDS REVIEW","",INDEX(Merchant_Lookup!$D$2:$D$27,MATCH(E30,Merchant_Lookup!$C$2:$C$27,0)))</f>
        <v/>
      </c>
      <c r="G30" t="str">
        <f>IF(E30="NEEDS REVIEW","",INDEX(Merchant_Lookup!$E$2:$E$27,MATCH(E30,Merchant_Lookup!$C$2:$C$27,0)))</f>
        <v/>
      </c>
      <c r="J30" t="str">
        <f t="shared" si="0"/>
        <v>NEEDS REVIEW</v>
      </c>
      <c r="K30" t="str">
        <f t="shared" si="1"/>
        <v/>
      </c>
    </row>
    <row r="31" spans="5:11" x14ac:dyDescent="0.2">
      <c r="E31" t="str" cm="1">
        <f t="array" ref="E31">IFERROR(INDEX(Merchant_Lookup!$C$2:$C$27,MATCH(TRUE,ISNUMBER(SEARCH(Merchant_Lookup!$A$2:$A$26,UPPER(B31))),0)),"NEEDS REVIEW")</f>
        <v>NEEDS REVIEW</v>
      </c>
      <c r="F31" t="str">
        <f>IF(E31="NEEDS REVIEW","",INDEX(Merchant_Lookup!$D$2:$D$27,MATCH(E31,Merchant_Lookup!$C$2:$C$27,0)))</f>
        <v/>
      </c>
      <c r="G31" t="str">
        <f>IF(E31="NEEDS REVIEW","",INDEX(Merchant_Lookup!$E$2:$E$27,MATCH(E31,Merchant_Lookup!$C$2:$C$27,0)))</f>
        <v/>
      </c>
      <c r="J31" t="str">
        <f t="shared" si="0"/>
        <v>NEEDS REVIEW</v>
      </c>
      <c r="K31" t="str">
        <f t="shared" si="1"/>
        <v/>
      </c>
    </row>
    <row r="32" spans="5:11" x14ac:dyDescent="0.2">
      <c r="E32" t="str" cm="1">
        <f t="array" ref="E32">IFERROR(INDEX(Merchant_Lookup!$C$2:$C$27,MATCH(TRUE,ISNUMBER(SEARCH(Merchant_Lookup!$A$2:$A$26,UPPER(B32))),0)),"NEEDS REVIEW")</f>
        <v>NEEDS REVIEW</v>
      </c>
      <c r="F32" t="str">
        <f>IF(E32="NEEDS REVIEW","",INDEX(Merchant_Lookup!$D$2:$D$27,MATCH(E32,Merchant_Lookup!$C$2:$C$27,0)))</f>
        <v/>
      </c>
      <c r="G32" t="str">
        <f>IF(E32="NEEDS REVIEW","",INDEX(Merchant_Lookup!$E$2:$E$27,MATCH(E32,Merchant_Lookup!$C$2:$C$27,0)))</f>
        <v/>
      </c>
      <c r="J32" t="str">
        <f t="shared" si="0"/>
        <v>NEEDS REVIEW</v>
      </c>
      <c r="K32" t="str">
        <f t="shared" si="1"/>
        <v/>
      </c>
    </row>
    <row r="33" spans="5:11" x14ac:dyDescent="0.2">
      <c r="E33" t="str" cm="1">
        <f t="array" ref="E33">IFERROR(INDEX(Merchant_Lookup!$C$2:$C$27,MATCH(TRUE,ISNUMBER(SEARCH(Merchant_Lookup!$A$2:$A$26,UPPER(B33))),0)),"NEEDS REVIEW")</f>
        <v>NEEDS REVIEW</v>
      </c>
      <c r="F33" t="str">
        <f>IF(E33="NEEDS REVIEW","",INDEX(Merchant_Lookup!$D$2:$D$27,MATCH(E33,Merchant_Lookup!$C$2:$C$27,0)))</f>
        <v/>
      </c>
      <c r="G33" t="str">
        <f>IF(E33="NEEDS REVIEW","",INDEX(Merchant_Lookup!$E$2:$E$27,MATCH(E33,Merchant_Lookup!$C$2:$C$27,0)))</f>
        <v/>
      </c>
      <c r="J33" t="str">
        <f t="shared" si="0"/>
        <v>NEEDS REVIEW</v>
      </c>
      <c r="K33" t="str">
        <f t="shared" si="1"/>
        <v/>
      </c>
    </row>
    <row r="34" spans="5:11" x14ac:dyDescent="0.2">
      <c r="E34" t="str" cm="1">
        <f t="array" ref="E34">IFERROR(INDEX(Merchant_Lookup!$C$2:$C$27,MATCH(TRUE,ISNUMBER(SEARCH(Merchant_Lookup!$A$2:$A$26,UPPER(B34))),0)),"NEEDS REVIEW")</f>
        <v>NEEDS REVIEW</v>
      </c>
      <c r="F34" t="str">
        <f>IF(E34="NEEDS REVIEW","",INDEX(Merchant_Lookup!$D$2:$D$27,MATCH(E34,Merchant_Lookup!$C$2:$C$27,0)))</f>
        <v/>
      </c>
      <c r="G34" t="str">
        <f>IF(E34="NEEDS REVIEW","",INDEX(Merchant_Lookup!$E$2:$E$27,MATCH(E34,Merchant_Lookup!$C$2:$C$27,0)))</f>
        <v/>
      </c>
      <c r="J34" t="str">
        <f t="shared" si="0"/>
        <v>NEEDS REVIEW</v>
      </c>
      <c r="K34" t="str">
        <f t="shared" si="1"/>
        <v/>
      </c>
    </row>
    <row r="35" spans="5:11" x14ac:dyDescent="0.2">
      <c r="E35" t="str" cm="1">
        <f t="array" ref="E35">IFERROR(INDEX(Merchant_Lookup!$C$2:$C$27,MATCH(TRUE,ISNUMBER(SEARCH(Merchant_Lookup!$A$2:$A$26,UPPER(B35))),0)),"NEEDS REVIEW")</f>
        <v>NEEDS REVIEW</v>
      </c>
      <c r="F35" t="str">
        <f>IF(E35="NEEDS REVIEW","",INDEX(Merchant_Lookup!$D$2:$D$27,MATCH(E35,Merchant_Lookup!$C$2:$C$27,0)))</f>
        <v/>
      </c>
      <c r="G35" t="str">
        <f>IF(E35="NEEDS REVIEW","",INDEX(Merchant_Lookup!$E$2:$E$27,MATCH(E35,Merchant_Lookup!$C$2:$C$27,0)))</f>
        <v/>
      </c>
      <c r="J35" t="str">
        <f t="shared" si="0"/>
        <v>NEEDS REVIEW</v>
      </c>
      <c r="K35" t="str">
        <f t="shared" si="1"/>
        <v/>
      </c>
    </row>
    <row r="36" spans="5:11" x14ac:dyDescent="0.2">
      <c r="E36" t="str" cm="1">
        <f t="array" ref="E36">IFERROR(INDEX(Merchant_Lookup!$C$2:$C$27,MATCH(TRUE,ISNUMBER(SEARCH(Merchant_Lookup!$A$2:$A$26,UPPER(B36))),0)),"NEEDS REVIEW")</f>
        <v>NEEDS REVIEW</v>
      </c>
      <c r="F36" t="str">
        <f>IF(E36="NEEDS REVIEW","",INDEX(Merchant_Lookup!$D$2:$D$27,MATCH(E36,Merchant_Lookup!$C$2:$C$27,0)))</f>
        <v/>
      </c>
      <c r="G36" t="str">
        <f>IF(E36="NEEDS REVIEW","",INDEX(Merchant_Lookup!$E$2:$E$27,MATCH(E36,Merchant_Lookup!$C$2:$C$27,0)))</f>
        <v/>
      </c>
      <c r="J36" t="str">
        <f t="shared" si="0"/>
        <v>NEEDS REVIEW</v>
      </c>
      <c r="K36" t="str">
        <f t="shared" si="1"/>
        <v/>
      </c>
    </row>
    <row r="37" spans="5:11" x14ac:dyDescent="0.2">
      <c r="E37" t="str" cm="1">
        <f t="array" ref="E37">IFERROR(INDEX(Merchant_Lookup!$C$2:$C$27,MATCH(TRUE,ISNUMBER(SEARCH(Merchant_Lookup!$A$2:$A$26,UPPER(B37))),0)),"NEEDS REVIEW")</f>
        <v>NEEDS REVIEW</v>
      </c>
      <c r="F37" t="str">
        <f>IF(E37="NEEDS REVIEW","",INDEX(Merchant_Lookup!$D$2:$D$27,MATCH(E37,Merchant_Lookup!$C$2:$C$27,0)))</f>
        <v/>
      </c>
      <c r="G37" t="str">
        <f>IF(E37="NEEDS REVIEW","",INDEX(Merchant_Lookup!$E$2:$E$27,MATCH(E37,Merchant_Lookup!$C$2:$C$27,0)))</f>
        <v/>
      </c>
      <c r="J37" t="str">
        <f t="shared" si="0"/>
        <v>NEEDS REVIEW</v>
      </c>
      <c r="K37" t="str">
        <f t="shared" si="1"/>
        <v/>
      </c>
    </row>
    <row r="38" spans="5:11" x14ac:dyDescent="0.2">
      <c r="E38" t="str" cm="1">
        <f t="array" ref="E38">IFERROR(INDEX(Merchant_Lookup!$C$2:$C$27,MATCH(TRUE,ISNUMBER(SEARCH(Merchant_Lookup!$A$2:$A$26,UPPER(B38))),0)),"NEEDS REVIEW")</f>
        <v>NEEDS REVIEW</v>
      </c>
      <c r="F38" t="str">
        <f>IF(E38="NEEDS REVIEW","",INDEX(Merchant_Lookup!$D$2:$D$27,MATCH(E38,Merchant_Lookup!$C$2:$C$27,0)))</f>
        <v/>
      </c>
      <c r="G38" t="str">
        <f>IF(E38="NEEDS REVIEW","",INDEX(Merchant_Lookup!$E$2:$E$27,MATCH(E38,Merchant_Lookup!$C$2:$C$27,0)))</f>
        <v/>
      </c>
      <c r="J38" t="str">
        <f t="shared" si="0"/>
        <v>NEEDS REVIEW</v>
      </c>
      <c r="K38" t="str">
        <f t="shared" si="1"/>
        <v/>
      </c>
    </row>
    <row r="39" spans="5:11" x14ac:dyDescent="0.2">
      <c r="E39" t="str" cm="1">
        <f t="array" ref="E39">IFERROR(INDEX(Merchant_Lookup!$C$2:$C$27,MATCH(TRUE,ISNUMBER(SEARCH(Merchant_Lookup!$A$2:$A$26,UPPER(B39))),0)),"NEEDS REVIEW")</f>
        <v>NEEDS REVIEW</v>
      </c>
      <c r="F39" t="str">
        <f>IF(E39="NEEDS REVIEW","",INDEX(Merchant_Lookup!$D$2:$D$27,MATCH(E39,Merchant_Lookup!$C$2:$C$27,0)))</f>
        <v/>
      </c>
      <c r="G39" t="str">
        <f>IF(E39="NEEDS REVIEW","",INDEX(Merchant_Lookup!$E$2:$E$27,MATCH(E39,Merchant_Lookup!$C$2:$C$27,0)))</f>
        <v/>
      </c>
      <c r="J39" t="str">
        <f t="shared" si="0"/>
        <v>NEEDS REVIEW</v>
      </c>
      <c r="K39" t="str">
        <f t="shared" si="1"/>
        <v/>
      </c>
    </row>
    <row r="40" spans="5:11" x14ac:dyDescent="0.2">
      <c r="E40" t="str" cm="1">
        <f t="array" ref="E40">IFERROR(INDEX(Merchant_Lookup!$C$2:$C$27,MATCH(TRUE,ISNUMBER(SEARCH(Merchant_Lookup!$A$2:$A$26,UPPER(B40))),0)),"NEEDS REVIEW")</f>
        <v>NEEDS REVIEW</v>
      </c>
      <c r="F40" t="str">
        <f>IF(E40="NEEDS REVIEW","",INDEX(Merchant_Lookup!$D$2:$D$27,MATCH(E40,Merchant_Lookup!$C$2:$C$27,0)))</f>
        <v/>
      </c>
      <c r="G40" t="str">
        <f>IF(E40="NEEDS REVIEW","",INDEX(Merchant_Lookup!$E$2:$E$27,MATCH(E40,Merchant_Lookup!$C$2:$C$27,0)))</f>
        <v/>
      </c>
      <c r="J40" t="str">
        <f t="shared" si="0"/>
        <v>NEEDS REVIEW</v>
      </c>
      <c r="K40" t="str">
        <f t="shared" si="1"/>
        <v/>
      </c>
    </row>
    <row r="41" spans="5:11" x14ac:dyDescent="0.2">
      <c r="E41" t="str" cm="1">
        <f t="array" ref="E41">IFERROR(INDEX(Merchant_Lookup!$C$2:$C$27,MATCH(TRUE,ISNUMBER(SEARCH(Merchant_Lookup!$A$2:$A$26,UPPER(B41))),0)),"NEEDS REVIEW")</f>
        <v>NEEDS REVIEW</v>
      </c>
      <c r="F41" t="str">
        <f>IF(E41="NEEDS REVIEW","",INDEX(Merchant_Lookup!$D$2:$D$27,MATCH(E41,Merchant_Lookup!$C$2:$C$27,0)))</f>
        <v/>
      </c>
      <c r="G41" t="str">
        <f>IF(E41="NEEDS REVIEW","",INDEX(Merchant_Lookup!$E$2:$E$27,MATCH(E41,Merchant_Lookup!$C$2:$C$27,0)))</f>
        <v/>
      </c>
      <c r="J41" t="str">
        <f t="shared" si="0"/>
        <v>NEEDS REVIEW</v>
      </c>
      <c r="K41" t="str">
        <f t="shared" si="1"/>
        <v/>
      </c>
    </row>
    <row r="42" spans="5:11" x14ac:dyDescent="0.2">
      <c r="E42" t="str" cm="1">
        <f t="array" ref="E42">IFERROR(INDEX(Merchant_Lookup!$C$2:$C$27,MATCH(TRUE,ISNUMBER(SEARCH(Merchant_Lookup!$A$2:$A$26,UPPER(B42))),0)),"NEEDS REVIEW")</f>
        <v>NEEDS REVIEW</v>
      </c>
      <c r="F42" t="str">
        <f>IF(E42="NEEDS REVIEW","",INDEX(Merchant_Lookup!$D$2:$D$27,MATCH(E42,Merchant_Lookup!$C$2:$C$27,0)))</f>
        <v/>
      </c>
      <c r="G42" t="str">
        <f>IF(E42="NEEDS REVIEW","",INDEX(Merchant_Lookup!$E$2:$E$27,MATCH(E42,Merchant_Lookup!$C$2:$C$27,0)))</f>
        <v/>
      </c>
      <c r="J42" t="str">
        <f t="shared" si="0"/>
        <v>NEEDS REVIEW</v>
      </c>
      <c r="K42" t="str">
        <f t="shared" si="1"/>
        <v/>
      </c>
    </row>
    <row r="43" spans="5:11" x14ac:dyDescent="0.2">
      <c r="E43" t="str" cm="1">
        <f t="array" ref="E43">IFERROR(INDEX(Merchant_Lookup!$C$2:$C$27,MATCH(TRUE,ISNUMBER(SEARCH(Merchant_Lookup!$A$2:$A$26,UPPER(B43))),0)),"NEEDS REVIEW")</f>
        <v>NEEDS REVIEW</v>
      </c>
      <c r="F43" t="str">
        <f>IF(E43="NEEDS REVIEW","",INDEX(Merchant_Lookup!$D$2:$D$27,MATCH(E43,Merchant_Lookup!$C$2:$C$27,0)))</f>
        <v/>
      </c>
      <c r="G43" t="str">
        <f>IF(E43="NEEDS REVIEW","",INDEX(Merchant_Lookup!$E$2:$E$27,MATCH(E43,Merchant_Lookup!$C$2:$C$27,0)))</f>
        <v/>
      </c>
      <c r="J43" t="str">
        <f t="shared" si="0"/>
        <v>NEEDS REVIEW</v>
      </c>
      <c r="K43" t="str">
        <f t="shared" si="1"/>
        <v/>
      </c>
    </row>
    <row r="44" spans="5:11" x14ac:dyDescent="0.2">
      <c r="E44" t="str" cm="1">
        <f t="array" ref="E44">IFERROR(INDEX(Merchant_Lookup!$C$2:$C$27,MATCH(TRUE,ISNUMBER(SEARCH(Merchant_Lookup!$A$2:$A$26,UPPER(B44))),0)),"NEEDS REVIEW")</f>
        <v>NEEDS REVIEW</v>
      </c>
      <c r="F44" t="str">
        <f>IF(E44="NEEDS REVIEW","",INDEX(Merchant_Lookup!$D$2:$D$27,MATCH(E44,Merchant_Lookup!$C$2:$C$27,0)))</f>
        <v/>
      </c>
      <c r="G44" t="str">
        <f>IF(E44="NEEDS REVIEW","",INDEX(Merchant_Lookup!$E$2:$E$27,MATCH(E44,Merchant_Lookup!$C$2:$C$27,0)))</f>
        <v/>
      </c>
      <c r="J44" t="str">
        <f t="shared" si="0"/>
        <v>NEEDS REVIEW</v>
      </c>
      <c r="K44" t="str">
        <f t="shared" si="1"/>
        <v/>
      </c>
    </row>
    <row r="45" spans="5:11" x14ac:dyDescent="0.2">
      <c r="E45" t="str" cm="1">
        <f t="array" ref="E45">IFERROR(INDEX(Merchant_Lookup!$C$2:$C$27,MATCH(TRUE,ISNUMBER(SEARCH(Merchant_Lookup!$A$2:$A$26,UPPER(B45))),0)),"NEEDS REVIEW")</f>
        <v>NEEDS REVIEW</v>
      </c>
      <c r="F45" t="str">
        <f>IF(E45="NEEDS REVIEW","",INDEX(Merchant_Lookup!$D$2:$D$27,MATCH(E45,Merchant_Lookup!$C$2:$C$27,0)))</f>
        <v/>
      </c>
      <c r="G45" t="str">
        <f>IF(E45="NEEDS REVIEW","",INDEX(Merchant_Lookup!$E$2:$E$27,MATCH(E45,Merchant_Lookup!$C$2:$C$27,0)))</f>
        <v/>
      </c>
      <c r="J45" t="str">
        <f t="shared" si="0"/>
        <v>NEEDS REVIEW</v>
      </c>
      <c r="K45" t="str">
        <f t="shared" si="1"/>
        <v/>
      </c>
    </row>
    <row r="46" spans="5:11" x14ac:dyDescent="0.2">
      <c r="E46" t="str" cm="1">
        <f t="array" ref="E46">IFERROR(INDEX(Merchant_Lookup!$C$2:$C$27,MATCH(TRUE,ISNUMBER(SEARCH(Merchant_Lookup!$A$2:$A$26,UPPER(B46))),0)),"NEEDS REVIEW")</f>
        <v>NEEDS REVIEW</v>
      </c>
      <c r="F46" t="str">
        <f>IF(E46="NEEDS REVIEW","",INDEX(Merchant_Lookup!$D$2:$D$27,MATCH(E46,Merchant_Lookup!$C$2:$C$27,0)))</f>
        <v/>
      </c>
      <c r="G46" t="str">
        <f>IF(E46="NEEDS REVIEW","",INDEX(Merchant_Lookup!$E$2:$E$27,MATCH(E46,Merchant_Lookup!$C$2:$C$27,0)))</f>
        <v/>
      </c>
      <c r="J46" t="str">
        <f t="shared" si="0"/>
        <v>NEEDS REVIEW</v>
      </c>
      <c r="K46" t="str">
        <f t="shared" si="1"/>
        <v/>
      </c>
    </row>
    <row r="47" spans="5:11" x14ac:dyDescent="0.2">
      <c r="E47" t="str" cm="1">
        <f t="array" ref="E47">IFERROR(INDEX(Merchant_Lookup!$C$2:$C$27,MATCH(TRUE,ISNUMBER(SEARCH(Merchant_Lookup!$A$2:$A$26,UPPER(B47))),0)),"NEEDS REVIEW")</f>
        <v>NEEDS REVIEW</v>
      </c>
      <c r="F47" t="str">
        <f>IF(E47="NEEDS REVIEW","",INDEX(Merchant_Lookup!$D$2:$D$27,MATCH(E47,Merchant_Lookup!$C$2:$C$27,0)))</f>
        <v/>
      </c>
      <c r="G47" t="str">
        <f>IF(E47="NEEDS REVIEW","",INDEX(Merchant_Lookup!$E$2:$E$27,MATCH(E47,Merchant_Lookup!$C$2:$C$27,0)))</f>
        <v/>
      </c>
      <c r="J47" t="str">
        <f t="shared" si="0"/>
        <v>NEEDS REVIEW</v>
      </c>
      <c r="K47" t="str">
        <f t="shared" si="1"/>
        <v/>
      </c>
    </row>
    <row r="48" spans="5:11" x14ac:dyDescent="0.2">
      <c r="E48" t="str" cm="1">
        <f t="array" ref="E48">IFERROR(INDEX(Merchant_Lookup!$C$2:$C$27,MATCH(TRUE,ISNUMBER(SEARCH(Merchant_Lookup!$A$2:$A$26,UPPER(B48))),0)),"NEEDS REVIEW")</f>
        <v>NEEDS REVIEW</v>
      </c>
      <c r="F48" t="str">
        <f>IF(E48="NEEDS REVIEW","",INDEX(Merchant_Lookup!$D$2:$D$27,MATCH(E48,Merchant_Lookup!$C$2:$C$27,0)))</f>
        <v/>
      </c>
      <c r="G48" t="str">
        <f>IF(E48="NEEDS REVIEW","",INDEX(Merchant_Lookup!$E$2:$E$27,MATCH(E48,Merchant_Lookup!$C$2:$C$27,0)))</f>
        <v/>
      </c>
      <c r="J48" t="str">
        <f t="shared" si="0"/>
        <v>NEEDS REVIEW</v>
      </c>
      <c r="K48" t="str">
        <f t="shared" si="1"/>
        <v/>
      </c>
    </row>
    <row r="49" spans="5:11" x14ac:dyDescent="0.2">
      <c r="E49" t="str" cm="1">
        <f t="array" ref="E49">IFERROR(INDEX(Merchant_Lookup!$C$2:$C$27,MATCH(TRUE,ISNUMBER(SEARCH(Merchant_Lookup!$A$2:$A$26,UPPER(B49))),0)),"NEEDS REVIEW")</f>
        <v>NEEDS REVIEW</v>
      </c>
      <c r="F49" t="str">
        <f>IF(E49="NEEDS REVIEW","",INDEX(Merchant_Lookup!$D$2:$D$27,MATCH(E49,Merchant_Lookup!$C$2:$C$27,0)))</f>
        <v/>
      </c>
      <c r="G49" t="str">
        <f>IF(E49="NEEDS REVIEW","",INDEX(Merchant_Lookup!$E$2:$E$27,MATCH(E49,Merchant_Lookup!$C$2:$C$27,0)))</f>
        <v/>
      </c>
      <c r="J49" t="str">
        <f t="shared" si="0"/>
        <v>NEEDS REVIEW</v>
      </c>
      <c r="K49" t="str">
        <f t="shared" si="1"/>
        <v/>
      </c>
    </row>
    <row r="50" spans="5:11" x14ac:dyDescent="0.2">
      <c r="E50" t="str" cm="1">
        <f t="array" ref="E50">IFERROR(INDEX(Merchant_Lookup!$C$2:$C$27,MATCH(TRUE,ISNUMBER(SEARCH(Merchant_Lookup!$A$2:$A$26,UPPER(B50))),0)),"NEEDS REVIEW")</f>
        <v>NEEDS REVIEW</v>
      </c>
      <c r="F50" t="str">
        <f>IF(E50="NEEDS REVIEW","",INDEX(Merchant_Lookup!$D$2:$D$27,MATCH(E50,Merchant_Lookup!$C$2:$C$27,0)))</f>
        <v/>
      </c>
      <c r="G50" t="str">
        <f>IF(E50="NEEDS REVIEW","",INDEX(Merchant_Lookup!$E$2:$E$27,MATCH(E50,Merchant_Lookup!$C$2:$C$27,0)))</f>
        <v/>
      </c>
      <c r="J50" t="str">
        <f t="shared" si="0"/>
        <v>NEEDS REVIEW</v>
      </c>
      <c r="K50" t="str">
        <f t="shared" si="1"/>
        <v/>
      </c>
    </row>
    <row r="51" spans="5:11" x14ac:dyDescent="0.2">
      <c r="E51" t="str" cm="1">
        <f t="array" ref="E51">IFERROR(INDEX(Merchant_Lookup!$C$2:$C$27,MATCH(TRUE,ISNUMBER(SEARCH(Merchant_Lookup!$A$2:$A$26,UPPER(B51))),0)),"NEEDS REVIEW")</f>
        <v>NEEDS REVIEW</v>
      </c>
      <c r="F51" t="str">
        <f>IF(E51="NEEDS REVIEW","",INDEX(Merchant_Lookup!$D$2:$D$27,MATCH(E51,Merchant_Lookup!$C$2:$C$27,0)))</f>
        <v/>
      </c>
      <c r="G51" t="str">
        <f>IF(E51="NEEDS REVIEW","",INDEX(Merchant_Lookup!$E$2:$E$27,MATCH(E51,Merchant_Lookup!$C$2:$C$27,0)))</f>
        <v/>
      </c>
      <c r="J51" t="str">
        <f t="shared" si="0"/>
        <v>NEEDS REVIEW</v>
      </c>
      <c r="K51" t="str">
        <f t="shared" si="1"/>
        <v/>
      </c>
    </row>
    <row r="52" spans="5:11" x14ac:dyDescent="0.2">
      <c r="E52" t="str" cm="1">
        <f t="array" ref="E52">IFERROR(INDEX(Merchant_Lookup!$C$2:$C$27,MATCH(TRUE,ISNUMBER(SEARCH(Merchant_Lookup!$A$2:$A$26,UPPER(B52))),0)),"NEEDS REVIEW")</f>
        <v>NEEDS REVIEW</v>
      </c>
      <c r="F52" t="str">
        <f>IF(E52="NEEDS REVIEW","",INDEX(Merchant_Lookup!$D$2:$D$27,MATCH(E52,Merchant_Lookup!$C$2:$C$27,0)))</f>
        <v/>
      </c>
      <c r="G52" t="str">
        <f>IF(E52="NEEDS REVIEW","",INDEX(Merchant_Lookup!$E$2:$E$27,MATCH(E52,Merchant_Lookup!$C$2:$C$27,0)))</f>
        <v/>
      </c>
      <c r="J52" t="str">
        <f t="shared" si="0"/>
        <v>NEEDS REVIEW</v>
      </c>
      <c r="K52" t="str">
        <f t="shared" si="1"/>
        <v/>
      </c>
    </row>
    <row r="53" spans="5:11" x14ac:dyDescent="0.2">
      <c r="E53" t="str" cm="1">
        <f t="array" ref="E53">IFERROR(INDEX(Merchant_Lookup!$C$2:$C$27,MATCH(TRUE,ISNUMBER(SEARCH(Merchant_Lookup!$A$2:$A$26,UPPER(B53))),0)),"NEEDS REVIEW")</f>
        <v>NEEDS REVIEW</v>
      </c>
      <c r="F53" t="str">
        <f>IF(E53="NEEDS REVIEW","",INDEX(Merchant_Lookup!$D$2:$D$27,MATCH(E53,Merchant_Lookup!$C$2:$C$27,0)))</f>
        <v/>
      </c>
      <c r="G53" t="str">
        <f>IF(E53="NEEDS REVIEW","",INDEX(Merchant_Lookup!$E$2:$E$27,MATCH(E53,Merchant_Lookup!$C$2:$C$27,0)))</f>
        <v/>
      </c>
      <c r="J53" t="str">
        <f t="shared" si="0"/>
        <v>NEEDS REVIEW</v>
      </c>
      <c r="K53" t="str">
        <f t="shared" si="1"/>
        <v/>
      </c>
    </row>
    <row r="54" spans="5:11" x14ac:dyDescent="0.2">
      <c r="E54" t="str" cm="1">
        <f t="array" ref="E54">IFERROR(INDEX(Merchant_Lookup!$C$2:$C$27,MATCH(TRUE,ISNUMBER(SEARCH(Merchant_Lookup!$A$2:$A$26,UPPER(B54))),0)),"NEEDS REVIEW")</f>
        <v>NEEDS REVIEW</v>
      </c>
      <c r="F54" t="str">
        <f>IF(E54="NEEDS REVIEW","",INDEX(Merchant_Lookup!$D$2:$D$27,MATCH(E54,Merchant_Lookup!$C$2:$C$27,0)))</f>
        <v/>
      </c>
      <c r="G54" t="str">
        <f>IF(E54="NEEDS REVIEW","",INDEX(Merchant_Lookup!$E$2:$E$27,MATCH(E54,Merchant_Lookup!$C$2:$C$27,0)))</f>
        <v/>
      </c>
      <c r="J54" t="str">
        <f t="shared" si="0"/>
        <v>NEEDS REVIEW</v>
      </c>
      <c r="K54" t="str">
        <f t="shared" si="1"/>
        <v/>
      </c>
    </row>
    <row r="55" spans="5:11" x14ac:dyDescent="0.2">
      <c r="E55" t="str" cm="1">
        <f t="array" ref="E55">IFERROR(INDEX(Merchant_Lookup!$C$2:$C$27,MATCH(TRUE,ISNUMBER(SEARCH(Merchant_Lookup!$A$2:$A$26,UPPER(B55))),0)),"NEEDS REVIEW")</f>
        <v>NEEDS REVIEW</v>
      </c>
      <c r="F55" t="str">
        <f>IF(E55="NEEDS REVIEW","",INDEX(Merchant_Lookup!$D$2:$D$27,MATCH(E55,Merchant_Lookup!$C$2:$C$27,0)))</f>
        <v/>
      </c>
      <c r="G55" t="str">
        <f>IF(E55="NEEDS REVIEW","",INDEX(Merchant_Lookup!$E$2:$E$27,MATCH(E55,Merchant_Lookup!$C$2:$C$27,0)))</f>
        <v/>
      </c>
      <c r="J55" t="str">
        <f t="shared" si="0"/>
        <v>NEEDS REVIEW</v>
      </c>
      <c r="K55" t="str">
        <f t="shared" si="1"/>
        <v/>
      </c>
    </row>
    <row r="56" spans="5:11" x14ac:dyDescent="0.2">
      <c r="E56" t="str" cm="1">
        <f t="array" ref="E56">IFERROR(INDEX(Merchant_Lookup!$C$2:$C$27,MATCH(TRUE,ISNUMBER(SEARCH(Merchant_Lookup!$A$2:$A$26,UPPER(B56))),0)),"NEEDS REVIEW")</f>
        <v>NEEDS REVIEW</v>
      </c>
      <c r="F56" t="str">
        <f>IF(E56="NEEDS REVIEW","",INDEX(Merchant_Lookup!$D$2:$D$27,MATCH(E56,Merchant_Lookup!$C$2:$C$27,0)))</f>
        <v/>
      </c>
      <c r="G56" t="str">
        <f>IF(E56="NEEDS REVIEW","",INDEX(Merchant_Lookup!$E$2:$E$27,MATCH(E56,Merchant_Lookup!$C$2:$C$27,0)))</f>
        <v/>
      </c>
      <c r="J56" t="str">
        <f t="shared" si="0"/>
        <v>NEEDS REVIEW</v>
      </c>
      <c r="K56" t="str">
        <f t="shared" si="1"/>
        <v/>
      </c>
    </row>
    <row r="57" spans="5:11" x14ac:dyDescent="0.2">
      <c r="E57" t="str" cm="1">
        <f t="array" ref="E57">IFERROR(INDEX(Merchant_Lookup!$C$2:$C$27,MATCH(TRUE,ISNUMBER(SEARCH(Merchant_Lookup!$A$2:$A$26,UPPER(B57))),0)),"NEEDS REVIEW")</f>
        <v>NEEDS REVIEW</v>
      </c>
      <c r="F57" t="str">
        <f>IF(E57="NEEDS REVIEW","",INDEX(Merchant_Lookup!$D$2:$D$27,MATCH(E57,Merchant_Lookup!$C$2:$C$27,0)))</f>
        <v/>
      </c>
      <c r="G57" t="str">
        <f>IF(E57="NEEDS REVIEW","",INDEX(Merchant_Lookup!$E$2:$E$27,MATCH(E57,Merchant_Lookup!$C$2:$C$27,0)))</f>
        <v/>
      </c>
      <c r="J57" t="str">
        <f t="shared" si="0"/>
        <v>NEEDS REVIEW</v>
      </c>
      <c r="K57" t="str">
        <f t="shared" si="1"/>
        <v/>
      </c>
    </row>
    <row r="58" spans="5:11" x14ac:dyDescent="0.2">
      <c r="E58" t="str" cm="1">
        <f t="array" ref="E58">IFERROR(INDEX(Merchant_Lookup!$C$2:$C$27,MATCH(TRUE,ISNUMBER(SEARCH(Merchant_Lookup!$A$2:$A$26,UPPER(B58))),0)),"NEEDS REVIEW")</f>
        <v>NEEDS REVIEW</v>
      </c>
      <c r="F58" t="str">
        <f>IF(E58="NEEDS REVIEW","",INDEX(Merchant_Lookup!$D$2:$D$27,MATCH(E58,Merchant_Lookup!$C$2:$C$27,0)))</f>
        <v/>
      </c>
      <c r="G58" t="str">
        <f>IF(E58="NEEDS REVIEW","",INDEX(Merchant_Lookup!$E$2:$E$27,MATCH(E58,Merchant_Lookup!$C$2:$C$27,0)))</f>
        <v/>
      </c>
      <c r="J58" t="str">
        <f t="shared" si="0"/>
        <v>NEEDS REVIEW</v>
      </c>
      <c r="K58" t="str">
        <f t="shared" si="1"/>
        <v/>
      </c>
    </row>
    <row r="59" spans="5:11" x14ac:dyDescent="0.2">
      <c r="E59" t="str" cm="1">
        <f t="array" ref="E59">IFERROR(INDEX(Merchant_Lookup!$C$2:$C$27,MATCH(TRUE,ISNUMBER(SEARCH(Merchant_Lookup!$A$2:$A$26,UPPER(B59))),0)),"NEEDS REVIEW")</f>
        <v>NEEDS REVIEW</v>
      </c>
      <c r="F59" t="str">
        <f>IF(E59="NEEDS REVIEW","",INDEX(Merchant_Lookup!$D$2:$D$27,MATCH(E59,Merchant_Lookup!$C$2:$C$27,0)))</f>
        <v/>
      </c>
      <c r="G59" t="str">
        <f>IF(E59="NEEDS REVIEW","",INDEX(Merchant_Lookup!$E$2:$E$27,MATCH(E59,Merchant_Lookup!$C$2:$C$27,0)))</f>
        <v/>
      </c>
      <c r="J59" t="str">
        <f t="shared" si="0"/>
        <v>NEEDS REVIEW</v>
      </c>
      <c r="K59" t="str">
        <f t="shared" si="1"/>
        <v/>
      </c>
    </row>
    <row r="60" spans="5:11" x14ac:dyDescent="0.2">
      <c r="E60" t="str" cm="1">
        <f t="array" ref="E60">IFERROR(INDEX(Merchant_Lookup!$C$2:$C$27,MATCH(TRUE,ISNUMBER(SEARCH(Merchant_Lookup!$A$2:$A$26,UPPER(B60))),0)),"NEEDS REVIEW")</f>
        <v>NEEDS REVIEW</v>
      </c>
      <c r="F60" t="str">
        <f>IF(E60="NEEDS REVIEW","",INDEX(Merchant_Lookup!$D$2:$D$27,MATCH(E60,Merchant_Lookup!$C$2:$C$27,0)))</f>
        <v/>
      </c>
      <c r="G60" t="str">
        <f>IF(E60="NEEDS REVIEW","",INDEX(Merchant_Lookup!$E$2:$E$27,MATCH(E60,Merchant_Lookup!$C$2:$C$27,0)))</f>
        <v/>
      </c>
      <c r="J60" t="str">
        <f t="shared" si="0"/>
        <v>NEEDS REVIEW</v>
      </c>
      <c r="K60" t="str">
        <f t="shared" si="1"/>
        <v/>
      </c>
    </row>
    <row r="61" spans="5:11" x14ac:dyDescent="0.2">
      <c r="E61" t="str" cm="1">
        <f t="array" ref="E61">IFERROR(INDEX(Merchant_Lookup!$C$2:$C$27,MATCH(TRUE,ISNUMBER(SEARCH(Merchant_Lookup!$A$2:$A$26,UPPER(B61))),0)),"NEEDS REVIEW")</f>
        <v>NEEDS REVIEW</v>
      </c>
      <c r="F61" t="str">
        <f>IF(E61="NEEDS REVIEW","",INDEX(Merchant_Lookup!$D$2:$D$27,MATCH(E61,Merchant_Lookup!$C$2:$C$27,0)))</f>
        <v/>
      </c>
      <c r="G61" t="str">
        <f>IF(E61="NEEDS REVIEW","",INDEX(Merchant_Lookup!$E$2:$E$27,MATCH(E61,Merchant_Lookup!$C$2:$C$27,0)))</f>
        <v/>
      </c>
      <c r="J61" t="str">
        <f t="shared" si="0"/>
        <v>NEEDS REVIEW</v>
      </c>
      <c r="K61" t="str">
        <f t="shared" si="1"/>
        <v/>
      </c>
    </row>
    <row r="62" spans="5:11" x14ac:dyDescent="0.2">
      <c r="E62" t="str" cm="1">
        <f t="array" ref="E62">IFERROR(INDEX(Merchant_Lookup!$C$2:$C$27,MATCH(TRUE,ISNUMBER(SEARCH(Merchant_Lookup!$A$2:$A$26,UPPER(B62))),0)),"NEEDS REVIEW")</f>
        <v>NEEDS REVIEW</v>
      </c>
      <c r="F62" t="str">
        <f>IF(E62="NEEDS REVIEW","",INDEX(Merchant_Lookup!$D$2:$D$27,MATCH(E62,Merchant_Lookup!$C$2:$C$27,0)))</f>
        <v/>
      </c>
      <c r="G62" t="str">
        <f>IF(E62="NEEDS REVIEW","",INDEX(Merchant_Lookup!$E$2:$E$27,MATCH(E62,Merchant_Lookup!$C$2:$C$27,0)))</f>
        <v/>
      </c>
      <c r="J62" t="str">
        <f t="shared" si="0"/>
        <v>NEEDS REVIEW</v>
      </c>
      <c r="K62" t="str">
        <f t="shared" si="1"/>
        <v/>
      </c>
    </row>
    <row r="63" spans="5:11" x14ac:dyDescent="0.2">
      <c r="E63" t="str" cm="1">
        <f t="array" ref="E63">IFERROR(INDEX(Merchant_Lookup!$C$2:$C$27,MATCH(TRUE,ISNUMBER(SEARCH(Merchant_Lookup!$A$2:$A$26,UPPER(B63))),0)),"NEEDS REVIEW")</f>
        <v>NEEDS REVIEW</v>
      </c>
      <c r="F63" t="str">
        <f>IF(E63="NEEDS REVIEW","",INDEX(Merchant_Lookup!$D$2:$D$27,MATCH(E63,Merchant_Lookup!$C$2:$C$27,0)))</f>
        <v/>
      </c>
      <c r="G63" t="str">
        <f>IF(E63="NEEDS REVIEW","",INDEX(Merchant_Lookup!$E$2:$E$27,MATCH(E63,Merchant_Lookup!$C$2:$C$27,0)))</f>
        <v/>
      </c>
      <c r="J63" t="str">
        <f t="shared" si="0"/>
        <v>NEEDS REVIEW</v>
      </c>
      <c r="K63" t="str">
        <f t="shared" si="1"/>
        <v/>
      </c>
    </row>
    <row r="64" spans="5:11" x14ac:dyDescent="0.2">
      <c r="E64" t="str" cm="1">
        <f t="array" ref="E64">IFERROR(INDEX(Merchant_Lookup!$C$2:$C$27,MATCH(TRUE,ISNUMBER(SEARCH(Merchant_Lookup!$A$2:$A$26,UPPER(B64))),0)),"NEEDS REVIEW")</f>
        <v>NEEDS REVIEW</v>
      </c>
      <c r="F64" t="str">
        <f>IF(E64="NEEDS REVIEW","",INDEX(Merchant_Lookup!$D$2:$D$27,MATCH(E64,Merchant_Lookup!$C$2:$C$27,0)))</f>
        <v/>
      </c>
      <c r="G64" t="str">
        <f>IF(E64="NEEDS REVIEW","",INDEX(Merchant_Lookup!$E$2:$E$27,MATCH(E64,Merchant_Lookup!$C$2:$C$27,0)))</f>
        <v/>
      </c>
      <c r="J64" t="str">
        <f t="shared" si="0"/>
        <v>NEEDS REVIEW</v>
      </c>
      <c r="K64" t="str">
        <f t="shared" si="1"/>
        <v/>
      </c>
    </row>
    <row r="65" spans="5:11" x14ac:dyDescent="0.2">
      <c r="E65" t="str" cm="1">
        <f t="array" ref="E65">IFERROR(INDEX(Merchant_Lookup!$C$2:$C$27,MATCH(TRUE,ISNUMBER(SEARCH(Merchant_Lookup!$A$2:$A$26,UPPER(B65))),0)),"NEEDS REVIEW")</f>
        <v>NEEDS REVIEW</v>
      </c>
      <c r="F65" t="str">
        <f>IF(E65="NEEDS REVIEW","",INDEX(Merchant_Lookup!$D$2:$D$27,MATCH(E65,Merchant_Lookup!$C$2:$C$27,0)))</f>
        <v/>
      </c>
      <c r="G65" t="str">
        <f>IF(E65="NEEDS REVIEW","",INDEX(Merchant_Lookup!$E$2:$E$27,MATCH(E65,Merchant_Lookup!$C$2:$C$27,0)))</f>
        <v/>
      </c>
      <c r="J65" t="str">
        <f t="shared" si="0"/>
        <v>NEEDS REVIEW</v>
      </c>
      <c r="K65" t="str">
        <f t="shared" si="1"/>
        <v/>
      </c>
    </row>
    <row r="66" spans="5:11" x14ac:dyDescent="0.2">
      <c r="E66" t="str" cm="1">
        <f t="array" ref="E66">IFERROR(INDEX(Merchant_Lookup!$C$2:$C$27,MATCH(TRUE,ISNUMBER(SEARCH(Merchant_Lookup!$A$2:$A$26,UPPER(B66))),0)),"NEEDS REVIEW")</f>
        <v>NEEDS REVIEW</v>
      </c>
      <c r="F66" t="str">
        <f>IF(E66="NEEDS REVIEW","",INDEX(Merchant_Lookup!$D$2:$D$27,MATCH(E66,Merchant_Lookup!$C$2:$C$27,0)))</f>
        <v/>
      </c>
      <c r="G66" t="str">
        <f>IF(E66="NEEDS REVIEW","",INDEX(Merchant_Lookup!$E$2:$E$27,MATCH(E66,Merchant_Lookup!$C$2:$C$27,0)))</f>
        <v/>
      </c>
      <c r="J66" t="str">
        <f t="shared" si="0"/>
        <v>NEEDS REVIEW</v>
      </c>
      <c r="K66" t="str">
        <f t="shared" si="1"/>
        <v/>
      </c>
    </row>
    <row r="67" spans="5:11" x14ac:dyDescent="0.2">
      <c r="E67" t="str" cm="1">
        <f t="array" ref="E67">IFERROR(INDEX(Merchant_Lookup!$C$2:$C$27,MATCH(TRUE,ISNUMBER(SEARCH(Merchant_Lookup!$A$2:$A$26,UPPER(B67))),0)),"NEEDS REVIEW")</f>
        <v>NEEDS REVIEW</v>
      </c>
      <c r="F67" t="str">
        <f>IF(E67="NEEDS REVIEW","",INDEX(Merchant_Lookup!$D$2:$D$27,MATCH(E67,Merchant_Lookup!$C$2:$C$27,0)))</f>
        <v/>
      </c>
      <c r="G67" t="str">
        <f>IF(E67="NEEDS REVIEW","",INDEX(Merchant_Lookup!$E$2:$E$27,MATCH(E67,Merchant_Lookup!$C$2:$C$27,0)))</f>
        <v/>
      </c>
      <c r="J67" t="str">
        <f t="shared" ref="J67:J130" si="2">IF(H67&lt;&gt;"",H67,E67)</f>
        <v>NEEDS REVIEW</v>
      </c>
      <c r="K67" t="str">
        <f t="shared" ref="K67:K130" si="3">IF(I67&lt;&gt;"",I67,F67)</f>
        <v/>
      </c>
    </row>
    <row r="68" spans="5:11" x14ac:dyDescent="0.2">
      <c r="E68" t="str" cm="1">
        <f t="array" ref="E68">IFERROR(INDEX(Merchant_Lookup!$C$2:$C$27,MATCH(TRUE,ISNUMBER(SEARCH(Merchant_Lookup!$A$2:$A$26,UPPER(B68))),0)),"NEEDS REVIEW")</f>
        <v>NEEDS REVIEW</v>
      </c>
      <c r="F68" t="str">
        <f>IF(E68="NEEDS REVIEW","",INDEX(Merchant_Lookup!$D$2:$D$27,MATCH(E68,Merchant_Lookup!$C$2:$C$27,0)))</f>
        <v/>
      </c>
      <c r="G68" t="str">
        <f>IF(E68="NEEDS REVIEW","",INDEX(Merchant_Lookup!$E$2:$E$27,MATCH(E68,Merchant_Lookup!$C$2:$C$27,0)))</f>
        <v/>
      </c>
      <c r="J68" t="str">
        <f t="shared" si="2"/>
        <v>NEEDS REVIEW</v>
      </c>
      <c r="K68" t="str">
        <f t="shared" si="3"/>
        <v/>
      </c>
    </row>
    <row r="69" spans="5:11" x14ac:dyDescent="0.2">
      <c r="E69" t="str" cm="1">
        <f t="array" ref="E69">IFERROR(INDEX(Merchant_Lookup!$C$2:$C$27,MATCH(TRUE,ISNUMBER(SEARCH(Merchant_Lookup!$A$2:$A$26,UPPER(B69))),0)),"NEEDS REVIEW")</f>
        <v>NEEDS REVIEW</v>
      </c>
      <c r="F69" t="str">
        <f>IF(E69="NEEDS REVIEW","",INDEX(Merchant_Lookup!$D$2:$D$27,MATCH(E69,Merchant_Lookup!$C$2:$C$27,0)))</f>
        <v/>
      </c>
      <c r="G69" t="str">
        <f>IF(E69="NEEDS REVIEW","",INDEX(Merchant_Lookup!$E$2:$E$27,MATCH(E69,Merchant_Lookup!$C$2:$C$27,0)))</f>
        <v/>
      </c>
      <c r="J69" t="str">
        <f t="shared" si="2"/>
        <v>NEEDS REVIEW</v>
      </c>
      <c r="K69" t="str">
        <f t="shared" si="3"/>
        <v/>
      </c>
    </row>
    <row r="70" spans="5:11" x14ac:dyDescent="0.2">
      <c r="E70" t="str" cm="1">
        <f t="array" ref="E70">IFERROR(INDEX(Merchant_Lookup!$C$2:$C$27,MATCH(TRUE,ISNUMBER(SEARCH(Merchant_Lookup!$A$2:$A$26,UPPER(B70))),0)),"NEEDS REVIEW")</f>
        <v>NEEDS REVIEW</v>
      </c>
      <c r="F70" t="str">
        <f>IF(E70="NEEDS REVIEW","",INDEX(Merchant_Lookup!$D$2:$D$27,MATCH(E70,Merchant_Lookup!$C$2:$C$27,0)))</f>
        <v/>
      </c>
      <c r="G70" t="str">
        <f>IF(E70="NEEDS REVIEW","",INDEX(Merchant_Lookup!$E$2:$E$27,MATCH(E70,Merchant_Lookup!$C$2:$C$27,0)))</f>
        <v/>
      </c>
      <c r="J70" t="str">
        <f t="shared" si="2"/>
        <v>NEEDS REVIEW</v>
      </c>
      <c r="K70" t="str">
        <f t="shared" si="3"/>
        <v/>
      </c>
    </row>
    <row r="71" spans="5:11" x14ac:dyDescent="0.2">
      <c r="E71" t="str" cm="1">
        <f t="array" ref="E71">IFERROR(INDEX(Merchant_Lookup!$C$2:$C$27,MATCH(TRUE,ISNUMBER(SEARCH(Merchant_Lookup!$A$2:$A$26,UPPER(B71))),0)),"NEEDS REVIEW")</f>
        <v>NEEDS REVIEW</v>
      </c>
      <c r="F71" t="str">
        <f>IF(E71="NEEDS REVIEW","",INDEX(Merchant_Lookup!$D$2:$D$27,MATCH(E71,Merchant_Lookup!$C$2:$C$27,0)))</f>
        <v/>
      </c>
      <c r="G71" t="str">
        <f>IF(E71="NEEDS REVIEW","",INDEX(Merchant_Lookup!$E$2:$E$27,MATCH(E71,Merchant_Lookup!$C$2:$C$27,0)))</f>
        <v/>
      </c>
      <c r="J71" t="str">
        <f t="shared" si="2"/>
        <v>NEEDS REVIEW</v>
      </c>
      <c r="K71" t="str">
        <f t="shared" si="3"/>
        <v/>
      </c>
    </row>
    <row r="72" spans="5:11" x14ac:dyDescent="0.2">
      <c r="E72" t="str" cm="1">
        <f t="array" ref="E72">IFERROR(INDEX(Merchant_Lookup!$C$2:$C$27,MATCH(TRUE,ISNUMBER(SEARCH(Merchant_Lookup!$A$2:$A$26,UPPER(B72))),0)),"NEEDS REVIEW")</f>
        <v>NEEDS REVIEW</v>
      </c>
      <c r="F72" t="str">
        <f>IF(E72="NEEDS REVIEW","",INDEX(Merchant_Lookup!$D$2:$D$27,MATCH(E72,Merchant_Lookup!$C$2:$C$27,0)))</f>
        <v/>
      </c>
      <c r="G72" t="str">
        <f>IF(E72="NEEDS REVIEW","",INDEX(Merchant_Lookup!$E$2:$E$27,MATCH(E72,Merchant_Lookup!$C$2:$C$27,0)))</f>
        <v/>
      </c>
      <c r="J72" t="str">
        <f t="shared" si="2"/>
        <v>NEEDS REVIEW</v>
      </c>
      <c r="K72" t="str">
        <f t="shared" si="3"/>
        <v/>
      </c>
    </row>
    <row r="73" spans="5:11" x14ac:dyDescent="0.2">
      <c r="E73" t="str" cm="1">
        <f t="array" ref="E73">IFERROR(INDEX(Merchant_Lookup!$C$2:$C$27,MATCH(TRUE,ISNUMBER(SEARCH(Merchant_Lookup!$A$2:$A$26,UPPER(B73))),0)),"NEEDS REVIEW")</f>
        <v>NEEDS REVIEW</v>
      </c>
      <c r="F73" t="str">
        <f>IF(E73="NEEDS REVIEW","",INDEX(Merchant_Lookup!$D$2:$D$27,MATCH(E73,Merchant_Lookup!$C$2:$C$27,0)))</f>
        <v/>
      </c>
      <c r="G73" t="str">
        <f>IF(E73="NEEDS REVIEW","",INDEX(Merchant_Lookup!$E$2:$E$27,MATCH(E73,Merchant_Lookup!$C$2:$C$27,0)))</f>
        <v/>
      </c>
      <c r="J73" t="str">
        <f t="shared" si="2"/>
        <v>NEEDS REVIEW</v>
      </c>
      <c r="K73" t="str">
        <f t="shared" si="3"/>
        <v/>
      </c>
    </row>
    <row r="74" spans="5:11" x14ac:dyDescent="0.2">
      <c r="E74" t="str" cm="1">
        <f t="array" ref="E74">IFERROR(INDEX(Merchant_Lookup!$C$2:$C$27,MATCH(TRUE,ISNUMBER(SEARCH(Merchant_Lookup!$A$2:$A$26,UPPER(B74))),0)),"NEEDS REVIEW")</f>
        <v>NEEDS REVIEW</v>
      </c>
      <c r="F74" t="str">
        <f>IF(E74="NEEDS REVIEW","",INDEX(Merchant_Lookup!$D$2:$D$27,MATCH(E74,Merchant_Lookup!$C$2:$C$27,0)))</f>
        <v/>
      </c>
      <c r="G74" t="str">
        <f>IF(E74="NEEDS REVIEW","",INDEX(Merchant_Lookup!$E$2:$E$27,MATCH(E74,Merchant_Lookup!$C$2:$C$27,0)))</f>
        <v/>
      </c>
      <c r="J74" t="str">
        <f t="shared" si="2"/>
        <v>NEEDS REVIEW</v>
      </c>
      <c r="K74" t="str">
        <f t="shared" si="3"/>
        <v/>
      </c>
    </row>
    <row r="75" spans="5:11" x14ac:dyDescent="0.2">
      <c r="E75" t="str" cm="1">
        <f t="array" ref="E75">IFERROR(INDEX(Merchant_Lookup!$C$2:$C$27,MATCH(TRUE,ISNUMBER(SEARCH(Merchant_Lookup!$A$2:$A$26,UPPER(B75))),0)),"NEEDS REVIEW")</f>
        <v>NEEDS REVIEW</v>
      </c>
      <c r="F75" t="str">
        <f>IF(E75="NEEDS REVIEW","",INDEX(Merchant_Lookup!$D$2:$D$27,MATCH(E75,Merchant_Lookup!$C$2:$C$27,0)))</f>
        <v/>
      </c>
      <c r="G75" t="str">
        <f>IF(E75="NEEDS REVIEW","",INDEX(Merchant_Lookup!$E$2:$E$27,MATCH(E75,Merchant_Lookup!$C$2:$C$27,0)))</f>
        <v/>
      </c>
      <c r="J75" t="str">
        <f t="shared" si="2"/>
        <v>NEEDS REVIEW</v>
      </c>
      <c r="K75" t="str">
        <f t="shared" si="3"/>
        <v/>
      </c>
    </row>
    <row r="76" spans="5:11" x14ac:dyDescent="0.2">
      <c r="E76" t="str" cm="1">
        <f t="array" ref="E76">IFERROR(INDEX(Merchant_Lookup!$C$2:$C$27,MATCH(TRUE,ISNUMBER(SEARCH(Merchant_Lookup!$A$2:$A$26,UPPER(B76))),0)),"NEEDS REVIEW")</f>
        <v>NEEDS REVIEW</v>
      </c>
      <c r="F76" t="str">
        <f>IF(E76="NEEDS REVIEW","",INDEX(Merchant_Lookup!$D$2:$D$27,MATCH(E76,Merchant_Lookup!$C$2:$C$27,0)))</f>
        <v/>
      </c>
      <c r="G76" t="str">
        <f>IF(E76="NEEDS REVIEW","",INDEX(Merchant_Lookup!$E$2:$E$27,MATCH(E76,Merchant_Lookup!$C$2:$C$27,0)))</f>
        <v/>
      </c>
      <c r="J76" t="str">
        <f t="shared" si="2"/>
        <v>NEEDS REVIEW</v>
      </c>
      <c r="K76" t="str">
        <f t="shared" si="3"/>
        <v/>
      </c>
    </row>
    <row r="77" spans="5:11" x14ac:dyDescent="0.2">
      <c r="E77" t="str" cm="1">
        <f t="array" ref="E77">IFERROR(INDEX(Merchant_Lookup!$C$2:$C$27,MATCH(TRUE,ISNUMBER(SEARCH(Merchant_Lookup!$A$2:$A$26,UPPER(B77))),0)),"NEEDS REVIEW")</f>
        <v>NEEDS REVIEW</v>
      </c>
      <c r="F77" t="str">
        <f>IF(E77="NEEDS REVIEW","",INDEX(Merchant_Lookup!$D$2:$D$27,MATCH(E77,Merchant_Lookup!$C$2:$C$27,0)))</f>
        <v/>
      </c>
      <c r="G77" t="str">
        <f>IF(E77="NEEDS REVIEW","",INDEX(Merchant_Lookup!$E$2:$E$27,MATCH(E77,Merchant_Lookup!$C$2:$C$27,0)))</f>
        <v/>
      </c>
      <c r="J77" t="str">
        <f t="shared" si="2"/>
        <v>NEEDS REVIEW</v>
      </c>
      <c r="K77" t="str">
        <f t="shared" si="3"/>
        <v/>
      </c>
    </row>
    <row r="78" spans="5:11" x14ac:dyDescent="0.2">
      <c r="E78" t="str" cm="1">
        <f t="array" ref="E78">IFERROR(INDEX(Merchant_Lookup!$C$2:$C$27,MATCH(TRUE,ISNUMBER(SEARCH(Merchant_Lookup!$A$2:$A$26,UPPER(B78))),0)),"NEEDS REVIEW")</f>
        <v>NEEDS REVIEW</v>
      </c>
      <c r="F78" t="str">
        <f>IF(E78="NEEDS REVIEW","",INDEX(Merchant_Lookup!$D$2:$D$27,MATCH(E78,Merchant_Lookup!$C$2:$C$27,0)))</f>
        <v/>
      </c>
      <c r="G78" t="str">
        <f>IF(E78="NEEDS REVIEW","",INDEX(Merchant_Lookup!$E$2:$E$27,MATCH(E78,Merchant_Lookup!$C$2:$C$27,0)))</f>
        <v/>
      </c>
      <c r="J78" t="str">
        <f t="shared" si="2"/>
        <v>NEEDS REVIEW</v>
      </c>
      <c r="K78" t="str">
        <f t="shared" si="3"/>
        <v/>
      </c>
    </row>
    <row r="79" spans="5:11" x14ac:dyDescent="0.2">
      <c r="E79" t="str" cm="1">
        <f t="array" ref="E79">IFERROR(INDEX(Merchant_Lookup!$C$2:$C$27,MATCH(TRUE,ISNUMBER(SEARCH(Merchant_Lookup!$A$2:$A$26,UPPER(B79))),0)),"NEEDS REVIEW")</f>
        <v>NEEDS REVIEW</v>
      </c>
      <c r="F79" t="str">
        <f>IF(E79="NEEDS REVIEW","",INDEX(Merchant_Lookup!$D$2:$D$27,MATCH(E79,Merchant_Lookup!$C$2:$C$27,0)))</f>
        <v/>
      </c>
      <c r="G79" t="str">
        <f>IF(E79="NEEDS REVIEW","",INDEX(Merchant_Lookup!$E$2:$E$27,MATCH(E79,Merchant_Lookup!$C$2:$C$27,0)))</f>
        <v/>
      </c>
      <c r="J79" t="str">
        <f t="shared" si="2"/>
        <v>NEEDS REVIEW</v>
      </c>
      <c r="K79" t="str">
        <f t="shared" si="3"/>
        <v/>
      </c>
    </row>
    <row r="80" spans="5:11" x14ac:dyDescent="0.2">
      <c r="E80" t="str" cm="1">
        <f t="array" ref="E80">IFERROR(INDEX(Merchant_Lookup!$C$2:$C$27,MATCH(TRUE,ISNUMBER(SEARCH(Merchant_Lookup!$A$2:$A$26,UPPER(B80))),0)),"NEEDS REVIEW")</f>
        <v>NEEDS REVIEW</v>
      </c>
      <c r="F80" t="str">
        <f>IF(E80="NEEDS REVIEW","",INDEX(Merchant_Lookup!$D$2:$D$27,MATCH(E80,Merchant_Lookup!$C$2:$C$27,0)))</f>
        <v/>
      </c>
      <c r="G80" t="str">
        <f>IF(E80="NEEDS REVIEW","",INDEX(Merchant_Lookup!$E$2:$E$27,MATCH(E80,Merchant_Lookup!$C$2:$C$27,0)))</f>
        <v/>
      </c>
      <c r="J80" t="str">
        <f t="shared" si="2"/>
        <v>NEEDS REVIEW</v>
      </c>
      <c r="K80" t="str">
        <f t="shared" si="3"/>
        <v/>
      </c>
    </row>
    <row r="81" spans="5:11" x14ac:dyDescent="0.2">
      <c r="E81" t="str" cm="1">
        <f t="array" ref="E81">IFERROR(INDEX(Merchant_Lookup!$C$2:$C$27,MATCH(TRUE,ISNUMBER(SEARCH(Merchant_Lookup!$A$2:$A$26,UPPER(B81))),0)),"NEEDS REVIEW")</f>
        <v>NEEDS REVIEW</v>
      </c>
      <c r="F81" t="str">
        <f>IF(E81="NEEDS REVIEW","",INDEX(Merchant_Lookup!$D$2:$D$27,MATCH(E81,Merchant_Lookup!$C$2:$C$27,0)))</f>
        <v/>
      </c>
      <c r="G81" t="str">
        <f>IF(E81="NEEDS REVIEW","",INDEX(Merchant_Lookup!$E$2:$E$27,MATCH(E81,Merchant_Lookup!$C$2:$C$27,0)))</f>
        <v/>
      </c>
      <c r="J81" t="str">
        <f t="shared" si="2"/>
        <v>NEEDS REVIEW</v>
      </c>
      <c r="K81" t="str">
        <f t="shared" si="3"/>
        <v/>
      </c>
    </row>
    <row r="82" spans="5:11" x14ac:dyDescent="0.2">
      <c r="E82" t="str" cm="1">
        <f t="array" ref="E82">IFERROR(INDEX(Merchant_Lookup!$C$2:$C$27,MATCH(TRUE,ISNUMBER(SEARCH(Merchant_Lookup!$A$2:$A$26,UPPER(B82))),0)),"NEEDS REVIEW")</f>
        <v>NEEDS REVIEW</v>
      </c>
      <c r="F82" t="str">
        <f>IF(E82="NEEDS REVIEW","",INDEX(Merchant_Lookup!$D$2:$D$27,MATCH(E82,Merchant_Lookup!$C$2:$C$27,0)))</f>
        <v/>
      </c>
      <c r="G82" t="str">
        <f>IF(E82="NEEDS REVIEW","",INDEX(Merchant_Lookup!$E$2:$E$27,MATCH(E82,Merchant_Lookup!$C$2:$C$27,0)))</f>
        <v/>
      </c>
      <c r="J82" t="str">
        <f t="shared" si="2"/>
        <v>NEEDS REVIEW</v>
      </c>
      <c r="K82" t="str">
        <f t="shared" si="3"/>
        <v/>
      </c>
    </row>
    <row r="83" spans="5:11" x14ac:dyDescent="0.2">
      <c r="E83" t="str" cm="1">
        <f t="array" ref="E83">IFERROR(INDEX(Merchant_Lookup!$C$2:$C$27,MATCH(TRUE,ISNUMBER(SEARCH(Merchant_Lookup!$A$2:$A$26,UPPER(B83))),0)),"NEEDS REVIEW")</f>
        <v>NEEDS REVIEW</v>
      </c>
      <c r="F83" t="str">
        <f>IF(E83="NEEDS REVIEW","",INDEX(Merchant_Lookup!$D$2:$D$27,MATCH(E83,Merchant_Lookup!$C$2:$C$27,0)))</f>
        <v/>
      </c>
      <c r="G83" t="str">
        <f>IF(E83="NEEDS REVIEW","",INDEX(Merchant_Lookup!$E$2:$E$27,MATCH(E83,Merchant_Lookup!$C$2:$C$27,0)))</f>
        <v/>
      </c>
      <c r="J83" t="str">
        <f t="shared" si="2"/>
        <v>NEEDS REVIEW</v>
      </c>
      <c r="K83" t="str">
        <f t="shared" si="3"/>
        <v/>
      </c>
    </row>
    <row r="84" spans="5:11" x14ac:dyDescent="0.2">
      <c r="E84" t="str" cm="1">
        <f t="array" ref="E84">IFERROR(INDEX(Merchant_Lookup!$C$2:$C$27,MATCH(TRUE,ISNUMBER(SEARCH(Merchant_Lookup!$A$2:$A$26,UPPER(B84))),0)),"NEEDS REVIEW")</f>
        <v>NEEDS REVIEW</v>
      </c>
      <c r="F84" t="str">
        <f>IF(E84="NEEDS REVIEW","",INDEX(Merchant_Lookup!$D$2:$D$27,MATCH(E84,Merchant_Lookup!$C$2:$C$27,0)))</f>
        <v/>
      </c>
      <c r="G84" t="str">
        <f>IF(E84="NEEDS REVIEW","",INDEX(Merchant_Lookup!$E$2:$E$27,MATCH(E84,Merchant_Lookup!$C$2:$C$27,0)))</f>
        <v/>
      </c>
      <c r="J84" t="str">
        <f t="shared" si="2"/>
        <v>NEEDS REVIEW</v>
      </c>
      <c r="K84" t="str">
        <f t="shared" si="3"/>
        <v/>
      </c>
    </row>
    <row r="85" spans="5:11" x14ac:dyDescent="0.2">
      <c r="E85" t="str" cm="1">
        <f t="array" ref="E85">IFERROR(INDEX(Merchant_Lookup!$C$2:$C$27,MATCH(TRUE,ISNUMBER(SEARCH(Merchant_Lookup!$A$2:$A$26,UPPER(B85))),0)),"NEEDS REVIEW")</f>
        <v>NEEDS REVIEW</v>
      </c>
      <c r="F85" t="str">
        <f>IF(E85="NEEDS REVIEW","",INDEX(Merchant_Lookup!$D$2:$D$27,MATCH(E85,Merchant_Lookup!$C$2:$C$27,0)))</f>
        <v/>
      </c>
      <c r="G85" t="str">
        <f>IF(E85="NEEDS REVIEW","",INDEX(Merchant_Lookup!$E$2:$E$27,MATCH(E85,Merchant_Lookup!$C$2:$C$27,0)))</f>
        <v/>
      </c>
      <c r="J85" t="str">
        <f t="shared" si="2"/>
        <v>NEEDS REVIEW</v>
      </c>
      <c r="K85" t="str">
        <f t="shared" si="3"/>
        <v/>
      </c>
    </row>
    <row r="86" spans="5:11" x14ac:dyDescent="0.2">
      <c r="E86" t="str" cm="1">
        <f t="array" ref="E86">IFERROR(INDEX(Merchant_Lookup!$C$2:$C$27,MATCH(TRUE,ISNUMBER(SEARCH(Merchant_Lookup!$A$2:$A$26,UPPER(B86))),0)),"NEEDS REVIEW")</f>
        <v>NEEDS REVIEW</v>
      </c>
      <c r="F86" t="str">
        <f>IF(E86="NEEDS REVIEW","",INDEX(Merchant_Lookup!$D$2:$D$27,MATCH(E86,Merchant_Lookup!$C$2:$C$27,0)))</f>
        <v/>
      </c>
      <c r="G86" t="str">
        <f>IF(E86="NEEDS REVIEW","",INDEX(Merchant_Lookup!$E$2:$E$27,MATCH(E86,Merchant_Lookup!$C$2:$C$27,0)))</f>
        <v/>
      </c>
      <c r="J86" t="str">
        <f t="shared" si="2"/>
        <v>NEEDS REVIEW</v>
      </c>
      <c r="K86" t="str">
        <f t="shared" si="3"/>
        <v/>
      </c>
    </row>
    <row r="87" spans="5:11" x14ac:dyDescent="0.2">
      <c r="E87" t="str" cm="1">
        <f t="array" ref="E87">IFERROR(INDEX(Merchant_Lookup!$C$2:$C$27,MATCH(TRUE,ISNUMBER(SEARCH(Merchant_Lookup!$A$2:$A$26,UPPER(B87))),0)),"NEEDS REVIEW")</f>
        <v>NEEDS REVIEW</v>
      </c>
      <c r="F87" t="str">
        <f>IF(E87="NEEDS REVIEW","",INDEX(Merchant_Lookup!$D$2:$D$27,MATCH(E87,Merchant_Lookup!$C$2:$C$27,0)))</f>
        <v/>
      </c>
      <c r="G87" t="str">
        <f>IF(E87="NEEDS REVIEW","",INDEX(Merchant_Lookup!$E$2:$E$27,MATCH(E87,Merchant_Lookup!$C$2:$C$27,0)))</f>
        <v/>
      </c>
      <c r="J87" t="str">
        <f t="shared" si="2"/>
        <v>NEEDS REVIEW</v>
      </c>
      <c r="K87" t="str">
        <f t="shared" si="3"/>
        <v/>
      </c>
    </row>
    <row r="88" spans="5:11" x14ac:dyDescent="0.2">
      <c r="E88" t="str" cm="1">
        <f t="array" ref="E88">IFERROR(INDEX(Merchant_Lookup!$C$2:$C$27,MATCH(TRUE,ISNUMBER(SEARCH(Merchant_Lookup!$A$2:$A$26,UPPER(B88))),0)),"NEEDS REVIEW")</f>
        <v>NEEDS REVIEW</v>
      </c>
      <c r="F88" t="str">
        <f>IF(E88="NEEDS REVIEW","",INDEX(Merchant_Lookup!$D$2:$D$27,MATCH(E88,Merchant_Lookup!$C$2:$C$27,0)))</f>
        <v/>
      </c>
      <c r="G88" t="str">
        <f>IF(E88="NEEDS REVIEW","",INDEX(Merchant_Lookup!$E$2:$E$27,MATCH(E88,Merchant_Lookup!$C$2:$C$27,0)))</f>
        <v/>
      </c>
      <c r="J88" t="str">
        <f t="shared" si="2"/>
        <v>NEEDS REVIEW</v>
      </c>
      <c r="K88" t="str">
        <f t="shared" si="3"/>
        <v/>
      </c>
    </row>
    <row r="89" spans="5:11" x14ac:dyDescent="0.2">
      <c r="E89" t="str" cm="1">
        <f t="array" ref="E89">IFERROR(INDEX(Merchant_Lookup!$C$2:$C$27,MATCH(TRUE,ISNUMBER(SEARCH(Merchant_Lookup!$A$2:$A$26,UPPER(B89))),0)),"NEEDS REVIEW")</f>
        <v>NEEDS REVIEW</v>
      </c>
      <c r="F89" t="str">
        <f>IF(E89="NEEDS REVIEW","",INDEX(Merchant_Lookup!$D$2:$D$27,MATCH(E89,Merchant_Lookup!$C$2:$C$27,0)))</f>
        <v/>
      </c>
      <c r="G89" t="str">
        <f>IF(E89="NEEDS REVIEW","",INDEX(Merchant_Lookup!$E$2:$E$27,MATCH(E89,Merchant_Lookup!$C$2:$C$27,0)))</f>
        <v/>
      </c>
      <c r="J89" t="str">
        <f t="shared" si="2"/>
        <v>NEEDS REVIEW</v>
      </c>
      <c r="K89" t="str">
        <f t="shared" si="3"/>
        <v/>
      </c>
    </row>
    <row r="90" spans="5:11" x14ac:dyDescent="0.2">
      <c r="E90" t="str" cm="1">
        <f t="array" ref="E90">IFERROR(INDEX(Merchant_Lookup!$C$2:$C$27,MATCH(TRUE,ISNUMBER(SEARCH(Merchant_Lookup!$A$2:$A$26,UPPER(B90))),0)),"NEEDS REVIEW")</f>
        <v>NEEDS REVIEW</v>
      </c>
      <c r="F90" t="str">
        <f>IF(E90="NEEDS REVIEW","",INDEX(Merchant_Lookup!$D$2:$D$27,MATCH(E90,Merchant_Lookup!$C$2:$C$27,0)))</f>
        <v/>
      </c>
      <c r="G90" t="str">
        <f>IF(E90="NEEDS REVIEW","",INDEX(Merchant_Lookup!$E$2:$E$27,MATCH(E90,Merchant_Lookup!$C$2:$C$27,0)))</f>
        <v/>
      </c>
      <c r="J90" t="str">
        <f t="shared" si="2"/>
        <v>NEEDS REVIEW</v>
      </c>
      <c r="K90" t="str">
        <f t="shared" si="3"/>
        <v/>
      </c>
    </row>
    <row r="91" spans="5:11" x14ac:dyDescent="0.2">
      <c r="E91" t="str" cm="1">
        <f t="array" ref="E91">IFERROR(INDEX(Merchant_Lookup!$C$2:$C$27,MATCH(TRUE,ISNUMBER(SEARCH(Merchant_Lookup!$A$2:$A$26,UPPER(B91))),0)),"NEEDS REVIEW")</f>
        <v>NEEDS REVIEW</v>
      </c>
      <c r="F91" t="str">
        <f>IF(E91="NEEDS REVIEW","",INDEX(Merchant_Lookup!$D$2:$D$27,MATCH(E91,Merchant_Lookup!$C$2:$C$27,0)))</f>
        <v/>
      </c>
      <c r="G91" t="str">
        <f>IF(E91="NEEDS REVIEW","",INDEX(Merchant_Lookup!$E$2:$E$27,MATCH(E91,Merchant_Lookup!$C$2:$C$27,0)))</f>
        <v/>
      </c>
      <c r="J91" t="str">
        <f t="shared" si="2"/>
        <v>NEEDS REVIEW</v>
      </c>
      <c r="K91" t="str">
        <f t="shared" si="3"/>
        <v/>
      </c>
    </row>
    <row r="92" spans="5:11" x14ac:dyDescent="0.2">
      <c r="E92" t="str" cm="1">
        <f t="array" ref="E92">IFERROR(INDEX(Merchant_Lookup!$C$2:$C$27,MATCH(TRUE,ISNUMBER(SEARCH(Merchant_Lookup!$A$2:$A$26,UPPER(B92))),0)),"NEEDS REVIEW")</f>
        <v>NEEDS REVIEW</v>
      </c>
      <c r="F92" t="str">
        <f>IF(E92="NEEDS REVIEW","",INDEX(Merchant_Lookup!$D$2:$D$27,MATCH(E92,Merchant_Lookup!$C$2:$C$27,0)))</f>
        <v/>
      </c>
      <c r="G92" t="str">
        <f>IF(E92="NEEDS REVIEW","",INDEX(Merchant_Lookup!$E$2:$E$27,MATCH(E92,Merchant_Lookup!$C$2:$C$27,0)))</f>
        <v/>
      </c>
      <c r="J92" t="str">
        <f t="shared" si="2"/>
        <v>NEEDS REVIEW</v>
      </c>
      <c r="K92" t="str">
        <f t="shared" si="3"/>
        <v/>
      </c>
    </row>
    <row r="93" spans="5:11" x14ac:dyDescent="0.2">
      <c r="E93" t="str" cm="1">
        <f t="array" ref="E93">IFERROR(INDEX(Merchant_Lookup!$C$2:$C$27,MATCH(TRUE,ISNUMBER(SEARCH(Merchant_Lookup!$A$2:$A$26,UPPER(B93))),0)),"NEEDS REVIEW")</f>
        <v>NEEDS REVIEW</v>
      </c>
      <c r="F93" t="str">
        <f>IF(E93="NEEDS REVIEW","",INDEX(Merchant_Lookup!$D$2:$D$27,MATCH(E93,Merchant_Lookup!$C$2:$C$27,0)))</f>
        <v/>
      </c>
      <c r="G93" t="str">
        <f>IF(E93="NEEDS REVIEW","",INDEX(Merchant_Lookup!$E$2:$E$27,MATCH(E93,Merchant_Lookup!$C$2:$C$27,0)))</f>
        <v/>
      </c>
      <c r="J93" t="str">
        <f t="shared" si="2"/>
        <v>NEEDS REVIEW</v>
      </c>
      <c r="K93" t="str">
        <f t="shared" si="3"/>
        <v/>
      </c>
    </row>
    <row r="94" spans="5:11" x14ac:dyDescent="0.2">
      <c r="E94" t="str" cm="1">
        <f t="array" ref="E94">IFERROR(INDEX(Merchant_Lookup!$C$2:$C$27,MATCH(TRUE,ISNUMBER(SEARCH(Merchant_Lookup!$A$2:$A$26,UPPER(B94))),0)),"NEEDS REVIEW")</f>
        <v>NEEDS REVIEW</v>
      </c>
      <c r="F94" t="str">
        <f>IF(E94="NEEDS REVIEW","",INDEX(Merchant_Lookup!$D$2:$D$27,MATCH(E94,Merchant_Lookup!$C$2:$C$27,0)))</f>
        <v/>
      </c>
      <c r="G94" t="str">
        <f>IF(E94="NEEDS REVIEW","",INDEX(Merchant_Lookup!$E$2:$E$27,MATCH(E94,Merchant_Lookup!$C$2:$C$27,0)))</f>
        <v/>
      </c>
      <c r="J94" t="str">
        <f t="shared" si="2"/>
        <v>NEEDS REVIEW</v>
      </c>
      <c r="K94" t="str">
        <f t="shared" si="3"/>
        <v/>
      </c>
    </row>
    <row r="95" spans="5:11" x14ac:dyDescent="0.2">
      <c r="E95" t="str" cm="1">
        <f t="array" ref="E95">IFERROR(INDEX(Merchant_Lookup!$C$2:$C$27,MATCH(TRUE,ISNUMBER(SEARCH(Merchant_Lookup!$A$2:$A$26,UPPER(B95))),0)),"NEEDS REVIEW")</f>
        <v>NEEDS REVIEW</v>
      </c>
      <c r="F95" t="str">
        <f>IF(E95="NEEDS REVIEW","",INDEX(Merchant_Lookup!$D$2:$D$27,MATCH(E95,Merchant_Lookup!$C$2:$C$27,0)))</f>
        <v/>
      </c>
      <c r="G95" t="str">
        <f>IF(E95="NEEDS REVIEW","",INDEX(Merchant_Lookup!$E$2:$E$27,MATCH(E95,Merchant_Lookup!$C$2:$C$27,0)))</f>
        <v/>
      </c>
      <c r="J95" t="str">
        <f t="shared" si="2"/>
        <v>NEEDS REVIEW</v>
      </c>
      <c r="K95" t="str">
        <f t="shared" si="3"/>
        <v/>
      </c>
    </row>
    <row r="96" spans="5:11" x14ac:dyDescent="0.2">
      <c r="E96" t="str" cm="1">
        <f t="array" ref="E96">IFERROR(INDEX(Merchant_Lookup!$C$2:$C$27,MATCH(TRUE,ISNUMBER(SEARCH(Merchant_Lookup!$A$2:$A$26,UPPER(B96))),0)),"NEEDS REVIEW")</f>
        <v>NEEDS REVIEW</v>
      </c>
      <c r="F96" t="str">
        <f>IF(E96="NEEDS REVIEW","",INDEX(Merchant_Lookup!$D$2:$D$27,MATCH(E96,Merchant_Lookup!$C$2:$C$27,0)))</f>
        <v/>
      </c>
      <c r="G96" t="str">
        <f>IF(E96="NEEDS REVIEW","",INDEX(Merchant_Lookup!$E$2:$E$27,MATCH(E96,Merchant_Lookup!$C$2:$C$27,0)))</f>
        <v/>
      </c>
      <c r="J96" t="str">
        <f t="shared" si="2"/>
        <v>NEEDS REVIEW</v>
      </c>
      <c r="K96" t="str">
        <f t="shared" si="3"/>
        <v/>
      </c>
    </row>
    <row r="97" spans="5:11" x14ac:dyDescent="0.2">
      <c r="E97" t="str" cm="1">
        <f t="array" ref="E97">IFERROR(INDEX(Merchant_Lookup!$C$2:$C$27,MATCH(TRUE,ISNUMBER(SEARCH(Merchant_Lookup!$A$2:$A$26,UPPER(B97))),0)),"NEEDS REVIEW")</f>
        <v>NEEDS REVIEW</v>
      </c>
      <c r="F97" t="str">
        <f>IF(E97="NEEDS REVIEW","",INDEX(Merchant_Lookup!$D$2:$D$27,MATCH(E97,Merchant_Lookup!$C$2:$C$27,0)))</f>
        <v/>
      </c>
      <c r="G97" t="str">
        <f>IF(E97="NEEDS REVIEW","",INDEX(Merchant_Lookup!$E$2:$E$27,MATCH(E97,Merchant_Lookup!$C$2:$C$27,0)))</f>
        <v/>
      </c>
      <c r="J97" t="str">
        <f t="shared" si="2"/>
        <v>NEEDS REVIEW</v>
      </c>
      <c r="K97" t="str">
        <f t="shared" si="3"/>
        <v/>
      </c>
    </row>
    <row r="98" spans="5:11" x14ac:dyDescent="0.2">
      <c r="E98" t="str" cm="1">
        <f t="array" ref="E98">IFERROR(INDEX(Merchant_Lookup!$C$2:$C$27,MATCH(TRUE,ISNUMBER(SEARCH(Merchant_Lookup!$A$2:$A$26,UPPER(B98))),0)),"NEEDS REVIEW")</f>
        <v>NEEDS REVIEW</v>
      </c>
      <c r="F98" t="str">
        <f>IF(E98="NEEDS REVIEW","",INDEX(Merchant_Lookup!$D$2:$D$27,MATCH(E98,Merchant_Lookup!$C$2:$C$27,0)))</f>
        <v/>
      </c>
      <c r="G98" t="str">
        <f>IF(E98="NEEDS REVIEW","",INDEX(Merchant_Lookup!$E$2:$E$27,MATCH(E98,Merchant_Lookup!$C$2:$C$27,0)))</f>
        <v/>
      </c>
      <c r="J98" t="str">
        <f t="shared" si="2"/>
        <v>NEEDS REVIEW</v>
      </c>
      <c r="K98" t="str">
        <f t="shared" si="3"/>
        <v/>
      </c>
    </row>
    <row r="99" spans="5:11" x14ac:dyDescent="0.2">
      <c r="E99" t="str" cm="1">
        <f t="array" ref="E99">IFERROR(INDEX(Merchant_Lookup!$C$2:$C$27,MATCH(TRUE,ISNUMBER(SEARCH(Merchant_Lookup!$A$2:$A$26,UPPER(B99))),0)),"NEEDS REVIEW")</f>
        <v>NEEDS REVIEW</v>
      </c>
      <c r="F99" t="str">
        <f>IF(E99="NEEDS REVIEW","",INDEX(Merchant_Lookup!$D$2:$D$27,MATCH(E99,Merchant_Lookup!$C$2:$C$27,0)))</f>
        <v/>
      </c>
      <c r="G99" t="str">
        <f>IF(E99="NEEDS REVIEW","",INDEX(Merchant_Lookup!$E$2:$E$27,MATCH(E99,Merchant_Lookup!$C$2:$C$27,0)))</f>
        <v/>
      </c>
      <c r="J99" t="str">
        <f t="shared" si="2"/>
        <v>NEEDS REVIEW</v>
      </c>
      <c r="K99" t="str">
        <f t="shared" si="3"/>
        <v/>
      </c>
    </row>
    <row r="100" spans="5:11" x14ac:dyDescent="0.2">
      <c r="E100" t="str" cm="1">
        <f t="array" ref="E100">IFERROR(INDEX(Merchant_Lookup!$C$2:$C$27,MATCH(TRUE,ISNUMBER(SEARCH(Merchant_Lookup!$A$2:$A$26,UPPER(B100))),0)),"NEEDS REVIEW")</f>
        <v>NEEDS REVIEW</v>
      </c>
      <c r="F100" t="str">
        <f>IF(E100="NEEDS REVIEW","",INDEX(Merchant_Lookup!$D$2:$D$27,MATCH(E100,Merchant_Lookup!$C$2:$C$27,0)))</f>
        <v/>
      </c>
      <c r="G100" t="str">
        <f>IF(E100="NEEDS REVIEW","",INDEX(Merchant_Lookup!$E$2:$E$27,MATCH(E100,Merchant_Lookup!$C$2:$C$27,0)))</f>
        <v/>
      </c>
      <c r="J100" t="str">
        <f t="shared" si="2"/>
        <v>NEEDS REVIEW</v>
      </c>
      <c r="K100" t="str">
        <f t="shared" si="3"/>
        <v/>
      </c>
    </row>
    <row r="101" spans="5:11" x14ac:dyDescent="0.2">
      <c r="E101" t="str" cm="1">
        <f t="array" ref="E101">IFERROR(INDEX(Merchant_Lookup!$C$2:$C$27,MATCH(TRUE,ISNUMBER(SEARCH(Merchant_Lookup!$A$2:$A$26,UPPER(B101))),0)),"NEEDS REVIEW")</f>
        <v>NEEDS REVIEW</v>
      </c>
      <c r="F101" t="str">
        <f>IF(E101="NEEDS REVIEW","",INDEX(Merchant_Lookup!$D$2:$D$27,MATCH(E101,Merchant_Lookup!$C$2:$C$27,0)))</f>
        <v/>
      </c>
      <c r="G101" t="str">
        <f>IF(E101="NEEDS REVIEW","",INDEX(Merchant_Lookup!$E$2:$E$27,MATCH(E101,Merchant_Lookup!$C$2:$C$27,0)))</f>
        <v/>
      </c>
      <c r="J101" t="str">
        <f t="shared" si="2"/>
        <v>NEEDS REVIEW</v>
      </c>
      <c r="K101" t="str">
        <f t="shared" si="3"/>
        <v/>
      </c>
    </row>
    <row r="102" spans="5:11" x14ac:dyDescent="0.2">
      <c r="E102" t="str" cm="1">
        <f t="array" ref="E102">IFERROR(INDEX(Merchant_Lookup!$C$2:$C$27,MATCH(TRUE,ISNUMBER(SEARCH(Merchant_Lookup!$A$2:$A$26,UPPER(B102))),0)),"NEEDS REVIEW")</f>
        <v>NEEDS REVIEW</v>
      </c>
      <c r="F102" t="str">
        <f>IF(E102="NEEDS REVIEW","",INDEX(Merchant_Lookup!$D$2:$D$27,MATCH(E102,Merchant_Lookup!$C$2:$C$27,0)))</f>
        <v/>
      </c>
      <c r="G102" t="str">
        <f>IF(E102="NEEDS REVIEW","",INDEX(Merchant_Lookup!$E$2:$E$27,MATCH(E102,Merchant_Lookup!$C$2:$C$27,0)))</f>
        <v/>
      </c>
      <c r="J102" t="str">
        <f t="shared" si="2"/>
        <v>NEEDS REVIEW</v>
      </c>
      <c r="K102" t="str">
        <f t="shared" si="3"/>
        <v/>
      </c>
    </row>
    <row r="103" spans="5:11" x14ac:dyDescent="0.2">
      <c r="E103" t="str" cm="1">
        <f t="array" ref="E103">IFERROR(INDEX(Merchant_Lookup!$C$2:$C$27,MATCH(TRUE,ISNUMBER(SEARCH(Merchant_Lookup!$A$2:$A$26,UPPER(B103))),0)),"NEEDS REVIEW")</f>
        <v>NEEDS REVIEW</v>
      </c>
      <c r="F103" t="str">
        <f>IF(E103="NEEDS REVIEW","",INDEX(Merchant_Lookup!$D$2:$D$27,MATCH(E103,Merchant_Lookup!$C$2:$C$27,0)))</f>
        <v/>
      </c>
      <c r="G103" t="str">
        <f>IF(E103="NEEDS REVIEW","",INDEX(Merchant_Lookup!$E$2:$E$27,MATCH(E103,Merchant_Lookup!$C$2:$C$27,0)))</f>
        <v/>
      </c>
      <c r="J103" t="str">
        <f t="shared" si="2"/>
        <v>NEEDS REVIEW</v>
      </c>
      <c r="K103" t="str">
        <f t="shared" si="3"/>
        <v/>
      </c>
    </row>
    <row r="104" spans="5:11" x14ac:dyDescent="0.2">
      <c r="E104" t="str" cm="1">
        <f t="array" ref="E104">IFERROR(INDEX(Merchant_Lookup!$C$2:$C$27,MATCH(TRUE,ISNUMBER(SEARCH(Merchant_Lookup!$A$2:$A$26,UPPER(B104))),0)),"NEEDS REVIEW")</f>
        <v>NEEDS REVIEW</v>
      </c>
      <c r="F104" t="str">
        <f>IF(E104="NEEDS REVIEW","",INDEX(Merchant_Lookup!$D$2:$D$27,MATCH(E104,Merchant_Lookup!$C$2:$C$27,0)))</f>
        <v/>
      </c>
      <c r="G104" t="str">
        <f>IF(E104="NEEDS REVIEW","",INDEX(Merchant_Lookup!$E$2:$E$27,MATCH(E104,Merchant_Lookup!$C$2:$C$27,0)))</f>
        <v/>
      </c>
      <c r="J104" t="str">
        <f t="shared" si="2"/>
        <v>NEEDS REVIEW</v>
      </c>
      <c r="K104" t="str">
        <f t="shared" si="3"/>
        <v/>
      </c>
    </row>
    <row r="105" spans="5:11" x14ac:dyDescent="0.2">
      <c r="E105" t="str" cm="1">
        <f t="array" ref="E105">IFERROR(INDEX(Merchant_Lookup!$C$2:$C$27,MATCH(TRUE,ISNUMBER(SEARCH(Merchant_Lookup!$A$2:$A$26,UPPER(B105))),0)),"NEEDS REVIEW")</f>
        <v>NEEDS REVIEW</v>
      </c>
      <c r="F105" t="str">
        <f>IF(E105="NEEDS REVIEW","",INDEX(Merchant_Lookup!$D$2:$D$27,MATCH(E105,Merchant_Lookup!$C$2:$C$27,0)))</f>
        <v/>
      </c>
      <c r="G105" t="str">
        <f>IF(E105="NEEDS REVIEW","",INDEX(Merchant_Lookup!$E$2:$E$27,MATCH(E105,Merchant_Lookup!$C$2:$C$27,0)))</f>
        <v/>
      </c>
      <c r="J105" t="str">
        <f t="shared" si="2"/>
        <v>NEEDS REVIEW</v>
      </c>
      <c r="K105" t="str">
        <f t="shared" si="3"/>
        <v/>
      </c>
    </row>
    <row r="106" spans="5:11" x14ac:dyDescent="0.2">
      <c r="E106" t="str" cm="1">
        <f t="array" ref="E106">IFERROR(INDEX(Merchant_Lookup!$C$2:$C$27,MATCH(TRUE,ISNUMBER(SEARCH(Merchant_Lookup!$A$2:$A$26,UPPER(B106))),0)),"NEEDS REVIEW")</f>
        <v>NEEDS REVIEW</v>
      </c>
      <c r="F106" t="str">
        <f>IF(E106="NEEDS REVIEW","",INDEX(Merchant_Lookup!$D$2:$D$27,MATCH(E106,Merchant_Lookup!$C$2:$C$27,0)))</f>
        <v/>
      </c>
      <c r="G106" t="str">
        <f>IF(E106="NEEDS REVIEW","",INDEX(Merchant_Lookup!$E$2:$E$27,MATCH(E106,Merchant_Lookup!$C$2:$C$27,0)))</f>
        <v/>
      </c>
      <c r="J106" t="str">
        <f t="shared" si="2"/>
        <v>NEEDS REVIEW</v>
      </c>
      <c r="K106" t="str">
        <f t="shared" si="3"/>
        <v/>
      </c>
    </row>
    <row r="107" spans="5:11" x14ac:dyDescent="0.2">
      <c r="E107" t="str" cm="1">
        <f t="array" ref="E107">IFERROR(INDEX(Merchant_Lookup!$C$2:$C$27,MATCH(TRUE,ISNUMBER(SEARCH(Merchant_Lookup!$A$2:$A$26,UPPER(B107))),0)),"NEEDS REVIEW")</f>
        <v>NEEDS REVIEW</v>
      </c>
      <c r="F107" t="str">
        <f>IF(E107="NEEDS REVIEW","",INDEX(Merchant_Lookup!$D$2:$D$27,MATCH(E107,Merchant_Lookup!$C$2:$C$27,0)))</f>
        <v/>
      </c>
      <c r="G107" t="str">
        <f>IF(E107="NEEDS REVIEW","",INDEX(Merchant_Lookup!$E$2:$E$27,MATCH(E107,Merchant_Lookup!$C$2:$C$27,0)))</f>
        <v/>
      </c>
      <c r="J107" t="str">
        <f t="shared" si="2"/>
        <v>NEEDS REVIEW</v>
      </c>
      <c r="K107" t="str">
        <f t="shared" si="3"/>
        <v/>
      </c>
    </row>
    <row r="108" spans="5:11" x14ac:dyDescent="0.2">
      <c r="E108" t="str" cm="1">
        <f t="array" ref="E108">IFERROR(INDEX(Merchant_Lookup!$C$2:$C$27,MATCH(TRUE,ISNUMBER(SEARCH(Merchant_Lookup!$A$2:$A$26,UPPER(B108))),0)),"NEEDS REVIEW")</f>
        <v>NEEDS REVIEW</v>
      </c>
      <c r="F108" t="str">
        <f>IF(E108="NEEDS REVIEW","",INDEX(Merchant_Lookup!$D$2:$D$27,MATCH(E108,Merchant_Lookup!$C$2:$C$27,0)))</f>
        <v/>
      </c>
      <c r="G108" t="str">
        <f>IF(E108="NEEDS REVIEW","",INDEX(Merchant_Lookup!$E$2:$E$27,MATCH(E108,Merchant_Lookup!$C$2:$C$27,0)))</f>
        <v/>
      </c>
      <c r="J108" t="str">
        <f t="shared" si="2"/>
        <v>NEEDS REVIEW</v>
      </c>
      <c r="K108" t="str">
        <f t="shared" si="3"/>
        <v/>
      </c>
    </row>
    <row r="109" spans="5:11" x14ac:dyDescent="0.2">
      <c r="E109" t="str" cm="1">
        <f t="array" ref="E109">IFERROR(INDEX(Merchant_Lookup!$C$2:$C$27,MATCH(TRUE,ISNUMBER(SEARCH(Merchant_Lookup!$A$2:$A$26,UPPER(B109))),0)),"NEEDS REVIEW")</f>
        <v>NEEDS REVIEW</v>
      </c>
      <c r="F109" t="str">
        <f>IF(E109="NEEDS REVIEW","",INDEX(Merchant_Lookup!$D$2:$D$27,MATCH(E109,Merchant_Lookup!$C$2:$C$27,0)))</f>
        <v/>
      </c>
      <c r="G109" t="str">
        <f>IF(E109="NEEDS REVIEW","",INDEX(Merchant_Lookup!$E$2:$E$27,MATCH(E109,Merchant_Lookup!$C$2:$C$27,0)))</f>
        <v/>
      </c>
      <c r="J109" t="str">
        <f t="shared" si="2"/>
        <v>NEEDS REVIEW</v>
      </c>
      <c r="K109" t="str">
        <f t="shared" si="3"/>
        <v/>
      </c>
    </row>
    <row r="110" spans="5:11" x14ac:dyDescent="0.2">
      <c r="E110" t="str" cm="1">
        <f t="array" ref="E110">IFERROR(INDEX(Merchant_Lookup!$C$2:$C$27,MATCH(TRUE,ISNUMBER(SEARCH(Merchant_Lookup!$A$2:$A$26,UPPER(B110))),0)),"NEEDS REVIEW")</f>
        <v>NEEDS REVIEW</v>
      </c>
      <c r="F110" t="str">
        <f>IF(E110="NEEDS REVIEW","",INDEX(Merchant_Lookup!$D$2:$D$27,MATCH(E110,Merchant_Lookup!$C$2:$C$27,0)))</f>
        <v/>
      </c>
      <c r="G110" t="str">
        <f>IF(E110="NEEDS REVIEW","",INDEX(Merchant_Lookup!$E$2:$E$27,MATCH(E110,Merchant_Lookup!$C$2:$C$27,0)))</f>
        <v/>
      </c>
      <c r="J110" t="str">
        <f t="shared" si="2"/>
        <v>NEEDS REVIEW</v>
      </c>
      <c r="K110" t="str">
        <f t="shared" si="3"/>
        <v/>
      </c>
    </row>
    <row r="111" spans="5:11" x14ac:dyDescent="0.2">
      <c r="E111" t="str" cm="1">
        <f t="array" ref="E111">IFERROR(INDEX(Merchant_Lookup!$C$2:$C$27,MATCH(TRUE,ISNUMBER(SEARCH(Merchant_Lookup!$A$2:$A$26,UPPER(B111))),0)),"NEEDS REVIEW")</f>
        <v>NEEDS REVIEW</v>
      </c>
      <c r="F111" t="str">
        <f>IF(E111="NEEDS REVIEW","",INDEX(Merchant_Lookup!$D$2:$D$27,MATCH(E111,Merchant_Lookup!$C$2:$C$27,0)))</f>
        <v/>
      </c>
      <c r="G111" t="str">
        <f>IF(E111="NEEDS REVIEW","",INDEX(Merchant_Lookup!$E$2:$E$27,MATCH(E111,Merchant_Lookup!$C$2:$C$27,0)))</f>
        <v/>
      </c>
      <c r="J111" t="str">
        <f t="shared" si="2"/>
        <v>NEEDS REVIEW</v>
      </c>
      <c r="K111" t="str">
        <f t="shared" si="3"/>
        <v/>
      </c>
    </row>
    <row r="112" spans="5:11" x14ac:dyDescent="0.2">
      <c r="E112" t="str" cm="1">
        <f t="array" ref="E112">IFERROR(INDEX(Merchant_Lookup!$C$2:$C$27,MATCH(TRUE,ISNUMBER(SEARCH(Merchant_Lookup!$A$2:$A$26,UPPER(B112))),0)),"NEEDS REVIEW")</f>
        <v>NEEDS REVIEW</v>
      </c>
      <c r="F112" t="str">
        <f>IF(E112="NEEDS REVIEW","",INDEX(Merchant_Lookup!$D$2:$D$27,MATCH(E112,Merchant_Lookup!$C$2:$C$27,0)))</f>
        <v/>
      </c>
      <c r="G112" t="str">
        <f>IF(E112="NEEDS REVIEW","",INDEX(Merchant_Lookup!$E$2:$E$27,MATCH(E112,Merchant_Lookup!$C$2:$C$27,0)))</f>
        <v/>
      </c>
      <c r="J112" t="str">
        <f t="shared" si="2"/>
        <v>NEEDS REVIEW</v>
      </c>
      <c r="K112" t="str">
        <f t="shared" si="3"/>
        <v/>
      </c>
    </row>
    <row r="113" spans="5:11" x14ac:dyDescent="0.2">
      <c r="E113" t="str" cm="1">
        <f t="array" ref="E113">IFERROR(INDEX(Merchant_Lookup!$C$2:$C$27,MATCH(TRUE,ISNUMBER(SEARCH(Merchant_Lookup!$A$2:$A$26,UPPER(B113))),0)),"NEEDS REVIEW")</f>
        <v>NEEDS REVIEW</v>
      </c>
      <c r="F113" t="str">
        <f>IF(E113="NEEDS REVIEW","",INDEX(Merchant_Lookup!$D$2:$D$27,MATCH(E113,Merchant_Lookup!$C$2:$C$27,0)))</f>
        <v/>
      </c>
      <c r="G113" t="str">
        <f>IF(E113="NEEDS REVIEW","",INDEX(Merchant_Lookup!$E$2:$E$27,MATCH(E113,Merchant_Lookup!$C$2:$C$27,0)))</f>
        <v/>
      </c>
      <c r="J113" t="str">
        <f t="shared" si="2"/>
        <v>NEEDS REVIEW</v>
      </c>
      <c r="K113" t="str">
        <f t="shared" si="3"/>
        <v/>
      </c>
    </row>
    <row r="114" spans="5:11" x14ac:dyDescent="0.2">
      <c r="E114" t="str" cm="1">
        <f t="array" ref="E114">IFERROR(INDEX(Merchant_Lookup!$C$2:$C$27,MATCH(TRUE,ISNUMBER(SEARCH(Merchant_Lookup!$A$2:$A$26,UPPER(B114))),0)),"NEEDS REVIEW")</f>
        <v>NEEDS REVIEW</v>
      </c>
      <c r="F114" t="str">
        <f>IF(E114="NEEDS REVIEW","",INDEX(Merchant_Lookup!$D$2:$D$27,MATCH(E114,Merchant_Lookup!$C$2:$C$27,0)))</f>
        <v/>
      </c>
      <c r="G114" t="str">
        <f>IF(E114="NEEDS REVIEW","",INDEX(Merchant_Lookup!$E$2:$E$27,MATCH(E114,Merchant_Lookup!$C$2:$C$27,0)))</f>
        <v/>
      </c>
      <c r="J114" t="str">
        <f t="shared" si="2"/>
        <v>NEEDS REVIEW</v>
      </c>
      <c r="K114" t="str">
        <f t="shared" si="3"/>
        <v/>
      </c>
    </row>
    <row r="115" spans="5:11" x14ac:dyDescent="0.2">
      <c r="E115" t="str" cm="1">
        <f t="array" ref="E115">IFERROR(INDEX(Merchant_Lookup!$C$2:$C$27,MATCH(TRUE,ISNUMBER(SEARCH(Merchant_Lookup!$A$2:$A$26,UPPER(B115))),0)),"NEEDS REVIEW")</f>
        <v>NEEDS REVIEW</v>
      </c>
      <c r="F115" t="str">
        <f>IF(E115="NEEDS REVIEW","",INDEX(Merchant_Lookup!$D$2:$D$27,MATCH(E115,Merchant_Lookup!$C$2:$C$27,0)))</f>
        <v/>
      </c>
      <c r="G115" t="str">
        <f>IF(E115="NEEDS REVIEW","",INDEX(Merchant_Lookup!$E$2:$E$27,MATCH(E115,Merchant_Lookup!$C$2:$C$27,0)))</f>
        <v/>
      </c>
      <c r="J115" t="str">
        <f t="shared" si="2"/>
        <v>NEEDS REVIEW</v>
      </c>
      <c r="K115" t="str">
        <f t="shared" si="3"/>
        <v/>
      </c>
    </row>
    <row r="116" spans="5:11" x14ac:dyDescent="0.2">
      <c r="E116" t="str" cm="1">
        <f t="array" ref="E116">IFERROR(INDEX(Merchant_Lookup!$C$2:$C$27,MATCH(TRUE,ISNUMBER(SEARCH(Merchant_Lookup!$A$2:$A$26,UPPER(B116))),0)),"NEEDS REVIEW")</f>
        <v>NEEDS REVIEW</v>
      </c>
      <c r="F116" t="str">
        <f>IF(E116="NEEDS REVIEW","",INDEX(Merchant_Lookup!$D$2:$D$27,MATCH(E116,Merchant_Lookup!$C$2:$C$27,0)))</f>
        <v/>
      </c>
      <c r="G116" t="str">
        <f>IF(E116="NEEDS REVIEW","",INDEX(Merchant_Lookup!$E$2:$E$27,MATCH(E116,Merchant_Lookup!$C$2:$C$27,0)))</f>
        <v/>
      </c>
      <c r="J116" t="str">
        <f t="shared" si="2"/>
        <v>NEEDS REVIEW</v>
      </c>
      <c r="K116" t="str">
        <f t="shared" si="3"/>
        <v/>
      </c>
    </row>
    <row r="117" spans="5:11" x14ac:dyDescent="0.2">
      <c r="E117" t="str" cm="1">
        <f t="array" ref="E117">IFERROR(INDEX(Merchant_Lookup!$C$2:$C$27,MATCH(TRUE,ISNUMBER(SEARCH(Merchant_Lookup!$A$2:$A$26,UPPER(B117))),0)),"NEEDS REVIEW")</f>
        <v>NEEDS REVIEW</v>
      </c>
      <c r="F117" t="str">
        <f>IF(E117="NEEDS REVIEW","",INDEX(Merchant_Lookup!$D$2:$D$27,MATCH(E117,Merchant_Lookup!$C$2:$C$27,0)))</f>
        <v/>
      </c>
      <c r="G117" t="str">
        <f>IF(E117="NEEDS REVIEW","",INDEX(Merchant_Lookup!$E$2:$E$27,MATCH(E117,Merchant_Lookup!$C$2:$C$27,0)))</f>
        <v/>
      </c>
      <c r="J117" t="str">
        <f t="shared" si="2"/>
        <v>NEEDS REVIEW</v>
      </c>
      <c r="K117" t="str">
        <f t="shared" si="3"/>
        <v/>
      </c>
    </row>
    <row r="118" spans="5:11" x14ac:dyDescent="0.2">
      <c r="E118" t="str" cm="1">
        <f t="array" ref="E118">IFERROR(INDEX(Merchant_Lookup!$C$2:$C$27,MATCH(TRUE,ISNUMBER(SEARCH(Merchant_Lookup!$A$2:$A$26,UPPER(B118))),0)),"NEEDS REVIEW")</f>
        <v>NEEDS REVIEW</v>
      </c>
      <c r="F118" t="str">
        <f>IF(E118="NEEDS REVIEW","",INDEX(Merchant_Lookup!$D$2:$D$27,MATCH(E118,Merchant_Lookup!$C$2:$C$27,0)))</f>
        <v/>
      </c>
      <c r="G118" t="str">
        <f>IF(E118="NEEDS REVIEW","",INDEX(Merchant_Lookup!$E$2:$E$27,MATCH(E118,Merchant_Lookup!$C$2:$C$27,0)))</f>
        <v/>
      </c>
      <c r="J118" t="str">
        <f t="shared" si="2"/>
        <v>NEEDS REVIEW</v>
      </c>
      <c r="K118" t="str">
        <f t="shared" si="3"/>
        <v/>
      </c>
    </row>
    <row r="119" spans="5:11" x14ac:dyDescent="0.2">
      <c r="E119" t="str" cm="1">
        <f t="array" ref="E119">IFERROR(INDEX(Merchant_Lookup!$C$2:$C$27,MATCH(TRUE,ISNUMBER(SEARCH(Merchant_Lookup!$A$2:$A$26,UPPER(B119))),0)),"NEEDS REVIEW")</f>
        <v>NEEDS REVIEW</v>
      </c>
      <c r="F119" t="str">
        <f>IF(E119="NEEDS REVIEW","",INDEX(Merchant_Lookup!$D$2:$D$27,MATCH(E119,Merchant_Lookup!$C$2:$C$27,0)))</f>
        <v/>
      </c>
      <c r="G119" t="str">
        <f>IF(E119="NEEDS REVIEW","",INDEX(Merchant_Lookup!$E$2:$E$27,MATCH(E119,Merchant_Lookup!$C$2:$C$27,0)))</f>
        <v/>
      </c>
      <c r="J119" t="str">
        <f t="shared" si="2"/>
        <v>NEEDS REVIEW</v>
      </c>
      <c r="K119" t="str">
        <f t="shared" si="3"/>
        <v/>
      </c>
    </row>
    <row r="120" spans="5:11" x14ac:dyDescent="0.2">
      <c r="E120" t="str" cm="1">
        <f t="array" ref="E120">IFERROR(INDEX(Merchant_Lookup!$C$2:$C$27,MATCH(TRUE,ISNUMBER(SEARCH(Merchant_Lookup!$A$2:$A$26,UPPER(B120))),0)),"NEEDS REVIEW")</f>
        <v>NEEDS REVIEW</v>
      </c>
      <c r="F120" t="str">
        <f>IF(E120="NEEDS REVIEW","",INDEX(Merchant_Lookup!$D$2:$D$27,MATCH(E120,Merchant_Lookup!$C$2:$C$27,0)))</f>
        <v/>
      </c>
      <c r="G120" t="str">
        <f>IF(E120="NEEDS REVIEW","",INDEX(Merchant_Lookup!$E$2:$E$27,MATCH(E120,Merchant_Lookup!$C$2:$C$27,0)))</f>
        <v/>
      </c>
      <c r="J120" t="str">
        <f t="shared" si="2"/>
        <v>NEEDS REVIEW</v>
      </c>
      <c r="K120" t="str">
        <f t="shared" si="3"/>
        <v/>
      </c>
    </row>
    <row r="121" spans="5:11" x14ac:dyDescent="0.2">
      <c r="E121" t="str" cm="1">
        <f t="array" ref="E121">IFERROR(INDEX(Merchant_Lookup!$C$2:$C$27,MATCH(TRUE,ISNUMBER(SEARCH(Merchant_Lookup!$A$2:$A$26,UPPER(B121))),0)),"NEEDS REVIEW")</f>
        <v>NEEDS REVIEW</v>
      </c>
      <c r="F121" t="str">
        <f>IF(E121="NEEDS REVIEW","",INDEX(Merchant_Lookup!$D$2:$D$27,MATCH(E121,Merchant_Lookup!$C$2:$C$27,0)))</f>
        <v/>
      </c>
      <c r="G121" t="str">
        <f>IF(E121="NEEDS REVIEW","",INDEX(Merchant_Lookup!$E$2:$E$27,MATCH(E121,Merchant_Lookup!$C$2:$C$27,0)))</f>
        <v/>
      </c>
      <c r="J121" t="str">
        <f t="shared" si="2"/>
        <v>NEEDS REVIEW</v>
      </c>
      <c r="K121" t="str">
        <f t="shared" si="3"/>
        <v/>
      </c>
    </row>
    <row r="122" spans="5:11" x14ac:dyDescent="0.2">
      <c r="E122" t="str" cm="1">
        <f t="array" ref="E122">IFERROR(INDEX(Merchant_Lookup!$C$2:$C$27,MATCH(TRUE,ISNUMBER(SEARCH(Merchant_Lookup!$A$2:$A$26,UPPER(B122))),0)),"NEEDS REVIEW")</f>
        <v>NEEDS REVIEW</v>
      </c>
      <c r="F122" t="str">
        <f>IF(E122="NEEDS REVIEW","",INDEX(Merchant_Lookup!$D$2:$D$27,MATCH(E122,Merchant_Lookup!$C$2:$C$27,0)))</f>
        <v/>
      </c>
      <c r="G122" t="str">
        <f>IF(E122="NEEDS REVIEW","",INDEX(Merchant_Lookup!$E$2:$E$27,MATCH(E122,Merchant_Lookup!$C$2:$C$27,0)))</f>
        <v/>
      </c>
      <c r="J122" t="str">
        <f t="shared" si="2"/>
        <v>NEEDS REVIEW</v>
      </c>
      <c r="K122" t="str">
        <f t="shared" si="3"/>
        <v/>
      </c>
    </row>
    <row r="123" spans="5:11" x14ac:dyDescent="0.2">
      <c r="E123" t="str" cm="1">
        <f t="array" ref="E123">IFERROR(INDEX(Merchant_Lookup!$C$2:$C$27,MATCH(TRUE,ISNUMBER(SEARCH(Merchant_Lookup!$A$2:$A$26,UPPER(B123))),0)),"NEEDS REVIEW")</f>
        <v>NEEDS REVIEW</v>
      </c>
      <c r="F123" t="str">
        <f>IF(E123="NEEDS REVIEW","",INDEX(Merchant_Lookup!$D$2:$D$27,MATCH(E123,Merchant_Lookup!$C$2:$C$27,0)))</f>
        <v/>
      </c>
      <c r="G123" t="str">
        <f>IF(E123="NEEDS REVIEW","",INDEX(Merchant_Lookup!$E$2:$E$27,MATCH(E123,Merchant_Lookup!$C$2:$C$27,0)))</f>
        <v/>
      </c>
      <c r="J123" t="str">
        <f t="shared" si="2"/>
        <v>NEEDS REVIEW</v>
      </c>
      <c r="K123" t="str">
        <f t="shared" si="3"/>
        <v/>
      </c>
    </row>
    <row r="124" spans="5:11" x14ac:dyDescent="0.2">
      <c r="E124" t="str" cm="1">
        <f t="array" ref="E124">IFERROR(INDEX(Merchant_Lookup!$C$2:$C$27,MATCH(TRUE,ISNUMBER(SEARCH(Merchant_Lookup!$A$2:$A$26,UPPER(B124))),0)),"NEEDS REVIEW")</f>
        <v>NEEDS REVIEW</v>
      </c>
      <c r="F124" t="str">
        <f>IF(E124="NEEDS REVIEW","",INDEX(Merchant_Lookup!$D$2:$D$27,MATCH(E124,Merchant_Lookup!$C$2:$C$27,0)))</f>
        <v/>
      </c>
      <c r="G124" t="str">
        <f>IF(E124="NEEDS REVIEW","",INDEX(Merchant_Lookup!$E$2:$E$27,MATCH(E124,Merchant_Lookup!$C$2:$C$27,0)))</f>
        <v/>
      </c>
      <c r="J124" t="str">
        <f t="shared" si="2"/>
        <v>NEEDS REVIEW</v>
      </c>
      <c r="K124" t="str">
        <f t="shared" si="3"/>
        <v/>
      </c>
    </row>
    <row r="125" spans="5:11" x14ac:dyDescent="0.2">
      <c r="E125" t="str" cm="1">
        <f t="array" ref="E125">IFERROR(INDEX(Merchant_Lookup!$C$2:$C$27,MATCH(TRUE,ISNUMBER(SEARCH(Merchant_Lookup!$A$2:$A$26,UPPER(B125))),0)),"NEEDS REVIEW")</f>
        <v>NEEDS REVIEW</v>
      </c>
      <c r="F125" t="str">
        <f>IF(E125="NEEDS REVIEW","",INDEX(Merchant_Lookup!$D$2:$D$27,MATCH(E125,Merchant_Lookup!$C$2:$C$27,0)))</f>
        <v/>
      </c>
      <c r="G125" t="str">
        <f>IF(E125="NEEDS REVIEW","",INDEX(Merchant_Lookup!$E$2:$E$27,MATCH(E125,Merchant_Lookup!$C$2:$C$27,0)))</f>
        <v/>
      </c>
      <c r="J125" t="str">
        <f t="shared" si="2"/>
        <v>NEEDS REVIEW</v>
      </c>
      <c r="K125" t="str">
        <f t="shared" si="3"/>
        <v/>
      </c>
    </row>
    <row r="126" spans="5:11" x14ac:dyDescent="0.2">
      <c r="E126" t="str" cm="1">
        <f t="array" ref="E126">IFERROR(INDEX(Merchant_Lookup!$C$2:$C$27,MATCH(TRUE,ISNUMBER(SEARCH(Merchant_Lookup!$A$2:$A$26,UPPER(B126))),0)),"NEEDS REVIEW")</f>
        <v>NEEDS REVIEW</v>
      </c>
      <c r="F126" t="str">
        <f>IF(E126="NEEDS REVIEW","",INDEX(Merchant_Lookup!$D$2:$D$27,MATCH(E126,Merchant_Lookup!$C$2:$C$27,0)))</f>
        <v/>
      </c>
      <c r="G126" t="str">
        <f>IF(E126="NEEDS REVIEW","",INDEX(Merchant_Lookup!$E$2:$E$27,MATCH(E126,Merchant_Lookup!$C$2:$C$27,0)))</f>
        <v/>
      </c>
      <c r="J126" t="str">
        <f t="shared" si="2"/>
        <v>NEEDS REVIEW</v>
      </c>
      <c r="K126" t="str">
        <f t="shared" si="3"/>
        <v/>
      </c>
    </row>
    <row r="127" spans="5:11" x14ac:dyDescent="0.2">
      <c r="E127" t="str" cm="1">
        <f t="array" ref="E127">IFERROR(INDEX(Merchant_Lookup!$C$2:$C$27,MATCH(TRUE,ISNUMBER(SEARCH(Merchant_Lookup!$A$2:$A$26,UPPER(B127))),0)),"NEEDS REVIEW")</f>
        <v>NEEDS REVIEW</v>
      </c>
      <c r="F127" t="str">
        <f>IF(E127="NEEDS REVIEW","",INDEX(Merchant_Lookup!$D$2:$D$27,MATCH(E127,Merchant_Lookup!$C$2:$C$27,0)))</f>
        <v/>
      </c>
      <c r="G127" t="str">
        <f>IF(E127="NEEDS REVIEW","",INDEX(Merchant_Lookup!$E$2:$E$27,MATCH(E127,Merchant_Lookup!$C$2:$C$27,0)))</f>
        <v/>
      </c>
      <c r="J127" t="str">
        <f t="shared" si="2"/>
        <v>NEEDS REVIEW</v>
      </c>
      <c r="K127" t="str">
        <f t="shared" si="3"/>
        <v/>
      </c>
    </row>
    <row r="128" spans="5:11" x14ac:dyDescent="0.2">
      <c r="E128" t="str" cm="1">
        <f t="array" ref="E128">IFERROR(INDEX(Merchant_Lookup!$C$2:$C$27,MATCH(TRUE,ISNUMBER(SEARCH(Merchant_Lookup!$A$2:$A$26,UPPER(B128))),0)),"NEEDS REVIEW")</f>
        <v>NEEDS REVIEW</v>
      </c>
      <c r="F128" t="str">
        <f>IF(E128="NEEDS REVIEW","",INDEX(Merchant_Lookup!$D$2:$D$27,MATCH(E128,Merchant_Lookup!$C$2:$C$27,0)))</f>
        <v/>
      </c>
      <c r="G128" t="str">
        <f>IF(E128="NEEDS REVIEW","",INDEX(Merchant_Lookup!$E$2:$E$27,MATCH(E128,Merchant_Lookup!$C$2:$C$27,0)))</f>
        <v/>
      </c>
      <c r="J128" t="str">
        <f t="shared" si="2"/>
        <v>NEEDS REVIEW</v>
      </c>
      <c r="K128" t="str">
        <f t="shared" si="3"/>
        <v/>
      </c>
    </row>
    <row r="129" spans="5:11" x14ac:dyDescent="0.2">
      <c r="E129" t="str" cm="1">
        <f t="array" ref="E129">IFERROR(INDEX(Merchant_Lookup!$C$2:$C$27,MATCH(TRUE,ISNUMBER(SEARCH(Merchant_Lookup!$A$2:$A$26,UPPER(B129))),0)),"NEEDS REVIEW")</f>
        <v>NEEDS REVIEW</v>
      </c>
      <c r="F129" t="str">
        <f>IF(E129="NEEDS REVIEW","",INDEX(Merchant_Lookup!$D$2:$D$27,MATCH(E129,Merchant_Lookup!$C$2:$C$27,0)))</f>
        <v/>
      </c>
      <c r="G129" t="str">
        <f>IF(E129="NEEDS REVIEW","",INDEX(Merchant_Lookup!$E$2:$E$27,MATCH(E129,Merchant_Lookup!$C$2:$C$27,0)))</f>
        <v/>
      </c>
      <c r="J129" t="str">
        <f t="shared" si="2"/>
        <v>NEEDS REVIEW</v>
      </c>
      <c r="K129" t="str">
        <f t="shared" si="3"/>
        <v/>
      </c>
    </row>
    <row r="130" spans="5:11" x14ac:dyDescent="0.2">
      <c r="E130" t="str" cm="1">
        <f t="array" ref="E130">IFERROR(INDEX(Merchant_Lookup!$C$2:$C$27,MATCH(TRUE,ISNUMBER(SEARCH(Merchant_Lookup!$A$2:$A$26,UPPER(B130))),0)),"NEEDS REVIEW")</f>
        <v>NEEDS REVIEW</v>
      </c>
      <c r="F130" t="str">
        <f>IF(E130="NEEDS REVIEW","",INDEX(Merchant_Lookup!$D$2:$D$27,MATCH(E130,Merchant_Lookup!$C$2:$C$27,0)))</f>
        <v/>
      </c>
      <c r="G130" t="str">
        <f>IF(E130="NEEDS REVIEW","",INDEX(Merchant_Lookup!$E$2:$E$27,MATCH(E130,Merchant_Lookup!$C$2:$C$27,0)))</f>
        <v/>
      </c>
      <c r="J130" t="str">
        <f t="shared" si="2"/>
        <v>NEEDS REVIEW</v>
      </c>
      <c r="K130" t="str">
        <f t="shared" si="3"/>
        <v/>
      </c>
    </row>
    <row r="131" spans="5:11" x14ac:dyDescent="0.2">
      <c r="E131" t="str" cm="1">
        <f t="array" ref="E131">IFERROR(INDEX(Merchant_Lookup!$C$2:$C$27,MATCH(TRUE,ISNUMBER(SEARCH(Merchant_Lookup!$A$2:$A$26,UPPER(B131))),0)),"NEEDS REVIEW")</f>
        <v>NEEDS REVIEW</v>
      </c>
      <c r="F131" t="str">
        <f>IF(E131="NEEDS REVIEW","",INDEX(Merchant_Lookup!$D$2:$D$27,MATCH(E131,Merchant_Lookup!$C$2:$C$27,0)))</f>
        <v/>
      </c>
      <c r="G131" t="str">
        <f>IF(E131="NEEDS REVIEW","",INDEX(Merchant_Lookup!$E$2:$E$27,MATCH(E131,Merchant_Lookup!$C$2:$C$27,0)))</f>
        <v/>
      </c>
      <c r="J131" t="str">
        <f t="shared" ref="J131:J194" si="4">IF(H131&lt;&gt;"",H131,E131)</f>
        <v>NEEDS REVIEW</v>
      </c>
      <c r="K131" t="str">
        <f t="shared" ref="K131:K194" si="5">IF(I131&lt;&gt;"",I131,F131)</f>
        <v/>
      </c>
    </row>
    <row r="132" spans="5:11" x14ac:dyDescent="0.2">
      <c r="E132" t="str" cm="1">
        <f t="array" ref="E132">IFERROR(INDEX(Merchant_Lookup!$C$2:$C$27,MATCH(TRUE,ISNUMBER(SEARCH(Merchant_Lookup!$A$2:$A$26,UPPER(B132))),0)),"NEEDS REVIEW")</f>
        <v>NEEDS REVIEW</v>
      </c>
      <c r="F132" t="str">
        <f>IF(E132="NEEDS REVIEW","",INDEX(Merchant_Lookup!$D$2:$D$27,MATCH(E132,Merchant_Lookup!$C$2:$C$27,0)))</f>
        <v/>
      </c>
      <c r="G132" t="str">
        <f>IF(E132="NEEDS REVIEW","",INDEX(Merchant_Lookup!$E$2:$E$27,MATCH(E132,Merchant_Lookup!$C$2:$C$27,0)))</f>
        <v/>
      </c>
      <c r="J132" t="str">
        <f t="shared" si="4"/>
        <v>NEEDS REVIEW</v>
      </c>
      <c r="K132" t="str">
        <f t="shared" si="5"/>
        <v/>
      </c>
    </row>
    <row r="133" spans="5:11" x14ac:dyDescent="0.2">
      <c r="E133" t="str" cm="1">
        <f t="array" ref="E133">IFERROR(INDEX(Merchant_Lookup!$C$2:$C$27,MATCH(TRUE,ISNUMBER(SEARCH(Merchant_Lookup!$A$2:$A$26,UPPER(B133))),0)),"NEEDS REVIEW")</f>
        <v>NEEDS REVIEW</v>
      </c>
      <c r="F133" t="str">
        <f>IF(E133="NEEDS REVIEW","",INDEX(Merchant_Lookup!$D$2:$D$27,MATCH(E133,Merchant_Lookup!$C$2:$C$27,0)))</f>
        <v/>
      </c>
      <c r="G133" t="str">
        <f>IF(E133="NEEDS REVIEW","",INDEX(Merchant_Lookup!$E$2:$E$27,MATCH(E133,Merchant_Lookup!$C$2:$C$27,0)))</f>
        <v/>
      </c>
      <c r="J133" t="str">
        <f t="shared" si="4"/>
        <v>NEEDS REVIEW</v>
      </c>
      <c r="K133" t="str">
        <f t="shared" si="5"/>
        <v/>
      </c>
    </row>
    <row r="134" spans="5:11" x14ac:dyDescent="0.2">
      <c r="E134" t="str" cm="1">
        <f t="array" ref="E134">IFERROR(INDEX(Merchant_Lookup!$C$2:$C$27,MATCH(TRUE,ISNUMBER(SEARCH(Merchant_Lookup!$A$2:$A$26,UPPER(B134))),0)),"NEEDS REVIEW")</f>
        <v>NEEDS REVIEW</v>
      </c>
      <c r="F134" t="str">
        <f>IF(E134="NEEDS REVIEW","",INDEX(Merchant_Lookup!$D$2:$D$27,MATCH(E134,Merchant_Lookup!$C$2:$C$27,0)))</f>
        <v/>
      </c>
      <c r="G134" t="str">
        <f>IF(E134="NEEDS REVIEW","",INDEX(Merchant_Lookup!$E$2:$E$27,MATCH(E134,Merchant_Lookup!$C$2:$C$27,0)))</f>
        <v/>
      </c>
      <c r="J134" t="str">
        <f t="shared" si="4"/>
        <v>NEEDS REVIEW</v>
      </c>
      <c r="K134" t="str">
        <f t="shared" si="5"/>
        <v/>
      </c>
    </row>
    <row r="135" spans="5:11" x14ac:dyDescent="0.2">
      <c r="E135" t="str" cm="1">
        <f t="array" ref="E135">IFERROR(INDEX(Merchant_Lookup!$C$2:$C$27,MATCH(TRUE,ISNUMBER(SEARCH(Merchant_Lookup!$A$2:$A$26,UPPER(B135))),0)),"NEEDS REVIEW")</f>
        <v>NEEDS REVIEW</v>
      </c>
      <c r="F135" t="str">
        <f>IF(E135="NEEDS REVIEW","",INDEX(Merchant_Lookup!$D$2:$D$27,MATCH(E135,Merchant_Lookup!$C$2:$C$27,0)))</f>
        <v/>
      </c>
      <c r="G135" t="str">
        <f>IF(E135="NEEDS REVIEW","",INDEX(Merchant_Lookup!$E$2:$E$27,MATCH(E135,Merchant_Lookup!$C$2:$C$27,0)))</f>
        <v/>
      </c>
      <c r="J135" t="str">
        <f t="shared" si="4"/>
        <v>NEEDS REVIEW</v>
      </c>
      <c r="K135" t="str">
        <f t="shared" si="5"/>
        <v/>
      </c>
    </row>
    <row r="136" spans="5:11" x14ac:dyDescent="0.2">
      <c r="E136" t="str" cm="1">
        <f t="array" ref="E136">IFERROR(INDEX(Merchant_Lookup!$C$2:$C$27,MATCH(TRUE,ISNUMBER(SEARCH(Merchant_Lookup!$A$2:$A$26,UPPER(B136))),0)),"NEEDS REVIEW")</f>
        <v>NEEDS REVIEW</v>
      </c>
      <c r="F136" t="str">
        <f>IF(E136="NEEDS REVIEW","",INDEX(Merchant_Lookup!$D$2:$D$27,MATCH(E136,Merchant_Lookup!$C$2:$C$27,0)))</f>
        <v/>
      </c>
      <c r="G136" t="str">
        <f>IF(E136="NEEDS REVIEW","",INDEX(Merchant_Lookup!$E$2:$E$27,MATCH(E136,Merchant_Lookup!$C$2:$C$27,0)))</f>
        <v/>
      </c>
      <c r="J136" t="str">
        <f t="shared" si="4"/>
        <v>NEEDS REVIEW</v>
      </c>
      <c r="K136" t="str">
        <f t="shared" si="5"/>
        <v/>
      </c>
    </row>
    <row r="137" spans="5:11" x14ac:dyDescent="0.2">
      <c r="E137" t="str" cm="1">
        <f t="array" ref="E137">IFERROR(INDEX(Merchant_Lookup!$C$2:$C$27,MATCH(TRUE,ISNUMBER(SEARCH(Merchant_Lookup!$A$2:$A$26,UPPER(B137))),0)),"NEEDS REVIEW")</f>
        <v>NEEDS REVIEW</v>
      </c>
      <c r="F137" t="str">
        <f>IF(E137="NEEDS REVIEW","",INDEX(Merchant_Lookup!$D$2:$D$27,MATCH(E137,Merchant_Lookup!$C$2:$C$27,0)))</f>
        <v/>
      </c>
      <c r="G137" t="str">
        <f>IF(E137="NEEDS REVIEW","",INDEX(Merchant_Lookup!$E$2:$E$27,MATCH(E137,Merchant_Lookup!$C$2:$C$27,0)))</f>
        <v/>
      </c>
      <c r="J137" t="str">
        <f t="shared" si="4"/>
        <v>NEEDS REVIEW</v>
      </c>
      <c r="K137" t="str">
        <f t="shared" si="5"/>
        <v/>
      </c>
    </row>
    <row r="138" spans="5:11" x14ac:dyDescent="0.2">
      <c r="E138" t="str" cm="1">
        <f t="array" ref="E138">IFERROR(INDEX(Merchant_Lookup!$C$2:$C$27,MATCH(TRUE,ISNUMBER(SEARCH(Merchant_Lookup!$A$2:$A$26,UPPER(B138))),0)),"NEEDS REVIEW")</f>
        <v>NEEDS REVIEW</v>
      </c>
      <c r="F138" t="str">
        <f>IF(E138="NEEDS REVIEW","",INDEX(Merchant_Lookup!$D$2:$D$27,MATCH(E138,Merchant_Lookup!$C$2:$C$27,0)))</f>
        <v/>
      </c>
      <c r="G138" t="str">
        <f>IF(E138="NEEDS REVIEW","",INDEX(Merchant_Lookup!$E$2:$E$27,MATCH(E138,Merchant_Lookup!$C$2:$C$27,0)))</f>
        <v/>
      </c>
      <c r="J138" t="str">
        <f t="shared" si="4"/>
        <v>NEEDS REVIEW</v>
      </c>
      <c r="K138" t="str">
        <f t="shared" si="5"/>
        <v/>
      </c>
    </row>
    <row r="139" spans="5:11" x14ac:dyDescent="0.2">
      <c r="E139" t="str" cm="1">
        <f t="array" ref="E139">IFERROR(INDEX(Merchant_Lookup!$C$2:$C$27,MATCH(TRUE,ISNUMBER(SEARCH(Merchant_Lookup!$A$2:$A$26,UPPER(B139))),0)),"NEEDS REVIEW")</f>
        <v>NEEDS REVIEW</v>
      </c>
      <c r="F139" t="str">
        <f>IF(E139="NEEDS REVIEW","",INDEX(Merchant_Lookup!$D$2:$D$27,MATCH(E139,Merchant_Lookup!$C$2:$C$27,0)))</f>
        <v/>
      </c>
      <c r="G139" t="str">
        <f>IF(E139="NEEDS REVIEW","",INDEX(Merchant_Lookup!$E$2:$E$27,MATCH(E139,Merchant_Lookup!$C$2:$C$27,0)))</f>
        <v/>
      </c>
      <c r="J139" t="str">
        <f t="shared" si="4"/>
        <v>NEEDS REVIEW</v>
      </c>
      <c r="K139" t="str">
        <f t="shared" si="5"/>
        <v/>
      </c>
    </row>
    <row r="140" spans="5:11" x14ac:dyDescent="0.2">
      <c r="E140" t="str" cm="1">
        <f t="array" ref="E140">IFERROR(INDEX(Merchant_Lookup!$C$2:$C$27,MATCH(TRUE,ISNUMBER(SEARCH(Merchant_Lookup!$A$2:$A$26,UPPER(B140))),0)),"NEEDS REVIEW")</f>
        <v>NEEDS REVIEW</v>
      </c>
      <c r="F140" t="str">
        <f>IF(E140="NEEDS REVIEW","",INDEX(Merchant_Lookup!$D$2:$D$27,MATCH(E140,Merchant_Lookup!$C$2:$C$27,0)))</f>
        <v/>
      </c>
      <c r="G140" t="str">
        <f>IF(E140="NEEDS REVIEW","",INDEX(Merchant_Lookup!$E$2:$E$27,MATCH(E140,Merchant_Lookup!$C$2:$C$27,0)))</f>
        <v/>
      </c>
      <c r="J140" t="str">
        <f t="shared" si="4"/>
        <v>NEEDS REVIEW</v>
      </c>
      <c r="K140" t="str">
        <f t="shared" si="5"/>
        <v/>
      </c>
    </row>
    <row r="141" spans="5:11" x14ac:dyDescent="0.2">
      <c r="E141" t="str" cm="1">
        <f t="array" ref="E141">IFERROR(INDEX(Merchant_Lookup!$C$2:$C$27,MATCH(TRUE,ISNUMBER(SEARCH(Merchant_Lookup!$A$2:$A$26,UPPER(B141))),0)),"NEEDS REVIEW")</f>
        <v>NEEDS REVIEW</v>
      </c>
      <c r="F141" t="str">
        <f>IF(E141="NEEDS REVIEW","",INDEX(Merchant_Lookup!$D$2:$D$27,MATCH(E141,Merchant_Lookup!$C$2:$C$27,0)))</f>
        <v/>
      </c>
      <c r="G141" t="str">
        <f>IF(E141="NEEDS REVIEW","",INDEX(Merchant_Lookup!$E$2:$E$27,MATCH(E141,Merchant_Lookup!$C$2:$C$27,0)))</f>
        <v/>
      </c>
      <c r="J141" t="str">
        <f t="shared" si="4"/>
        <v>NEEDS REVIEW</v>
      </c>
      <c r="K141" t="str">
        <f t="shared" si="5"/>
        <v/>
      </c>
    </row>
    <row r="142" spans="5:11" x14ac:dyDescent="0.2">
      <c r="E142" t="str" cm="1">
        <f t="array" ref="E142">IFERROR(INDEX(Merchant_Lookup!$C$2:$C$27,MATCH(TRUE,ISNUMBER(SEARCH(Merchant_Lookup!$A$2:$A$26,UPPER(B142))),0)),"NEEDS REVIEW")</f>
        <v>NEEDS REVIEW</v>
      </c>
      <c r="F142" t="str">
        <f>IF(E142="NEEDS REVIEW","",INDEX(Merchant_Lookup!$D$2:$D$27,MATCH(E142,Merchant_Lookup!$C$2:$C$27,0)))</f>
        <v/>
      </c>
      <c r="G142" t="str">
        <f>IF(E142="NEEDS REVIEW","",INDEX(Merchant_Lookup!$E$2:$E$27,MATCH(E142,Merchant_Lookup!$C$2:$C$27,0)))</f>
        <v/>
      </c>
      <c r="J142" t="str">
        <f t="shared" si="4"/>
        <v>NEEDS REVIEW</v>
      </c>
      <c r="K142" t="str">
        <f t="shared" si="5"/>
        <v/>
      </c>
    </row>
    <row r="143" spans="5:11" x14ac:dyDescent="0.2">
      <c r="E143" t="str" cm="1">
        <f t="array" ref="E143">IFERROR(INDEX(Merchant_Lookup!$C$2:$C$27,MATCH(TRUE,ISNUMBER(SEARCH(Merchant_Lookup!$A$2:$A$26,UPPER(B143))),0)),"NEEDS REVIEW")</f>
        <v>NEEDS REVIEW</v>
      </c>
      <c r="F143" t="str">
        <f>IF(E143="NEEDS REVIEW","",INDEX(Merchant_Lookup!$D$2:$D$27,MATCH(E143,Merchant_Lookup!$C$2:$C$27,0)))</f>
        <v/>
      </c>
      <c r="G143" t="str">
        <f>IF(E143="NEEDS REVIEW","",INDEX(Merchant_Lookup!$E$2:$E$27,MATCH(E143,Merchant_Lookup!$C$2:$C$27,0)))</f>
        <v/>
      </c>
      <c r="J143" t="str">
        <f t="shared" si="4"/>
        <v>NEEDS REVIEW</v>
      </c>
      <c r="K143" t="str">
        <f t="shared" si="5"/>
        <v/>
      </c>
    </row>
    <row r="144" spans="5:11" x14ac:dyDescent="0.2">
      <c r="E144" t="str" cm="1">
        <f t="array" ref="E144">IFERROR(INDEX(Merchant_Lookup!$C$2:$C$27,MATCH(TRUE,ISNUMBER(SEARCH(Merchant_Lookup!$A$2:$A$26,UPPER(B144))),0)),"NEEDS REVIEW")</f>
        <v>NEEDS REVIEW</v>
      </c>
      <c r="F144" t="str">
        <f>IF(E144="NEEDS REVIEW","",INDEX(Merchant_Lookup!$D$2:$D$27,MATCH(E144,Merchant_Lookup!$C$2:$C$27,0)))</f>
        <v/>
      </c>
      <c r="G144" t="str">
        <f>IF(E144="NEEDS REVIEW","",INDEX(Merchant_Lookup!$E$2:$E$27,MATCH(E144,Merchant_Lookup!$C$2:$C$27,0)))</f>
        <v/>
      </c>
      <c r="J144" t="str">
        <f t="shared" si="4"/>
        <v>NEEDS REVIEW</v>
      </c>
      <c r="K144" t="str">
        <f t="shared" si="5"/>
        <v/>
      </c>
    </row>
    <row r="145" spans="5:11" x14ac:dyDescent="0.2">
      <c r="E145" t="str" cm="1">
        <f t="array" ref="E145">IFERROR(INDEX(Merchant_Lookup!$C$2:$C$27,MATCH(TRUE,ISNUMBER(SEARCH(Merchant_Lookup!$A$2:$A$26,UPPER(B145))),0)),"NEEDS REVIEW")</f>
        <v>NEEDS REVIEW</v>
      </c>
      <c r="F145" t="str">
        <f>IF(E145="NEEDS REVIEW","",INDEX(Merchant_Lookup!$D$2:$D$27,MATCH(E145,Merchant_Lookup!$C$2:$C$27,0)))</f>
        <v/>
      </c>
      <c r="G145" t="str">
        <f>IF(E145="NEEDS REVIEW","",INDEX(Merchant_Lookup!$E$2:$E$27,MATCH(E145,Merchant_Lookup!$C$2:$C$27,0)))</f>
        <v/>
      </c>
      <c r="J145" t="str">
        <f t="shared" si="4"/>
        <v>NEEDS REVIEW</v>
      </c>
      <c r="K145" t="str">
        <f t="shared" si="5"/>
        <v/>
      </c>
    </row>
    <row r="146" spans="5:11" x14ac:dyDescent="0.2">
      <c r="E146" t="str" cm="1">
        <f t="array" ref="E146">IFERROR(INDEX(Merchant_Lookup!$C$2:$C$27,MATCH(TRUE,ISNUMBER(SEARCH(Merchant_Lookup!$A$2:$A$26,UPPER(B146))),0)),"NEEDS REVIEW")</f>
        <v>NEEDS REVIEW</v>
      </c>
      <c r="F146" t="str">
        <f>IF(E146="NEEDS REVIEW","",INDEX(Merchant_Lookup!$D$2:$D$27,MATCH(E146,Merchant_Lookup!$C$2:$C$27,0)))</f>
        <v/>
      </c>
      <c r="G146" t="str">
        <f>IF(E146="NEEDS REVIEW","",INDEX(Merchant_Lookup!$E$2:$E$27,MATCH(E146,Merchant_Lookup!$C$2:$C$27,0)))</f>
        <v/>
      </c>
      <c r="J146" t="str">
        <f t="shared" si="4"/>
        <v>NEEDS REVIEW</v>
      </c>
      <c r="K146" t="str">
        <f t="shared" si="5"/>
        <v/>
      </c>
    </row>
    <row r="147" spans="5:11" x14ac:dyDescent="0.2">
      <c r="E147" t="str" cm="1">
        <f t="array" ref="E147">IFERROR(INDEX(Merchant_Lookup!$C$2:$C$27,MATCH(TRUE,ISNUMBER(SEARCH(Merchant_Lookup!$A$2:$A$26,UPPER(B147))),0)),"NEEDS REVIEW")</f>
        <v>NEEDS REVIEW</v>
      </c>
      <c r="F147" t="str">
        <f>IF(E147="NEEDS REVIEW","",INDEX(Merchant_Lookup!$D$2:$D$27,MATCH(E147,Merchant_Lookup!$C$2:$C$27,0)))</f>
        <v/>
      </c>
      <c r="G147" t="str">
        <f>IF(E147="NEEDS REVIEW","",INDEX(Merchant_Lookup!$E$2:$E$27,MATCH(E147,Merchant_Lookup!$C$2:$C$27,0)))</f>
        <v/>
      </c>
      <c r="J147" t="str">
        <f t="shared" si="4"/>
        <v>NEEDS REVIEW</v>
      </c>
      <c r="K147" t="str">
        <f t="shared" si="5"/>
        <v/>
      </c>
    </row>
    <row r="148" spans="5:11" x14ac:dyDescent="0.2">
      <c r="E148" t="str" cm="1">
        <f t="array" ref="E148">IFERROR(INDEX(Merchant_Lookup!$C$2:$C$27,MATCH(TRUE,ISNUMBER(SEARCH(Merchant_Lookup!$A$2:$A$26,UPPER(B148))),0)),"NEEDS REVIEW")</f>
        <v>NEEDS REVIEW</v>
      </c>
      <c r="F148" t="str">
        <f>IF(E148="NEEDS REVIEW","",INDEX(Merchant_Lookup!$D$2:$D$27,MATCH(E148,Merchant_Lookup!$C$2:$C$27,0)))</f>
        <v/>
      </c>
      <c r="G148" t="str">
        <f>IF(E148="NEEDS REVIEW","",INDEX(Merchant_Lookup!$E$2:$E$27,MATCH(E148,Merchant_Lookup!$C$2:$C$27,0)))</f>
        <v/>
      </c>
      <c r="J148" t="str">
        <f t="shared" si="4"/>
        <v>NEEDS REVIEW</v>
      </c>
      <c r="K148" t="str">
        <f t="shared" si="5"/>
        <v/>
      </c>
    </row>
    <row r="149" spans="5:11" x14ac:dyDescent="0.2">
      <c r="E149" t="str" cm="1">
        <f t="array" ref="E149">IFERROR(INDEX(Merchant_Lookup!$C$2:$C$27,MATCH(TRUE,ISNUMBER(SEARCH(Merchant_Lookup!$A$2:$A$26,UPPER(B149))),0)),"NEEDS REVIEW")</f>
        <v>NEEDS REVIEW</v>
      </c>
      <c r="F149" t="str">
        <f>IF(E149="NEEDS REVIEW","",INDEX(Merchant_Lookup!$D$2:$D$27,MATCH(E149,Merchant_Lookup!$C$2:$C$27,0)))</f>
        <v/>
      </c>
      <c r="G149" t="str">
        <f>IF(E149="NEEDS REVIEW","",INDEX(Merchant_Lookup!$E$2:$E$27,MATCH(E149,Merchant_Lookup!$C$2:$C$27,0)))</f>
        <v/>
      </c>
      <c r="J149" t="str">
        <f t="shared" si="4"/>
        <v>NEEDS REVIEW</v>
      </c>
      <c r="K149" t="str">
        <f t="shared" si="5"/>
        <v/>
      </c>
    </row>
    <row r="150" spans="5:11" x14ac:dyDescent="0.2">
      <c r="E150" t="str" cm="1">
        <f t="array" ref="E150">IFERROR(INDEX(Merchant_Lookup!$C$2:$C$27,MATCH(TRUE,ISNUMBER(SEARCH(Merchant_Lookup!$A$2:$A$26,UPPER(B150))),0)),"NEEDS REVIEW")</f>
        <v>NEEDS REVIEW</v>
      </c>
      <c r="F150" t="str">
        <f>IF(E150="NEEDS REVIEW","",INDEX(Merchant_Lookup!$D$2:$D$27,MATCH(E150,Merchant_Lookup!$C$2:$C$27,0)))</f>
        <v/>
      </c>
      <c r="G150" t="str">
        <f>IF(E150="NEEDS REVIEW","",INDEX(Merchant_Lookup!$E$2:$E$27,MATCH(E150,Merchant_Lookup!$C$2:$C$27,0)))</f>
        <v/>
      </c>
      <c r="J150" t="str">
        <f t="shared" si="4"/>
        <v>NEEDS REVIEW</v>
      </c>
      <c r="K150" t="str">
        <f t="shared" si="5"/>
        <v/>
      </c>
    </row>
    <row r="151" spans="5:11" x14ac:dyDescent="0.2">
      <c r="E151" t="str" cm="1">
        <f t="array" ref="E151">IFERROR(INDEX(Merchant_Lookup!$C$2:$C$27,MATCH(TRUE,ISNUMBER(SEARCH(Merchant_Lookup!$A$2:$A$26,UPPER(B151))),0)),"NEEDS REVIEW")</f>
        <v>NEEDS REVIEW</v>
      </c>
      <c r="F151" t="str">
        <f>IF(E151="NEEDS REVIEW","",INDEX(Merchant_Lookup!$D$2:$D$27,MATCH(E151,Merchant_Lookup!$C$2:$C$27,0)))</f>
        <v/>
      </c>
      <c r="G151" t="str">
        <f>IF(E151="NEEDS REVIEW","",INDEX(Merchant_Lookup!$E$2:$E$27,MATCH(E151,Merchant_Lookup!$C$2:$C$27,0)))</f>
        <v/>
      </c>
      <c r="J151" t="str">
        <f t="shared" si="4"/>
        <v>NEEDS REVIEW</v>
      </c>
      <c r="K151" t="str">
        <f t="shared" si="5"/>
        <v/>
      </c>
    </row>
    <row r="152" spans="5:11" x14ac:dyDescent="0.2">
      <c r="E152" t="str" cm="1">
        <f t="array" ref="E152">IFERROR(INDEX(Merchant_Lookup!$C$2:$C$27,MATCH(TRUE,ISNUMBER(SEARCH(Merchant_Lookup!$A$2:$A$26,UPPER(B152))),0)),"NEEDS REVIEW")</f>
        <v>NEEDS REVIEW</v>
      </c>
      <c r="F152" t="str">
        <f>IF(E152="NEEDS REVIEW","",INDEX(Merchant_Lookup!$D$2:$D$27,MATCH(E152,Merchant_Lookup!$C$2:$C$27,0)))</f>
        <v/>
      </c>
      <c r="G152" t="str">
        <f>IF(E152="NEEDS REVIEW","",INDEX(Merchant_Lookup!$E$2:$E$27,MATCH(E152,Merchant_Lookup!$C$2:$C$27,0)))</f>
        <v/>
      </c>
      <c r="J152" t="str">
        <f t="shared" si="4"/>
        <v>NEEDS REVIEW</v>
      </c>
      <c r="K152" t="str">
        <f t="shared" si="5"/>
        <v/>
      </c>
    </row>
    <row r="153" spans="5:11" x14ac:dyDescent="0.2">
      <c r="E153" t="str" cm="1">
        <f t="array" ref="E153">IFERROR(INDEX(Merchant_Lookup!$C$2:$C$27,MATCH(TRUE,ISNUMBER(SEARCH(Merchant_Lookup!$A$2:$A$26,UPPER(B153))),0)),"NEEDS REVIEW")</f>
        <v>NEEDS REVIEW</v>
      </c>
      <c r="F153" t="str">
        <f>IF(E153="NEEDS REVIEW","",INDEX(Merchant_Lookup!$D$2:$D$27,MATCH(E153,Merchant_Lookup!$C$2:$C$27,0)))</f>
        <v/>
      </c>
      <c r="G153" t="str">
        <f>IF(E153="NEEDS REVIEW","",INDEX(Merchant_Lookup!$E$2:$E$27,MATCH(E153,Merchant_Lookup!$C$2:$C$27,0)))</f>
        <v/>
      </c>
      <c r="J153" t="str">
        <f t="shared" si="4"/>
        <v>NEEDS REVIEW</v>
      </c>
      <c r="K153" t="str">
        <f t="shared" si="5"/>
        <v/>
      </c>
    </row>
    <row r="154" spans="5:11" x14ac:dyDescent="0.2">
      <c r="E154" t="str" cm="1">
        <f t="array" ref="E154">IFERROR(INDEX(Merchant_Lookup!$C$2:$C$27,MATCH(TRUE,ISNUMBER(SEARCH(Merchant_Lookup!$A$2:$A$26,UPPER(B154))),0)),"NEEDS REVIEW")</f>
        <v>NEEDS REVIEW</v>
      </c>
      <c r="F154" t="str">
        <f>IF(E154="NEEDS REVIEW","",INDEX(Merchant_Lookup!$D$2:$D$27,MATCH(E154,Merchant_Lookup!$C$2:$C$27,0)))</f>
        <v/>
      </c>
      <c r="G154" t="str">
        <f>IF(E154="NEEDS REVIEW","",INDEX(Merchant_Lookup!$E$2:$E$27,MATCH(E154,Merchant_Lookup!$C$2:$C$27,0)))</f>
        <v/>
      </c>
      <c r="J154" t="str">
        <f t="shared" si="4"/>
        <v>NEEDS REVIEW</v>
      </c>
      <c r="K154" t="str">
        <f t="shared" si="5"/>
        <v/>
      </c>
    </row>
    <row r="155" spans="5:11" x14ac:dyDescent="0.2">
      <c r="E155" t="str" cm="1">
        <f t="array" ref="E155">IFERROR(INDEX(Merchant_Lookup!$C$2:$C$27,MATCH(TRUE,ISNUMBER(SEARCH(Merchant_Lookup!$A$2:$A$26,UPPER(B155))),0)),"NEEDS REVIEW")</f>
        <v>NEEDS REVIEW</v>
      </c>
      <c r="F155" t="str">
        <f>IF(E155="NEEDS REVIEW","",INDEX(Merchant_Lookup!$D$2:$D$27,MATCH(E155,Merchant_Lookup!$C$2:$C$27,0)))</f>
        <v/>
      </c>
      <c r="G155" t="str">
        <f>IF(E155="NEEDS REVIEW","",INDEX(Merchant_Lookup!$E$2:$E$27,MATCH(E155,Merchant_Lookup!$C$2:$C$27,0)))</f>
        <v/>
      </c>
      <c r="J155" t="str">
        <f t="shared" si="4"/>
        <v>NEEDS REVIEW</v>
      </c>
      <c r="K155" t="str">
        <f t="shared" si="5"/>
        <v/>
      </c>
    </row>
    <row r="156" spans="5:11" x14ac:dyDescent="0.2">
      <c r="E156" t="str" cm="1">
        <f t="array" ref="E156">IFERROR(INDEX(Merchant_Lookup!$C$2:$C$27,MATCH(TRUE,ISNUMBER(SEARCH(Merchant_Lookup!$A$2:$A$26,UPPER(B156))),0)),"NEEDS REVIEW")</f>
        <v>NEEDS REVIEW</v>
      </c>
      <c r="F156" t="str">
        <f>IF(E156="NEEDS REVIEW","",INDEX(Merchant_Lookup!$D$2:$D$27,MATCH(E156,Merchant_Lookup!$C$2:$C$27,0)))</f>
        <v/>
      </c>
      <c r="G156" t="str">
        <f>IF(E156="NEEDS REVIEW","",INDEX(Merchant_Lookup!$E$2:$E$27,MATCH(E156,Merchant_Lookup!$C$2:$C$27,0)))</f>
        <v/>
      </c>
      <c r="J156" t="str">
        <f t="shared" si="4"/>
        <v>NEEDS REVIEW</v>
      </c>
      <c r="K156" t="str">
        <f t="shared" si="5"/>
        <v/>
      </c>
    </row>
    <row r="157" spans="5:11" x14ac:dyDescent="0.2">
      <c r="E157" t="str" cm="1">
        <f t="array" ref="E157">IFERROR(INDEX(Merchant_Lookup!$C$2:$C$27,MATCH(TRUE,ISNUMBER(SEARCH(Merchant_Lookup!$A$2:$A$26,UPPER(B157))),0)),"NEEDS REVIEW")</f>
        <v>NEEDS REVIEW</v>
      </c>
      <c r="F157" t="str">
        <f>IF(E157="NEEDS REVIEW","",INDEX(Merchant_Lookup!$D$2:$D$27,MATCH(E157,Merchant_Lookup!$C$2:$C$27,0)))</f>
        <v/>
      </c>
      <c r="G157" t="str">
        <f>IF(E157="NEEDS REVIEW","",INDEX(Merchant_Lookup!$E$2:$E$27,MATCH(E157,Merchant_Lookup!$C$2:$C$27,0)))</f>
        <v/>
      </c>
      <c r="J157" t="str">
        <f t="shared" si="4"/>
        <v>NEEDS REVIEW</v>
      </c>
      <c r="K157" t="str">
        <f t="shared" si="5"/>
        <v/>
      </c>
    </row>
    <row r="158" spans="5:11" x14ac:dyDescent="0.2">
      <c r="E158" t="str" cm="1">
        <f t="array" ref="E158">IFERROR(INDEX(Merchant_Lookup!$C$2:$C$27,MATCH(TRUE,ISNUMBER(SEARCH(Merchant_Lookup!$A$2:$A$26,UPPER(B158))),0)),"NEEDS REVIEW")</f>
        <v>NEEDS REVIEW</v>
      </c>
      <c r="F158" t="str">
        <f>IF(E158="NEEDS REVIEW","",INDEX(Merchant_Lookup!$D$2:$D$27,MATCH(E158,Merchant_Lookup!$C$2:$C$27,0)))</f>
        <v/>
      </c>
      <c r="G158" t="str">
        <f>IF(E158="NEEDS REVIEW","",INDEX(Merchant_Lookup!$E$2:$E$27,MATCH(E158,Merchant_Lookup!$C$2:$C$27,0)))</f>
        <v/>
      </c>
      <c r="J158" t="str">
        <f t="shared" si="4"/>
        <v>NEEDS REVIEW</v>
      </c>
      <c r="K158" t="str">
        <f t="shared" si="5"/>
        <v/>
      </c>
    </row>
    <row r="159" spans="5:11" x14ac:dyDescent="0.2">
      <c r="E159" t="str" cm="1">
        <f t="array" ref="E159">IFERROR(INDEX(Merchant_Lookup!$C$2:$C$27,MATCH(TRUE,ISNUMBER(SEARCH(Merchant_Lookup!$A$2:$A$26,UPPER(B159))),0)),"NEEDS REVIEW")</f>
        <v>NEEDS REVIEW</v>
      </c>
      <c r="F159" t="str">
        <f>IF(E159="NEEDS REVIEW","",INDEX(Merchant_Lookup!$D$2:$D$27,MATCH(E159,Merchant_Lookup!$C$2:$C$27,0)))</f>
        <v/>
      </c>
      <c r="G159" t="str">
        <f>IF(E159="NEEDS REVIEW","",INDEX(Merchant_Lookup!$E$2:$E$27,MATCH(E159,Merchant_Lookup!$C$2:$C$27,0)))</f>
        <v/>
      </c>
      <c r="J159" t="str">
        <f t="shared" si="4"/>
        <v>NEEDS REVIEW</v>
      </c>
      <c r="K159" t="str">
        <f t="shared" si="5"/>
        <v/>
      </c>
    </row>
    <row r="160" spans="5:11" x14ac:dyDescent="0.2">
      <c r="E160" t="str" cm="1">
        <f t="array" ref="E160">IFERROR(INDEX(Merchant_Lookup!$C$2:$C$27,MATCH(TRUE,ISNUMBER(SEARCH(Merchant_Lookup!$A$2:$A$26,UPPER(B160))),0)),"NEEDS REVIEW")</f>
        <v>NEEDS REVIEW</v>
      </c>
      <c r="F160" t="str">
        <f>IF(E160="NEEDS REVIEW","",INDEX(Merchant_Lookup!$D$2:$D$27,MATCH(E160,Merchant_Lookup!$C$2:$C$27,0)))</f>
        <v/>
      </c>
      <c r="G160" t="str">
        <f>IF(E160="NEEDS REVIEW","",INDEX(Merchant_Lookup!$E$2:$E$27,MATCH(E160,Merchant_Lookup!$C$2:$C$27,0)))</f>
        <v/>
      </c>
      <c r="J160" t="str">
        <f t="shared" si="4"/>
        <v>NEEDS REVIEW</v>
      </c>
      <c r="K160" t="str">
        <f t="shared" si="5"/>
        <v/>
      </c>
    </row>
    <row r="161" spans="5:11" x14ac:dyDescent="0.2">
      <c r="E161" t="str" cm="1">
        <f t="array" ref="E161">IFERROR(INDEX(Merchant_Lookup!$C$2:$C$27,MATCH(TRUE,ISNUMBER(SEARCH(Merchant_Lookup!$A$2:$A$26,UPPER(B161))),0)),"NEEDS REVIEW")</f>
        <v>NEEDS REVIEW</v>
      </c>
      <c r="F161" t="str">
        <f>IF(E161="NEEDS REVIEW","",INDEX(Merchant_Lookup!$D$2:$D$27,MATCH(E161,Merchant_Lookup!$C$2:$C$27,0)))</f>
        <v/>
      </c>
      <c r="G161" t="str">
        <f>IF(E161="NEEDS REVIEW","",INDEX(Merchant_Lookup!$E$2:$E$27,MATCH(E161,Merchant_Lookup!$C$2:$C$27,0)))</f>
        <v/>
      </c>
      <c r="J161" t="str">
        <f t="shared" si="4"/>
        <v>NEEDS REVIEW</v>
      </c>
      <c r="K161" t="str">
        <f t="shared" si="5"/>
        <v/>
      </c>
    </row>
    <row r="162" spans="5:11" x14ac:dyDescent="0.2">
      <c r="E162" t="str" cm="1">
        <f t="array" ref="E162">IFERROR(INDEX(Merchant_Lookup!$C$2:$C$27,MATCH(TRUE,ISNUMBER(SEARCH(Merchant_Lookup!$A$2:$A$26,UPPER(B162))),0)),"NEEDS REVIEW")</f>
        <v>NEEDS REVIEW</v>
      </c>
      <c r="F162" t="str">
        <f>IF(E162="NEEDS REVIEW","",INDEX(Merchant_Lookup!$D$2:$D$27,MATCH(E162,Merchant_Lookup!$C$2:$C$27,0)))</f>
        <v/>
      </c>
      <c r="G162" t="str">
        <f>IF(E162="NEEDS REVIEW","",INDEX(Merchant_Lookup!$E$2:$E$27,MATCH(E162,Merchant_Lookup!$C$2:$C$27,0)))</f>
        <v/>
      </c>
      <c r="J162" t="str">
        <f t="shared" si="4"/>
        <v>NEEDS REVIEW</v>
      </c>
      <c r="K162" t="str">
        <f t="shared" si="5"/>
        <v/>
      </c>
    </row>
    <row r="163" spans="5:11" x14ac:dyDescent="0.2">
      <c r="E163" t="str" cm="1">
        <f t="array" ref="E163">IFERROR(INDEX(Merchant_Lookup!$C$2:$C$27,MATCH(TRUE,ISNUMBER(SEARCH(Merchant_Lookup!$A$2:$A$26,UPPER(B163))),0)),"NEEDS REVIEW")</f>
        <v>NEEDS REVIEW</v>
      </c>
      <c r="F163" t="str">
        <f>IF(E163="NEEDS REVIEW","",INDEX(Merchant_Lookup!$D$2:$D$27,MATCH(E163,Merchant_Lookup!$C$2:$C$27,0)))</f>
        <v/>
      </c>
      <c r="G163" t="str">
        <f>IF(E163="NEEDS REVIEW","",INDEX(Merchant_Lookup!$E$2:$E$27,MATCH(E163,Merchant_Lookup!$C$2:$C$27,0)))</f>
        <v/>
      </c>
      <c r="J163" t="str">
        <f t="shared" si="4"/>
        <v>NEEDS REVIEW</v>
      </c>
      <c r="K163" t="str">
        <f t="shared" si="5"/>
        <v/>
      </c>
    </row>
    <row r="164" spans="5:11" x14ac:dyDescent="0.2">
      <c r="E164" t="str" cm="1">
        <f t="array" ref="E164">IFERROR(INDEX(Merchant_Lookup!$C$2:$C$27,MATCH(TRUE,ISNUMBER(SEARCH(Merchant_Lookup!$A$2:$A$26,UPPER(B164))),0)),"NEEDS REVIEW")</f>
        <v>NEEDS REVIEW</v>
      </c>
      <c r="F164" t="str">
        <f>IF(E164="NEEDS REVIEW","",INDEX(Merchant_Lookup!$D$2:$D$27,MATCH(E164,Merchant_Lookup!$C$2:$C$27,0)))</f>
        <v/>
      </c>
      <c r="G164" t="str">
        <f>IF(E164="NEEDS REVIEW","",INDEX(Merchant_Lookup!$E$2:$E$27,MATCH(E164,Merchant_Lookup!$C$2:$C$27,0)))</f>
        <v/>
      </c>
      <c r="J164" t="str">
        <f t="shared" si="4"/>
        <v>NEEDS REVIEW</v>
      </c>
      <c r="K164" t="str">
        <f t="shared" si="5"/>
        <v/>
      </c>
    </row>
    <row r="165" spans="5:11" x14ac:dyDescent="0.2">
      <c r="E165" t="str" cm="1">
        <f t="array" ref="E165">IFERROR(INDEX(Merchant_Lookup!$C$2:$C$27,MATCH(TRUE,ISNUMBER(SEARCH(Merchant_Lookup!$A$2:$A$26,UPPER(B165))),0)),"NEEDS REVIEW")</f>
        <v>NEEDS REVIEW</v>
      </c>
      <c r="F165" t="str">
        <f>IF(E165="NEEDS REVIEW","",INDEX(Merchant_Lookup!$D$2:$D$27,MATCH(E165,Merchant_Lookup!$C$2:$C$27,0)))</f>
        <v/>
      </c>
      <c r="G165" t="str">
        <f>IF(E165="NEEDS REVIEW","",INDEX(Merchant_Lookup!$E$2:$E$27,MATCH(E165,Merchant_Lookup!$C$2:$C$27,0)))</f>
        <v/>
      </c>
      <c r="J165" t="str">
        <f t="shared" si="4"/>
        <v>NEEDS REVIEW</v>
      </c>
      <c r="K165" t="str">
        <f t="shared" si="5"/>
        <v/>
      </c>
    </row>
    <row r="166" spans="5:11" x14ac:dyDescent="0.2">
      <c r="E166" t="str" cm="1">
        <f t="array" ref="E166">IFERROR(INDEX(Merchant_Lookup!$C$2:$C$27,MATCH(TRUE,ISNUMBER(SEARCH(Merchant_Lookup!$A$2:$A$26,UPPER(B166))),0)),"NEEDS REVIEW")</f>
        <v>NEEDS REVIEW</v>
      </c>
      <c r="F166" t="str">
        <f>IF(E166="NEEDS REVIEW","",INDEX(Merchant_Lookup!$D$2:$D$27,MATCH(E166,Merchant_Lookup!$C$2:$C$27,0)))</f>
        <v/>
      </c>
      <c r="G166" t="str">
        <f>IF(E166="NEEDS REVIEW","",INDEX(Merchant_Lookup!$E$2:$E$27,MATCH(E166,Merchant_Lookup!$C$2:$C$27,0)))</f>
        <v/>
      </c>
      <c r="J166" t="str">
        <f t="shared" si="4"/>
        <v>NEEDS REVIEW</v>
      </c>
      <c r="K166" t="str">
        <f t="shared" si="5"/>
        <v/>
      </c>
    </row>
    <row r="167" spans="5:11" x14ac:dyDescent="0.2">
      <c r="E167" t="str" cm="1">
        <f t="array" ref="E167">IFERROR(INDEX(Merchant_Lookup!$C$2:$C$27,MATCH(TRUE,ISNUMBER(SEARCH(Merchant_Lookup!$A$2:$A$26,UPPER(B167))),0)),"NEEDS REVIEW")</f>
        <v>NEEDS REVIEW</v>
      </c>
      <c r="F167" t="str">
        <f>IF(E167="NEEDS REVIEW","",INDEX(Merchant_Lookup!$D$2:$D$27,MATCH(E167,Merchant_Lookup!$C$2:$C$27,0)))</f>
        <v/>
      </c>
      <c r="G167" t="str">
        <f>IF(E167="NEEDS REVIEW","",INDEX(Merchant_Lookup!$E$2:$E$27,MATCH(E167,Merchant_Lookup!$C$2:$C$27,0)))</f>
        <v/>
      </c>
      <c r="J167" t="str">
        <f t="shared" si="4"/>
        <v>NEEDS REVIEW</v>
      </c>
      <c r="K167" t="str">
        <f t="shared" si="5"/>
        <v/>
      </c>
    </row>
    <row r="168" spans="5:11" x14ac:dyDescent="0.2">
      <c r="E168" t="str" cm="1">
        <f t="array" ref="E168">IFERROR(INDEX(Merchant_Lookup!$C$2:$C$27,MATCH(TRUE,ISNUMBER(SEARCH(Merchant_Lookup!$A$2:$A$26,UPPER(B168))),0)),"NEEDS REVIEW")</f>
        <v>NEEDS REVIEW</v>
      </c>
      <c r="F168" t="str">
        <f>IF(E168="NEEDS REVIEW","",INDEX(Merchant_Lookup!$D$2:$D$27,MATCH(E168,Merchant_Lookup!$C$2:$C$27,0)))</f>
        <v/>
      </c>
      <c r="G168" t="str">
        <f>IF(E168="NEEDS REVIEW","",INDEX(Merchant_Lookup!$E$2:$E$27,MATCH(E168,Merchant_Lookup!$C$2:$C$27,0)))</f>
        <v/>
      </c>
      <c r="J168" t="str">
        <f t="shared" si="4"/>
        <v>NEEDS REVIEW</v>
      </c>
      <c r="K168" t="str">
        <f t="shared" si="5"/>
        <v/>
      </c>
    </row>
    <row r="169" spans="5:11" x14ac:dyDescent="0.2">
      <c r="E169" t="str" cm="1">
        <f t="array" ref="E169">IFERROR(INDEX(Merchant_Lookup!$C$2:$C$27,MATCH(TRUE,ISNUMBER(SEARCH(Merchant_Lookup!$A$2:$A$26,UPPER(B169))),0)),"NEEDS REVIEW")</f>
        <v>NEEDS REVIEW</v>
      </c>
      <c r="F169" t="str">
        <f>IF(E169="NEEDS REVIEW","",INDEX(Merchant_Lookup!$D$2:$D$27,MATCH(E169,Merchant_Lookup!$C$2:$C$27,0)))</f>
        <v/>
      </c>
      <c r="G169" t="str">
        <f>IF(E169="NEEDS REVIEW","",INDEX(Merchant_Lookup!$E$2:$E$27,MATCH(E169,Merchant_Lookup!$C$2:$C$27,0)))</f>
        <v/>
      </c>
      <c r="J169" t="str">
        <f t="shared" si="4"/>
        <v>NEEDS REVIEW</v>
      </c>
      <c r="K169" t="str">
        <f t="shared" si="5"/>
        <v/>
      </c>
    </row>
    <row r="170" spans="5:11" x14ac:dyDescent="0.2">
      <c r="E170" t="str" cm="1">
        <f t="array" ref="E170">IFERROR(INDEX(Merchant_Lookup!$C$2:$C$27,MATCH(TRUE,ISNUMBER(SEARCH(Merchant_Lookup!$A$2:$A$26,UPPER(B170))),0)),"NEEDS REVIEW")</f>
        <v>NEEDS REVIEW</v>
      </c>
      <c r="F170" t="str">
        <f>IF(E170="NEEDS REVIEW","",INDEX(Merchant_Lookup!$D$2:$D$27,MATCH(E170,Merchant_Lookup!$C$2:$C$27,0)))</f>
        <v/>
      </c>
      <c r="G170" t="str">
        <f>IF(E170="NEEDS REVIEW","",INDEX(Merchant_Lookup!$E$2:$E$27,MATCH(E170,Merchant_Lookup!$C$2:$C$27,0)))</f>
        <v/>
      </c>
      <c r="J170" t="str">
        <f t="shared" si="4"/>
        <v>NEEDS REVIEW</v>
      </c>
      <c r="K170" t="str">
        <f t="shared" si="5"/>
        <v/>
      </c>
    </row>
    <row r="171" spans="5:11" x14ac:dyDescent="0.2">
      <c r="E171" t="str" cm="1">
        <f t="array" ref="E171">IFERROR(INDEX(Merchant_Lookup!$C$2:$C$27,MATCH(TRUE,ISNUMBER(SEARCH(Merchant_Lookup!$A$2:$A$26,UPPER(B171))),0)),"NEEDS REVIEW")</f>
        <v>NEEDS REVIEW</v>
      </c>
      <c r="F171" t="str">
        <f>IF(E171="NEEDS REVIEW","",INDEX(Merchant_Lookup!$D$2:$D$27,MATCH(E171,Merchant_Lookup!$C$2:$C$27,0)))</f>
        <v/>
      </c>
      <c r="G171" t="str">
        <f>IF(E171="NEEDS REVIEW","",INDEX(Merchant_Lookup!$E$2:$E$27,MATCH(E171,Merchant_Lookup!$C$2:$C$27,0)))</f>
        <v/>
      </c>
      <c r="J171" t="str">
        <f t="shared" si="4"/>
        <v>NEEDS REVIEW</v>
      </c>
      <c r="K171" t="str">
        <f t="shared" si="5"/>
        <v/>
      </c>
    </row>
    <row r="172" spans="5:11" x14ac:dyDescent="0.2">
      <c r="E172" t="str" cm="1">
        <f t="array" ref="E172">IFERROR(INDEX(Merchant_Lookup!$C$2:$C$27,MATCH(TRUE,ISNUMBER(SEARCH(Merchant_Lookup!$A$2:$A$26,UPPER(B172))),0)),"NEEDS REVIEW")</f>
        <v>NEEDS REVIEW</v>
      </c>
      <c r="F172" t="str">
        <f>IF(E172="NEEDS REVIEW","",INDEX(Merchant_Lookup!$D$2:$D$27,MATCH(E172,Merchant_Lookup!$C$2:$C$27,0)))</f>
        <v/>
      </c>
      <c r="G172" t="str">
        <f>IF(E172="NEEDS REVIEW","",INDEX(Merchant_Lookup!$E$2:$E$27,MATCH(E172,Merchant_Lookup!$C$2:$C$27,0)))</f>
        <v/>
      </c>
      <c r="J172" t="str">
        <f t="shared" si="4"/>
        <v>NEEDS REVIEW</v>
      </c>
      <c r="K172" t="str">
        <f t="shared" si="5"/>
        <v/>
      </c>
    </row>
    <row r="173" spans="5:11" x14ac:dyDescent="0.2">
      <c r="E173" t="str" cm="1">
        <f t="array" ref="E173">IFERROR(INDEX(Merchant_Lookup!$C$2:$C$27,MATCH(TRUE,ISNUMBER(SEARCH(Merchant_Lookup!$A$2:$A$26,UPPER(B173))),0)),"NEEDS REVIEW")</f>
        <v>NEEDS REVIEW</v>
      </c>
      <c r="F173" t="str">
        <f>IF(E173="NEEDS REVIEW","",INDEX(Merchant_Lookup!$D$2:$D$27,MATCH(E173,Merchant_Lookup!$C$2:$C$27,0)))</f>
        <v/>
      </c>
      <c r="G173" t="str">
        <f>IF(E173="NEEDS REVIEW","",INDEX(Merchant_Lookup!$E$2:$E$27,MATCH(E173,Merchant_Lookup!$C$2:$C$27,0)))</f>
        <v/>
      </c>
      <c r="J173" t="str">
        <f t="shared" si="4"/>
        <v>NEEDS REVIEW</v>
      </c>
      <c r="K173" t="str">
        <f t="shared" si="5"/>
        <v/>
      </c>
    </row>
    <row r="174" spans="5:11" x14ac:dyDescent="0.2">
      <c r="E174" t="str" cm="1">
        <f t="array" ref="E174">IFERROR(INDEX(Merchant_Lookup!$C$2:$C$27,MATCH(TRUE,ISNUMBER(SEARCH(Merchant_Lookup!$A$2:$A$26,UPPER(B174))),0)),"NEEDS REVIEW")</f>
        <v>NEEDS REVIEW</v>
      </c>
      <c r="F174" t="str">
        <f>IF(E174="NEEDS REVIEW","",INDEX(Merchant_Lookup!$D$2:$D$27,MATCH(E174,Merchant_Lookup!$C$2:$C$27,0)))</f>
        <v/>
      </c>
      <c r="G174" t="str">
        <f>IF(E174="NEEDS REVIEW","",INDEX(Merchant_Lookup!$E$2:$E$27,MATCH(E174,Merchant_Lookup!$C$2:$C$27,0)))</f>
        <v/>
      </c>
      <c r="J174" t="str">
        <f t="shared" si="4"/>
        <v>NEEDS REVIEW</v>
      </c>
      <c r="K174" t="str">
        <f t="shared" si="5"/>
        <v/>
      </c>
    </row>
    <row r="175" spans="5:11" x14ac:dyDescent="0.2">
      <c r="E175" t="str" cm="1">
        <f t="array" ref="E175">IFERROR(INDEX(Merchant_Lookup!$C$2:$C$27,MATCH(TRUE,ISNUMBER(SEARCH(Merchant_Lookup!$A$2:$A$26,UPPER(B175))),0)),"NEEDS REVIEW")</f>
        <v>NEEDS REVIEW</v>
      </c>
      <c r="F175" t="str">
        <f>IF(E175="NEEDS REVIEW","",INDEX(Merchant_Lookup!$D$2:$D$27,MATCH(E175,Merchant_Lookup!$C$2:$C$27,0)))</f>
        <v/>
      </c>
      <c r="G175" t="str">
        <f>IF(E175="NEEDS REVIEW","",INDEX(Merchant_Lookup!$E$2:$E$27,MATCH(E175,Merchant_Lookup!$C$2:$C$27,0)))</f>
        <v/>
      </c>
      <c r="J175" t="str">
        <f t="shared" si="4"/>
        <v>NEEDS REVIEW</v>
      </c>
      <c r="K175" t="str">
        <f t="shared" si="5"/>
        <v/>
      </c>
    </row>
    <row r="176" spans="5:11" x14ac:dyDescent="0.2">
      <c r="E176" t="str" cm="1">
        <f t="array" ref="E176">IFERROR(INDEX(Merchant_Lookup!$C$2:$C$27,MATCH(TRUE,ISNUMBER(SEARCH(Merchant_Lookup!$A$2:$A$26,UPPER(B176))),0)),"NEEDS REVIEW")</f>
        <v>NEEDS REVIEW</v>
      </c>
      <c r="F176" t="str">
        <f>IF(E176="NEEDS REVIEW","",INDEX(Merchant_Lookup!$D$2:$D$27,MATCH(E176,Merchant_Lookup!$C$2:$C$27,0)))</f>
        <v/>
      </c>
      <c r="G176" t="str">
        <f>IF(E176="NEEDS REVIEW","",INDEX(Merchant_Lookup!$E$2:$E$27,MATCH(E176,Merchant_Lookup!$C$2:$C$27,0)))</f>
        <v/>
      </c>
      <c r="J176" t="str">
        <f t="shared" si="4"/>
        <v>NEEDS REVIEW</v>
      </c>
      <c r="K176" t="str">
        <f t="shared" si="5"/>
        <v/>
      </c>
    </row>
    <row r="177" spans="5:11" x14ac:dyDescent="0.2">
      <c r="E177" t="str" cm="1">
        <f t="array" ref="E177">IFERROR(INDEX(Merchant_Lookup!$C$2:$C$27,MATCH(TRUE,ISNUMBER(SEARCH(Merchant_Lookup!$A$2:$A$26,UPPER(B177))),0)),"NEEDS REVIEW")</f>
        <v>NEEDS REVIEW</v>
      </c>
      <c r="F177" t="str">
        <f>IF(E177="NEEDS REVIEW","",INDEX(Merchant_Lookup!$D$2:$D$27,MATCH(E177,Merchant_Lookup!$C$2:$C$27,0)))</f>
        <v/>
      </c>
      <c r="G177" t="str">
        <f>IF(E177="NEEDS REVIEW","",INDEX(Merchant_Lookup!$E$2:$E$27,MATCH(E177,Merchant_Lookup!$C$2:$C$27,0)))</f>
        <v/>
      </c>
      <c r="J177" t="str">
        <f t="shared" si="4"/>
        <v>NEEDS REVIEW</v>
      </c>
      <c r="K177" t="str">
        <f t="shared" si="5"/>
        <v/>
      </c>
    </row>
    <row r="178" spans="5:11" x14ac:dyDescent="0.2">
      <c r="E178" t="str" cm="1">
        <f t="array" ref="E178">IFERROR(INDEX(Merchant_Lookup!$C$2:$C$27,MATCH(TRUE,ISNUMBER(SEARCH(Merchant_Lookup!$A$2:$A$26,UPPER(B178))),0)),"NEEDS REVIEW")</f>
        <v>NEEDS REVIEW</v>
      </c>
      <c r="F178" t="str">
        <f>IF(E178="NEEDS REVIEW","",INDEX(Merchant_Lookup!$D$2:$D$27,MATCH(E178,Merchant_Lookup!$C$2:$C$27,0)))</f>
        <v/>
      </c>
      <c r="G178" t="str">
        <f>IF(E178="NEEDS REVIEW","",INDEX(Merchant_Lookup!$E$2:$E$27,MATCH(E178,Merchant_Lookup!$C$2:$C$27,0)))</f>
        <v/>
      </c>
      <c r="J178" t="str">
        <f t="shared" si="4"/>
        <v>NEEDS REVIEW</v>
      </c>
      <c r="K178" t="str">
        <f t="shared" si="5"/>
        <v/>
      </c>
    </row>
    <row r="179" spans="5:11" x14ac:dyDescent="0.2">
      <c r="E179" t="str" cm="1">
        <f t="array" ref="E179">IFERROR(INDEX(Merchant_Lookup!$C$2:$C$27,MATCH(TRUE,ISNUMBER(SEARCH(Merchant_Lookup!$A$2:$A$26,UPPER(B179))),0)),"NEEDS REVIEW")</f>
        <v>NEEDS REVIEW</v>
      </c>
      <c r="F179" t="str">
        <f>IF(E179="NEEDS REVIEW","",INDEX(Merchant_Lookup!$D$2:$D$27,MATCH(E179,Merchant_Lookup!$C$2:$C$27,0)))</f>
        <v/>
      </c>
      <c r="G179" t="str">
        <f>IF(E179="NEEDS REVIEW","",INDEX(Merchant_Lookup!$E$2:$E$27,MATCH(E179,Merchant_Lookup!$C$2:$C$27,0)))</f>
        <v/>
      </c>
      <c r="J179" t="str">
        <f t="shared" si="4"/>
        <v>NEEDS REVIEW</v>
      </c>
      <c r="K179" t="str">
        <f t="shared" si="5"/>
        <v/>
      </c>
    </row>
    <row r="180" spans="5:11" x14ac:dyDescent="0.2">
      <c r="E180" t="str" cm="1">
        <f t="array" ref="E180">IFERROR(INDEX(Merchant_Lookup!$C$2:$C$27,MATCH(TRUE,ISNUMBER(SEARCH(Merchant_Lookup!$A$2:$A$26,UPPER(B180))),0)),"NEEDS REVIEW")</f>
        <v>NEEDS REVIEW</v>
      </c>
      <c r="F180" t="str">
        <f>IF(E180="NEEDS REVIEW","",INDEX(Merchant_Lookup!$D$2:$D$27,MATCH(E180,Merchant_Lookup!$C$2:$C$27,0)))</f>
        <v/>
      </c>
      <c r="G180" t="str">
        <f>IF(E180="NEEDS REVIEW","",INDEX(Merchant_Lookup!$E$2:$E$27,MATCH(E180,Merchant_Lookup!$C$2:$C$27,0)))</f>
        <v/>
      </c>
      <c r="J180" t="str">
        <f t="shared" si="4"/>
        <v>NEEDS REVIEW</v>
      </c>
      <c r="K180" t="str">
        <f t="shared" si="5"/>
        <v/>
      </c>
    </row>
    <row r="181" spans="5:11" x14ac:dyDescent="0.2">
      <c r="E181" t="str" cm="1">
        <f t="array" ref="E181">IFERROR(INDEX(Merchant_Lookup!$C$2:$C$27,MATCH(TRUE,ISNUMBER(SEARCH(Merchant_Lookup!$A$2:$A$26,UPPER(B181))),0)),"NEEDS REVIEW")</f>
        <v>NEEDS REVIEW</v>
      </c>
      <c r="F181" t="str">
        <f>IF(E181="NEEDS REVIEW","",INDEX(Merchant_Lookup!$D$2:$D$27,MATCH(E181,Merchant_Lookup!$C$2:$C$27,0)))</f>
        <v/>
      </c>
      <c r="G181" t="str">
        <f>IF(E181="NEEDS REVIEW","",INDEX(Merchant_Lookup!$E$2:$E$27,MATCH(E181,Merchant_Lookup!$C$2:$C$27,0)))</f>
        <v/>
      </c>
      <c r="J181" t="str">
        <f t="shared" si="4"/>
        <v>NEEDS REVIEW</v>
      </c>
      <c r="K181" t="str">
        <f t="shared" si="5"/>
        <v/>
      </c>
    </row>
    <row r="182" spans="5:11" x14ac:dyDescent="0.2">
      <c r="E182" t="str" cm="1">
        <f t="array" ref="E182">IFERROR(INDEX(Merchant_Lookup!$C$2:$C$27,MATCH(TRUE,ISNUMBER(SEARCH(Merchant_Lookup!$A$2:$A$26,UPPER(B182))),0)),"NEEDS REVIEW")</f>
        <v>NEEDS REVIEW</v>
      </c>
      <c r="F182" t="str">
        <f>IF(E182="NEEDS REVIEW","",INDEX(Merchant_Lookup!$D$2:$D$27,MATCH(E182,Merchant_Lookup!$C$2:$C$27,0)))</f>
        <v/>
      </c>
      <c r="G182" t="str">
        <f>IF(E182="NEEDS REVIEW","",INDEX(Merchant_Lookup!$E$2:$E$27,MATCH(E182,Merchant_Lookup!$C$2:$C$27,0)))</f>
        <v/>
      </c>
      <c r="J182" t="str">
        <f t="shared" si="4"/>
        <v>NEEDS REVIEW</v>
      </c>
      <c r="K182" t="str">
        <f t="shared" si="5"/>
        <v/>
      </c>
    </row>
    <row r="183" spans="5:11" x14ac:dyDescent="0.2">
      <c r="E183" t="str" cm="1">
        <f t="array" ref="E183">IFERROR(INDEX(Merchant_Lookup!$C$2:$C$27,MATCH(TRUE,ISNUMBER(SEARCH(Merchant_Lookup!$A$2:$A$26,UPPER(B183))),0)),"NEEDS REVIEW")</f>
        <v>NEEDS REVIEW</v>
      </c>
      <c r="F183" t="str">
        <f>IF(E183="NEEDS REVIEW","",INDEX(Merchant_Lookup!$D$2:$D$27,MATCH(E183,Merchant_Lookup!$C$2:$C$27,0)))</f>
        <v/>
      </c>
      <c r="G183" t="str">
        <f>IF(E183="NEEDS REVIEW","",INDEX(Merchant_Lookup!$E$2:$E$27,MATCH(E183,Merchant_Lookup!$C$2:$C$27,0)))</f>
        <v/>
      </c>
      <c r="J183" t="str">
        <f t="shared" si="4"/>
        <v>NEEDS REVIEW</v>
      </c>
      <c r="K183" t="str">
        <f t="shared" si="5"/>
        <v/>
      </c>
    </row>
    <row r="184" spans="5:11" x14ac:dyDescent="0.2">
      <c r="E184" t="str" cm="1">
        <f t="array" ref="E184">IFERROR(INDEX(Merchant_Lookup!$C$2:$C$27,MATCH(TRUE,ISNUMBER(SEARCH(Merchant_Lookup!$A$2:$A$26,UPPER(B184))),0)),"NEEDS REVIEW")</f>
        <v>NEEDS REVIEW</v>
      </c>
      <c r="F184" t="str">
        <f>IF(E184="NEEDS REVIEW","",INDEX(Merchant_Lookup!$D$2:$D$27,MATCH(E184,Merchant_Lookup!$C$2:$C$27,0)))</f>
        <v/>
      </c>
      <c r="G184" t="str">
        <f>IF(E184="NEEDS REVIEW","",INDEX(Merchant_Lookup!$E$2:$E$27,MATCH(E184,Merchant_Lookup!$C$2:$C$27,0)))</f>
        <v/>
      </c>
      <c r="J184" t="str">
        <f t="shared" si="4"/>
        <v>NEEDS REVIEW</v>
      </c>
      <c r="K184" t="str">
        <f t="shared" si="5"/>
        <v/>
      </c>
    </row>
    <row r="185" spans="5:11" x14ac:dyDescent="0.2">
      <c r="E185" t="str" cm="1">
        <f t="array" ref="E185">IFERROR(INDEX(Merchant_Lookup!$C$2:$C$27,MATCH(TRUE,ISNUMBER(SEARCH(Merchant_Lookup!$A$2:$A$26,UPPER(B185))),0)),"NEEDS REVIEW")</f>
        <v>NEEDS REVIEW</v>
      </c>
      <c r="F185" t="str">
        <f>IF(E185="NEEDS REVIEW","",INDEX(Merchant_Lookup!$D$2:$D$27,MATCH(E185,Merchant_Lookup!$C$2:$C$27,0)))</f>
        <v/>
      </c>
      <c r="G185" t="str">
        <f>IF(E185="NEEDS REVIEW","",INDEX(Merchant_Lookup!$E$2:$E$27,MATCH(E185,Merchant_Lookup!$C$2:$C$27,0)))</f>
        <v/>
      </c>
      <c r="J185" t="str">
        <f t="shared" si="4"/>
        <v>NEEDS REVIEW</v>
      </c>
      <c r="K185" t="str">
        <f t="shared" si="5"/>
        <v/>
      </c>
    </row>
    <row r="186" spans="5:11" x14ac:dyDescent="0.2">
      <c r="E186" t="str" cm="1">
        <f t="array" ref="E186">IFERROR(INDEX(Merchant_Lookup!$C$2:$C$27,MATCH(TRUE,ISNUMBER(SEARCH(Merchant_Lookup!$A$2:$A$26,UPPER(B186))),0)),"NEEDS REVIEW")</f>
        <v>NEEDS REVIEW</v>
      </c>
      <c r="F186" t="str">
        <f>IF(E186="NEEDS REVIEW","",INDEX(Merchant_Lookup!$D$2:$D$27,MATCH(E186,Merchant_Lookup!$C$2:$C$27,0)))</f>
        <v/>
      </c>
      <c r="G186" t="str">
        <f>IF(E186="NEEDS REVIEW","",INDEX(Merchant_Lookup!$E$2:$E$27,MATCH(E186,Merchant_Lookup!$C$2:$C$27,0)))</f>
        <v/>
      </c>
      <c r="J186" t="str">
        <f t="shared" si="4"/>
        <v>NEEDS REVIEW</v>
      </c>
      <c r="K186" t="str">
        <f t="shared" si="5"/>
        <v/>
      </c>
    </row>
    <row r="187" spans="5:11" x14ac:dyDescent="0.2">
      <c r="E187" t="str" cm="1">
        <f t="array" ref="E187">IFERROR(INDEX(Merchant_Lookup!$C$2:$C$27,MATCH(TRUE,ISNUMBER(SEARCH(Merchant_Lookup!$A$2:$A$26,UPPER(B187))),0)),"NEEDS REVIEW")</f>
        <v>NEEDS REVIEW</v>
      </c>
      <c r="F187" t="str">
        <f>IF(E187="NEEDS REVIEW","",INDEX(Merchant_Lookup!$D$2:$D$27,MATCH(E187,Merchant_Lookup!$C$2:$C$27,0)))</f>
        <v/>
      </c>
      <c r="G187" t="str">
        <f>IF(E187="NEEDS REVIEW","",INDEX(Merchant_Lookup!$E$2:$E$27,MATCH(E187,Merchant_Lookup!$C$2:$C$27,0)))</f>
        <v/>
      </c>
      <c r="J187" t="str">
        <f t="shared" si="4"/>
        <v>NEEDS REVIEW</v>
      </c>
      <c r="K187" t="str">
        <f t="shared" si="5"/>
        <v/>
      </c>
    </row>
    <row r="188" spans="5:11" x14ac:dyDescent="0.2">
      <c r="E188" t="str" cm="1">
        <f t="array" ref="E188">IFERROR(INDEX(Merchant_Lookup!$C$2:$C$27,MATCH(TRUE,ISNUMBER(SEARCH(Merchant_Lookup!$A$2:$A$26,UPPER(B188))),0)),"NEEDS REVIEW")</f>
        <v>NEEDS REVIEW</v>
      </c>
      <c r="F188" t="str">
        <f>IF(E188="NEEDS REVIEW","",INDEX(Merchant_Lookup!$D$2:$D$27,MATCH(E188,Merchant_Lookup!$C$2:$C$27,0)))</f>
        <v/>
      </c>
      <c r="G188" t="str">
        <f>IF(E188="NEEDS REVIEW","",INDEX(Merchant_Lookup!$E$2:$E$27,MATCH(E188,Merchant_Lookup!$C$2:$C$27,0)))</f>
        <v/>
      </c>
      <c r="J188" t="str">
        <f t="shared" si="4"/>
        <v>NEEDS REVIEW</v>
      </c>
      <c r="K188" t="str">
        <f t="shared" si="5"/>
        <v/>
      </c>
    </row>
    <row r="189" spans="5:11" x14ac:dyDescent="0.2">
      <c r="E189" t="str" cm="1">
        <f t="array" ref="E189">IFERROR(INDEX(Merchant_Lookup!$C$2:$C$27,MATCH(TRUE,ISNUMBER(SEARCH(Merchant_Lookup!$A$2:$A$26,UPPER(B189))),0)),"NEEDS REVIEW")</f>
        <v>NEEDS REVIEW</v>
      </c>
      <c r="F189" t="str">
        <f>IF(E189="NEEDS REVIEW","",INDEX(Merchant_Lookup!$D$2:$D$27,MATCH(E189,Merchant_Lookup!$C$2:$C$27,0)))</f>
        <v/>
      </c>
      <c r="G189" t="str">
        <f>IF(E189="NEEDS REVIEW","",INDEX(Merchant_Lookup!$E$2:$E$27,MATCH(E189,Merchant_Lookup!$C$2:$C$27,0)))</f>
        <v/>
      </c>
      <c r="J189" t="str">
        <f t="shared" si="4"/>
        <v>NEEDS REVIEW</v>
      </c>
      <c r="K189" t="str">
        <f t="shared" si="5"/>
        <v/>
      </c>
    </row>
    <row r="190" spans="5:11" x14ac:dyDescent="0.2">
      <c r="E190" t="str" cm="1">
        <f t="array" ref="E190">IFERROR(INDEX(Merchant_Lookup!$C$2:$C$27,MATCH(TRUE,ISNUMBER(SEARCH(Merchant_Lookup!$A$2:$A$26,UPPER(B190))),0)),"NEEDS REVIEW")</f>
        <v>NEEDS REVIEW</v>
      </c>
      <c r="F190" t="str">
        <f>IF(E190="NEEDS REVIEW","",INDEX(Merchant_Lookup!$D$2:$D$27,MATCH(E190,Merchant_Lookup!$C$2:$C$27,0)))</f>
        <v/>
      </c>
      <c r="G190" t="str">
        <f>IF(E190="NEEDS REVIEW","",INDEX(Merchant_Lookup!$E$2:$E$27,MATCH(E190,Merchant_Lookup!$C$2:$C$27,0)))</f>
        <v/>
      </c>
      <c r="J190" t="str">
        <f t="shared" si="4"/>
        <v>NEEDS REVIEW</v>
      </c>
      <c r="K190" t="str">
        <f t="shared" si="5"/>
        <v/>
      </c>
    </row>
    <row r="191" spans="5:11" x14ac:dyDescent="0.2">
      <c r="E191" t="str" cm="1">
        <f t="array" ref="E191">IFERROR(INDEX(Merchant_Lookup!$C$2:$C$27,MATCH(TRUE,ISNUMBER(SEARCH(Merchant_Lookup!$A$2:$A$26,UPPER(B191))),0)),"NEEDS REVIEW")</f>
        <v>NEEDS REVIEW</v>
      </c>
      <c r="F191" t="str">
        <f>IF(E191="NEEDS REVIEW","",INDEX(Merchant_Lookup!$D$2:$D$27,MATCH(E191,Merchant_Lookup!$C$2:$C$27,0)))</f>
        <v/>
      </c>
      <c r="G191" t="str">
        <f>IF(E191="NEEDS REVIEW","",INDEX(Merchant_Lookup!$E$2:$E$27,MATCH(E191,Merchant_Lookup!$C$2:$C$27,0)))</f>
        <v/>
      </c>
      <c r="J191" t="str">
        <f t="shared" si="4"/>
        <v>NEEDS REVIEW</v>
      </c>
      <c r="K191" t="str">
        <f t="shared" si="5"/>
        <v/>
      </c>
    </row>
    <row r="192" spans="5:11" x14ac:dyDescent="0.2">
      <c r="E192" t="str" cm="1">
        <f t="array" ref="E192">IFERROR(INDEX(Merchant_Lookup!$C$2:$C$27,MATCH(TRUE,ISNUMBER(SEARCH(Merchant_Lookup!$A$2:$A$26,UPPER(B192))),0)),"NEEDS REVIEW")</f>
        <v>NEEDS REVIEW</v>
      </c>
      <c r="F192" t="str">
        <f>IF(E192="NEEDS REVIEW","",INDEX(Merchant_Lookup!$D$2:$D$27,MATCH(E192,Merchant_Lookup!$C$2:$C$27,0)))</f>
        <v/>
      </c>
      <c r="G192" t="str">
        <f>IF(E192="NEEDS REVIEW","",INDEX(Merchant_Lookup!$E$2:$E$27,MATCH(E192,Merchant_Lookup!$C$2:$C$27,0)))</f>
        <v/>
      </c>
      <c r="J192" t="str">
        <f t="shared" si="4"/>
        <v>NEEDS REVIEW</v>
      </c>
      <c r="K192" t="str">
        <f t="shared" si="5"/>
        <v/>
      </c>
    </row>
    <row r="193" spans="5:11" x14ac:dyDescent="0.2">
      <c r="E193" t="str" cm="1">
        <f t="array" ref="E193">IFERROR(INDEX(Merchant_Lookup!$C$2:$C$27,MATCH(TRUE,ISNUMBER(SEARCH(Merchant_Lookup!$A$2:$A$26,UPPER(B193))),0)),"NEEDS REVIEW")</f>
        <v>NEEDS REVIEW</v>
      </c>
      <c r="F193" t="str">
        <f>IF(E193="NEEDS REVIEW","",INDEX(Merchant_Lookup!$D$2:$D$27,MATCH(E193,Merchant_Lookup!$C$2:$C$27,0)))</f>
        <v/>
      </c>
      <c r="G193" t="str">
        <f>IF(E193="NEEDS REVIEW","",INDEX(Merchant_Lookup!$E$2:$E$27,MATCH(E193,Merchant_Lookup!$C$2:$C$27,0)))</f>
        <v/>
      </c>
      <c r="J193" t="str">
        <f t="shared" si="4"/>
        <v>NEEDS REVIEW</v>
      </c>
      <c r="K193" t="str">
        <f t="shared" si="5"/>
        <v/>
      </c>
    </row>
    <row r="194" spans="5:11" x14ac:dyDescent="0.2">
      <c r="E194" t="str" cm="1">
        <f t="array" ref="E194">IFERROR(INDEX(Merchant_Lookup!$C$2:$C$27,MATCH(TRUE,ISNUMBER(SEARCH(Merchant_Lookup!$A$2:$A$26,UPPER(B194))),0)),"NEEDS REVIEW")</f>
        <v>NEEDS REVIEW</v>
      </c>
      <c r="F194" t="str">
        <f>IF(E194="NEEDS REVIEW","",INDEX(Merchant_Lookup!$D$2:$D$27,MATCH(E194,Merchant_Lookup!$C$2:$C$27,0)))</f>
        <v/>
      </c>
      <c r="G194" t="str">
        <f>IF(E194="NEEDS REVIEW","",INDEX(Merchant_Lookup!$E$2:$E$27,MATCH(E194,Merchant_Lookup!$C$2:$C$27,0)))</f>
        <v/>
      </c>
      <c r="J194" t="str">
        <f t="shared" si="4"/>
        <v>NEEDS REVIEW</v>
      </c>
      <c r="K194" t="str">
        <f t="shared" si="5"/>
        <v/>
      </c>
    </row>
    <row r="195" spans="5:11" x14ac:dyDescent="0.2">
      <c r="E195" t="str" cm="1">
        <f t="array" ref="E195">IFERROR(INDEX(Merchant_Lookup!$C$2:$C$27,MATCH(TRUE,ISNUMBER(SEARCH(Merchant_Lookup!$A$2:$A$26,UPPER(B195))),0)),"NEEDS REVIEW")</f>
        <v>NEEDS REVIEW</v>
      </c>
      <c r="F195" t="str">
        <f>IF(E195="NEEDS REVIEW","",INDEX(Merchant_Lookup!$D$2:$D$27,MATCH(E195,Merchant_Lookup!$C$2:$C$27,0)))</f>
        <v/>
      </c>
      <c r="G195" t="str">
        <f>IF(E195="NEEDS REVIEW","",INDEX(Merchant_Lookup!$E$2:$E$27,MATCH(E195,Merchant_Lookup!$C$2:$C$27,0)))</f>
        <v/>
      </c>
      <c r="J195" t="str">
        <f t="shared" ref="J195:J258" si="6">IF(H195&lt;&gt;"",H195,E195)</f>
        <v>NEEDS REVIEW</v>
      </c>
      <c r="K195" t="str">
        <f t="shared" ref="K195:K258" si="7">IF(I195&lt;&gt;"",I195,F195)</f>
        <v/>
      </c>
    </row>
    <row r="196" spans="5:11" x14ac:dyDescent="0.2">
      <c r="E196" t="str" cm="1">
        <f t="array" ref="E196">IFERROR(INDEX(Merchant_Lookup!$C$2:$C$27,MATCH(TRUE,ISNUMBER(SEARCH(Merchant_Lookup!$A$2:$A$26,UPPER(B196))),0)),"NEEDS REVIEW")</f>
        <v>NEEDS REVIEW</v>
      </c>
      <c r="F196" t="str">
        <f>IF(E196="NEEDS REVIEW","",INDEX(Merchant_Lookup!$D$2:$D$27,MATCH(E196,Merchant_Lookup!$C$2:$C$27,0)))</f>
        <v/>
      </c>
      <c r="G196" t="str">
        <f>IF(E196="NEEDS REVIEW","",INDEX(Merchant_Lookup!$E$2:$E$27,MATCH(E196,Merchant_Lookup!$C$2:$C$27,0)))</f>
        <v/>
      </c>
      <c r="J196" t="str">
        <f t="shared" si="6"/>
        <v>NEEDS REVIEW</v>
      </c>
      <c r="K196" t="str">
        <f t="shared" si="7"/>
        <v/>
      </c>
    </row>
    <row r="197" spans="5:11" x14ac:dyDescent="0.2">
      <c r="E197" t="str" cm="1">
        <f t="array" ref="E197">IFERROR(INDEX(Merchant_Lookup!$C$2:$C$27,MATCH(TRUE,ISNUMBER(SEARCH(Merchant_Lookup!$A$2:$A$26,UPPER(B197))),0)),"NEEDS REVIEW")</f>
        <v>NEEDS REVIEW</v>
      </c>
      <c r="F197" t="str">
        <f>IF(E197="NEEDS REVIEW","",INDEX(Merchant_Lookup!$D$2:$D$27,MATCH(E197,Merchant_Lookup!$C$2:$C$27,0)))</f>
        <v/>
      </c>
      <c r="G197" t="str">
        <f>IF(E197="NEEDS REVIEW","",INDEX(Merchant_Lookup!$E$2:$E$27,MATCH(E197,Merchant_Lookup!$C$2:$C$27,0)))</f>
        <v/>
      </c>
      <c r="J197" t="str">
        <f t="shared" si="6"/>
        <v>NEEDS REVIEW</v>
      </c>
      <c r="K197" t="str">
        <f t="shared" si="7"/>
        <v/>
      </c>
    </row>
    <row r="198" spans="5:11" x14ac:dyDescent="0.2">
      <c r="E198" t="str" cm="1">
        <f t="array" ref="E198">IFERROR(INDEX(Merchant_Lookup!$C$2:$C$27,MATCH(TRUE,ISNUMBER(SEARCH(Merchant_Lookup!$A$2:$A$26,UPPER(B198))),0)),"NEEDS REVIEW")</f>
        <v>NEEDS REVIEW</v>
      </c>
      <c r="F198" t="str">
        <f>IF(E198="NEEDS REVIEW","",INDEX(Merchant_Lookup!$D$2:$D$27,MATCH(E198,Merchant_Lookup!$C$2:$C$27,0)))</f>
        <v/>
      </c>
      <c r="G198" t="str">
        <f>IF(E198="NEEDS REVIEW","",INDEX(Merchant_Lookup!$E$2:$E$27,MATCH(E198,Merchant_Lookup!$C$2:$C$27,0)))</f>
        <v/>
      </c>
      <c r="J198" t="str">
        <f t="shared" si="6"/>
        <v>NEEDS REVIEW</v>
      </c>
      <c r="K198" t="str">
        <f t="shared" si="7"/>
        <v/>
      </c>
    </row>
    <row r="199" spans="5:11" x14ac:dyDescent="0.2">
      <c r="E199" t="str" cm="1">
        <f t="array" ref="E199">IFERROR(INDEX(Merchant_Lookup!$C$2:$C$27,MATCH(TRUE,ISNUMBER(SEARCH(Merchant_Lookup!$A$2:$A$26,UPPER(B199))),0)),"NEEDS REVIEW")</f>
        <v>NEEDS REVIEW</v>
      </c>
      <c r="F199" t="str">
        <f>IF(E199="NEEDS REVIEW","",INDEX(Merchant_Lookup!$D$2:$D$27,MATCH(E199,Merchant_Lookup!$C$2:$C$27,0)))</f>
        <v/>
      </c>
      <c r="G199" t="str">
        <f>IF(E199="NEEDS REVIEW","",INDEX(Merchant_Lookup!$E$2:$E$27,MATCH(E199,Merchant_Lookup!$C$2:$C$27,0)))</f>
        <v/>
      </c>
      <c r="J199" t="str">
        <f t="shared" si="6"/>
        <v>NEEDS REVIEW</v>
      </c>
      <c r="K199" t="str">
        <f t="shared" si="7"/>
        <v/>
      </c>
    </row>
    <row r="200" spans="5:11" x14ac:dyDescent="0.2">
      <c r="E200" t="str" cm="1">
        <f t="array" ref="E200">IFERROR(INDEX(Merchant_Lookup!$C$2:$C$27,MATCH(TRUE,ISNUMBER(SEARCH(Merchant_Lookup!$A$2:$A$26,UPPER(B200))),0)),"NEEDS REVIEW")</f>
        <v>NEEDS REVIEW</v>
      </c>
      <c r="F200" t="str">
        <f>IF(E200="NEEDS REVIEW","",INDEX(Merchant_Lookup!$D$2:$D$27,MATCH(E200,Merchant_Lookup!$C$2:$C$27,0)))</f>
        <v/>
      </c>
      <c r="G200" t="str">
        <f>IF(E200="NEEDS REVIEW","",INDEX(Merchant_Lookup!$E$2:$E$27,MATCH(E200,Merchant_Lookup!$C$2:$C$27,0)))</f>
        <v/>
      </c>
      <c r="J200" t="str">
        <f t="shared" si="6"/>
        <v>NEEDS REVIEW</v>
      </c>
      <c r="K200" t="str">
        <f t="shared" si="7"/>
        <v/>
      </c>
    </row>
    <row r="201" spans="5:11" x14ac:dyDescent="0.2">
      <c r="E201" t="str" cm="1">
        <f t="array" ref="E201">IFERROR(INDEX(Merchant_Lookup!$C$2:$C$27,MATCH(TRUE,ISNUMBER(SEARCH(Merchant_Lookup!$A$2:$A$26,UPPER(B201))),0)),"NEEDS REVIEW")</f>
        <v>NEEDS REVIEW</v>
      </c>
      <c r="F201" t="str">
        <f>IF(E201="NEEDS REVIEW","",INDEX(Merchant_Lookup!$D$2:$D$27,MATCH(E201,Merchant_Lookup!$C$2:$C$27,0)))</f>
        <v/>
      </c>
      <c r="G201" t="str">
        <f>IF(E201="NEEDS REVIEW","",INDEX(Merchant_Lookup!$E$2:$E$27,MATCH(E201,Merchant_Lookup!$C$2:$C$27,0)))</f>
        <v/>
      </c>
      <c r="J201" t="str">
        <f t="shared" si="6"/>
        <v>NEEDS REVIEW</v>
      </c>
      <c r="K201" t="str">
        <f t="shared" si="7"/>
        <v/>
      </c>
    </row>
    <row r="202" spans="5:11" x14ac:dyDescent="0.2">
      <c r="E202" t="str" cm="1">
        <f t="array" ref="E202">IFERROR(INDEX(Merchant_Lookup!$C$2:$C$27,MATCH(TRUE,ISNUMBER(SEARCH(Merchant_Lookup!$A$2:$A$26,UPPER(B202))),0)),"NEEDS REVIEW")</f>
        <v>NEEDS REVIEW</v>
      </c>
      <c r="F202" t="str">
        <f>IF(E202="NEEDS REVIEW","",INDEX(Merchant_Lookup!$D$2:$D$27,MATCH(E202,Merchant_Lookup!$C$2:$C$27,0)))</f>
        <v/>
      </c>
      <c r="G202" t="str">
        <f>IF(E202="NEEDS REVIEW","",INDEX(Merchant_Lookup!$E$2:$E$27,MATCH(E202,Merchant_Lookup!$C$2:$C$27,0)))</f>
        <v/>
      </c>
      <c r="J202" t="str">
        <f t="shared" si="6"/>
        <v>NEEDS REVIEW</v>
      </c>
      <c r="K202" t="str">
        <f t="shared" si="7"/>
        <v/>
      </c>
    </row>
    <row r="203" spans="5:11" x14ac:dyDescent="0.2">
      <c r="E203" t="str" cm="1">
        <f t="array" ref="E203">IFERROR(INDEX(Merchant_Lookup!$C$2:$C$27,MATCH(TRUE,ISNUMBER(SEARCH(Merchant_Lookup!$A$2:$A$26,UPPER(B203))),0)),"NEEDS REVIEW")</f>
        <v>NEEDS REVIEW</v>
      </c>
      <c r="F203" t="str">
        <f>IF(E203="NEEDS REVIEW","",INDEX(Merchant_Lookup!$D$2:$D$27,MATCH(E203,Merchant_Lookup!$C$2:$C$27,0)))</f>
        <v/>
      </c>
      <c r="G203" t="str">
        <f>IF(E203="NEEDS REVIEW","",INDEX(Merchant_Lookup!$E$2:$E$27,MATCH(E203,Merchant_Lookup!$C$2:$C$27,0)))</f>
        <v/>
      </c>
      <c r="J203" t="str">
        <f t="shared" si="6"/>
        <v>NEEDS REVIEW</v>
      </c>
      <c r="K203" t="str">
        <f t="shared" si="7"/>
        <v/>
      </c>
    </row>
    <row r="204" spans="5:11" x14ac:dyDescent="0.2">
      <c r="E204" t="str" cm="1">
        <f t="array" ref="E204">IFERROR(INDEX(Merchant_Lookup!$C$2:$C$27,MATCH(TRUE,ISNUMBER(SEARCH(Merchant_Lookup!$A$2:$A$26,UPPER(B204))),0)),"NEEDS REVIEW")</f>
        <v>NEEDS REVIEW</v>
      </c>
      <c r="F204" t="str">
        <f>IF(E204="NEEDS REVIEW","",INDEX(Merchant_Lookup!$D$2:$D$27,MATCH(E204,Merchant_Lookup!$C$2:$C$27,0)))</f>
        <v/>
      </c>
      <c r="G204" t="str">
        <f>IF(E204="NEEDS REVIEW","",INDEX(Merchant_Lookup!$E$2:$E$27,MATCH(E204,Merchant_Lookup!$C$2:$C$27,0)))</f>
        <v/>
      </c>
      <c r="J204" t="str">
        <f t="shared" si="6"/>
        <v>NEEDS REVIEW</v>
      </c>
      <c r="K204" t="str">
        <f t="shared" si="7"/>
        <v/>
      </c>
    </row>
    <row r="205" spans="5:11" x14ac:dyDescent="0.2">
      <c r="E205" t="str" cm="1">
        <f t="array" ref="E205">IFERROR(INDEX(Merchant_Lookup!$C$2:$C$27,MATCH(TRUE,ISNUMBER(SEARCH(Merchant_Lookup!$A$2:$A$26,UPPER(B205))),0)),"NEEDS REVIEW")</f>
        <v>NEEDS REVIEW</v>
      </c>
      <c r="F205" t="str">
        <f>IF(E205="NEEDS REVIEW","",INDEX(Merchant_Lookup!$D$2:$D$27,MATCH(E205,Merchant_Lookup!$C$2:$C$27,0)))</f>
        <v/>
      </c>
      <c r="G205" t="str">
        <f>IF(E205="NEEDS REVIEW","",INDEX(Merchant_Lookup!$E$2:$E$27,MATCH(E205,Merchant_Lookup!$C$2:$C$27,0)))</f>
        <v/>
      </c>
      <c r="J205" t="str">
        <f t="shared" si="6"/>
        <v>NEEDS REVIEW</v>
      </c>
      <c r="K205" t="str">
        <f t="shared" si="7"/>
        <v/>
      </c>
    </row>
    <row r="206" spans="5:11" x14ac:dyDescent="0.2">
      <c r="E206" t="str" cm="1">
        <f t="array" ref="E206">IFERROR(INDEX(Merchant_Lookup!$C$2:$C$27,MATCH(TRUE,ISNUMBER(SEARCH(Merchant_Lookup!$A$2:$A$26,UPPER(B206))),0)),"NEEDS REVIEW")</f>
        <v>NEEDS REVIEW</v>
      </c>
      <c r="F206" t="str">
        <f>IF(E206="NEEDS REVIEW","",INDEX(Merchant_Lookup!$D$2:$D$27,MATCH(E206,Merchant_Lookup!$C$2:$C$27,0)))</f>
        <v/>
      </c>
      <c r="G206" t="str">
        <f>IF(E206="NEEDS REVIEW","",INDEX(Merchant_Lookup!$E$2:$E$27,MATCH(E206,Merchant_Lookup!$C$2:$C$27,0)))</f>
        <v/>
      </c>
      <c r="J206" t="str">
        <f t="shared" si="6"/>
        <v>NEEDS REVIEW</v>
      </c>
      <c r="K206" t="str">
        <f t="shared" si="7"/>
        <v/>
      </c>
    </row>
    <row r="207" spans="5:11" x14ac:dyDescent="0.2">
      <c r="E207" t="str" cm="1">
        <f t="array" ref="E207">IFERROR(INDEX(Merchant_Lookup!$C$2:$C$27,MATCH(TRUE,ISNUMBER(SEARCH(Merchant_Lookup!$A$2:$A$26,UPPER(B207))),0)),"NEEDS REVIEW")</f>
        <v>NEEDS REVIEW</v>
      </c>
      <c r="F207" t="str">
        <f>IF(E207="NEEDS REVIEW","",INDEX(Merchant_Lookup!$D$2:$D$27,MATCH(E207,Merchant_Lookup!$C$2:$C$27,0)))</f>
        <v/>
      </c>
      <c r="G207" t="str">
        <f>IF(E207="NEEDS REVIEW","",INDEX(Merchant_Lookup!$E$2:$E$27,MATCH(E207,Merchant_Lookup!$C$2:$C$27,0)))</f>
        <v/>
      </c>
      <c r="J207" t="str">
        <f t="shared" si="6"/>
        <v>NEEDS REVIEW</v>
      </c>
      <c r="K207" t="str">
        <f t="shared" si="7"/>
        <v/>
      </c>
    </row>
    <row r="208" spans="5:11" x14ac:dyDescent="0.2">
      <c r="E208" t="str" cm="1">
        <f t="array" ref="E208">IFERROR(INDEX(Merchant_Lookup!$C$2:$C$27,MATCH(TRUE,ISNUMBER(SEARCH(Merchant_Lookup!$A$2:$A$26,UPPER(B208))),0)),"NEEDS REVIEW")</f>
        <v>NEEDS REVIEW</v>
      </c>
      <c r="F208" t="str">
        <f>IF(E208="NEEDS REVIEW","",INDEX(Merchant_Lookup!$D$2:$D$27,MATCH(E208,Merchant_Lookup!$C$2:$C$27,0)))</f>
        <v/>
      </c>
      <c r="G208" t="str">
        <f>IF(E208="NEEDS REVIEW","",INDEX(Merchant_Lookup!$E$2:$E$27,MATCH(E208,Merchant_Lookup!$C$2:$C$27,0)))</f>
        <v/>
      </c>
      <c r="J208" t="str">
        <f t="shared" si="6"/>
        <v>NEEDS REVIEW</v>
      </c>
      <c r="K208" t="str">
        <f t="shared" si="7"/>
        <v/>
      </c>
    </row>
    <row r="209" spans="5:11" x14ac:dyDescent="0.2">
      <c r="E209" t="str" cm="1">
        <f t="array" ref="E209">IFERROR(INDEX(Merchant_Lookup!$C$2:$C$27,MATCH(TRUE,ISNUMBER(SEARCH(Merchant_Lookup!$A$2:$A$26,UPPER(B209))),0)),"NEEDS REVIEW")</f>
        <v>NEEDS REVIEW</v>
      </c>
      <c r="F209" t="str">
        <f>IF(E209="NEEDS REVIEW","",INDEX(Merchant_Lookup!$D$2:$D$27,MATCH(E209,Merchant_Lookup!$C$2:$C$27,0)))</f>
        <v/>
      </c>
      <c r="G209" t="str">
        <f>IF(E209="NEEDS REVIEW","",INDEX(Merchant_Lookup!$E$2:$E$27,MATCH(E209,Merchant_Lookup!$C$2:$C$27,0)))</f>
        <v/>
      </c>
      <c r="J209" t="str">
        <f t="shared" si="6"/>
        <v>NEEDS REVIEW</v>
      </c>
      <c r="K209" t="str">
        <f t="shared" si="7"/>
        <v/>
      </c>
    </row>
    <row r="210" spans="5:11" x14ac:dyDescent="0.2">
      <c r="E210" t="str" cm="1">
        <f t="array" ref="E210">IFERROR(INDEX(Merchant_Lookup!$C$2:$C$27,MATCH(TRUE,ISNUMBER(SEARCH(Merchant_Lookup!$A$2:$A$26,UPPER(B210))),0)),"NEEDS REVIEW")</f>
        <v>NEEDS REVIEW</v>
      </c>
      <c r="F210" t="str">
        <f>IF(E210="NEEDS REVIEW","",INDEX(Merchant_Lookup!$D$2:$D$27,MATCH(E210,Merchant_Lookup!$C$2:$C$27,0)))</f>
        <v/>
      </c>
      <c r="G210" t="str">
        <f>IF(E210="NEEDS REVIEW","",INDEX(Merchant_Lookup!$E$2:$E$27,MATCH(E210,Merchant_Lookup!$C$2:$C$27,0)))</f>
        <v/>
      </c>
      <c r="J210" t="str">
        <f t="shared" si="6"/>
        <v>NEEDS REVIEW</v>
      </c>
      <c r="K210" t="str">
        <f t="shared" si="7"/>
        <v/>
      </c>
    </row>
    <row r="211" spans="5:11" x14ac:dyDescent="0.2">
      <c r="E211" t="str" cm="1">
        <f t="array" ref="E211">IFERROR(INDEX(Merchant_Lookup!$C$2:$C$27,MATCH(TRUE,ISNUMBER(SEARCH(Merchant_Lookup!$A$2:$A$26,UPPER(B211))),0)),"NEEDS REVIEW")</f>
        <v>NEEDS REVIEW</v>
      </c>
      <c r="F211" t="str">
        <f>IF(E211="NEEDS REVIEW","",INDEX(Merchant_Lookup!$D$2:$D$27,MATCH(E211,Merchant_Lookup!$C$2:$C$27,0)))</f>
        <v/>
      </c>
      <c r="G211" t="str">
        <f>IF(E211="NEEDS REVIEW","",INDEX(Merchant_Lookup!$E$2:$E$27,MATCH(E211,Merchant_Lookup!$C$2:$C$27,0)))</f>
        <v/>
      </c>
      <c r="J211" t="str">
        <f t="shared" si="6"/>
        <v>NEEDS REVIEW</v>
      </c>
      <c r="K211" t="str">
        <f t="shared" si="7"/>
        <v/>
      </c>
    </row>
    <row r="212" spans="5:11" x14ac:dyDescent="0.2">
      <c r="E212" t="str" cm="1">
        <f t="array" ref="E212">IFERROR(INDEX(Merchant_Lookup!$C$2:$C$27,MATCH(TRUE,ISNUMBER(SEARCH(Merchant_Lookup!$A$2:$A$26,UPPER(B212))),0)),"NEEDS REVIEW")</f>
        <v>NEEDS REVIEW</v>
      </c>
      <c r="F212" t="str">
        <f>IF(E212="NEEDS REVIEW","",INDEX(Merchant_Lookup!$D$2:$D$27,MATCH(E212,Merchant_Lookup!$C$2:$C$27,0)))</f>
        <v/>
      </c>
      <c r="G212" t="str">
        <f>IF(E212="NEEDS REVIEW","",INDEX(Merchant_Lookup!$E$2:$E$27,MATCH(E212,Merchant_Lookup!$C$2:$C$27,0)))</f>
        <v/>
      </c>
      <c r="J212" t="str">
        <f t="shared" si="6"/>
        <v>NEEDS REVIEW</v>
      </c>
      <c r="K212" t="str">
        <f t="shared" si="7"/>
        <v/>
      </c>
    </row>
    <row r="213" spans="5:11" x14ac:dyDescent="0.2">
      <c r="E213" t="str" cm="1">
        <f t="array" ref="E213">IFERROR(INDEX(Merchant_Lookup!$C$2:$C$27,MATCH(TRUE,ISNUMBER(SEARCH(Merchant_Lookup!$A$2:$A$26,UPPER(B213))),0)),"NEEDS REVIEW")</f>
        <v>NEEDS REVIEW</v>
      </c>
      <c r="F213" t="str">
        <f>IF(E213="NEEDS REVIEW","",INDEX(Merchant_Lookup!$D$2:$D$27,MATCH(E213,Merchant_Lookup!$C$2:$C$27,0)))</f>
        <v/>
      </c>
      <c r="G213" t="str">
        <f>IF(E213="NEEDS REVIEW","",INDEX(Merchant_Lookup!$E$2:$E$27,MATCH(E213,Merchant_Lookup!$C$2:$C$27,0)))</f>
        <v/>
      </c>
      <c r="J213" t="str">
        <f t="shared" si="6"/>
        <v>NEEDS REVIEW</v>
      </c>
      <c r="K213" t="str">
        <f t="shared" si="7"/>
        <v/>
      </c>
    </row>
    <row r="214" spans="5:11" x14ac:dyDescent="0.2">
      <c r="E214" t="str" cm="1">
        <f t="array" ref="E214">IFERROR(INDEX(Merchant_Lookup!$C$2:$C$27,MATCH(TRUE,ISNUMBER(SEARCH(Merchant_Lookup!$A$2:$A$26,UPPER(B214))),0)),"NEEDS REVIEW")</f>
        <v>NEEDS REVIEW</v>
      </c>
      <c r="F214" t="str">
        <f>IF(E214="NEEDS REVIEW","",INDEX(Merchant_Lookup!$D$2:$D$27,MATCH(E214,Merchant_Lookup!$C$2:$C$27,0)))</f>
        <v/>
      </c>
      <c r="G214" t="str">
        <f>IF(E214="NEEDS REVIEW","",INDEX(Merchant_Lookup!$E$2:$E$27,MATCH(E214,Merchant_Lookup!$C$2:$C$27,0)))</f>
        <v/>
      </c>
      <c r="J214" t="str">
        <f t="shared" si="6"/>
        <v>NEEDS REVIEW</v>
      </c>
      <c r="K214" t="str">
        <f t="shared" si="7"/>
        <v/>
      </c>
    </row>
    <row r="215" spans="5:11" x14ac:dyDescent="0.2">
      <c r="E215" t="str" cm="1">
        <f t="array" ref="E215">IFERROR(INDEX(Merchant_Lookup!$C$2:$C$27,MATCH(TRUE,ISNUMBER(SEARCH(Merchant_Lookup!$A$2:$A$26,UPPER(B215))),0)),"NEEDS REVIEW")</f>
        <v>NEEDS REVIEW</v>
      </c>
      <c r="F215" t="str">
        <f>IF(E215="NEEDS REVIEW","",INDEX(Merchant_Lookup!$D$2:$D$27,MATCH(E215,Merchant_Lookup!$C$2:$C$27,0)))</f>
        <v/>
      </c>
      <c r="G215" t="str">
        <f>IF(E215="NEEDS REVIEW","",INDEX(Merchant_Lookup!$E$2:$E$27,MATCH(E215,Merchant_Lookup!$C$2:$C$27,0)))</f>
        <v/>
      </c>
      <c r="J215" t="str">
        <f t="shared" si="6"/>
        <v>NEEDS REVIEW</v>
      </c>
      <c r="K215" t="str">
        <f t="shared" si="7"/>
        <v/>
      </c>
    </row>
    <row r="216" spans="5:11" x14ac:dyDescent="0.2">
      <c r="E216" t="str" cm="1">
        <f t="array" ref="E216">IFERROR(INDEX(Merchant_Lookup!$C$2:$C$27,MATCH(TRUE,ISNUMBER(SEARCH(Merchant_Lookup!$A$2:$A$26,UPPER(B216))),0)),"NEEDS REVIEW")</f>
        <v>NEEDS REVIEW</v>
      </c>
      <c r="F216" t="str">
        <f>IF(E216="NEEDS REVIEW","",INDEX(Merchant_Lookup!$D$2:$D$27,MATCH(E216,Merchant_Lookup!$C$2:$C$27,0)))</f>
        <v/>
      </c>
      <c r="G216" t="str">
        <f>IF(E216="NEEDS REVIEW","",INDEX(Merchant_Lookup!$E$2:$E$27,MATCH(E216,Merchant_Lookup!$C$2:$C$27,0)))</f>
        <v/>
      </c>
      <c r="J216" t="str">
        <f t="shared" si="6"/>
        <v>NEEDS REVIEW</v>
      </c>
      <c r="K216" t="str">
        <f t="shared" si="7"/>
        <v/>
      </c>
    </row>
    <row r="217" spans="5:11" x14ac:dyDescent="0.2">
      <c r="E217" t="str" cm="1">
        <f t="array" ref="E217">IFERROR(INDEX(Merchant_Lookup!$C$2:$C$27,MATCH(TRUE,ISNUMBER(SEARCH(Merchant_Lookup!$A$2:$A$26,UPPER(B217))),0)),"NEEDS REVIEW")</f>
        <v>NEEDS REVIEW</v>
      </c>
      <c r="F217" t="str">
        <f>IF(E217="NEEDS REVIEW","",INDEX(Merchant_Lookup!$D$2:$D$27,MATCH(E217,Merchant_Lookup!$C$2:$C$27,0)))</f>
        <v/>
      </c>
      <c r="G217" t="str">
        <f>IF(E217="NEEDS REVIEW","",INDEX(Merchant_Lookup!$E$2:$E$27,MATCH(E217,Merchant_Lookup!$C$2:$C$27,0)))</f>
        <v/>
      </c>
      <c r="J217" t="str">
        <f t="shared" si="6"/>
        <v>NEEDS REVIEW</v>
      </c>
      <c r="K217" t="str">
        <f t="shared" si="7"/>
        <v/>
      </c>
    </row>
    <row r="218" spans="5:11" x14ac:dyDescent="0.2">
      <c r="E218" t="str" cm="1">
        <f t="array" ref="E218">IFERROR(INDEX(Merchant_Lookup!$C$2:$C$27,MATCH(TRUE,ISNUMBER(SEARCH(Merchant_Lookup!$A$2:$A$26,UPPER(B218))),0)),"NEEDS REVIEW")</f>
        <v>NEEDS REVIEW</v>
      </c>
      <c r="F218" t="str">
        <f>IF(E218="NEEDS REVIEW","",INDEX(Merchant_Lookup!$D$2:$D$27,MATCH(E218,Merchant_Lookup!$C$2:$C$27,0)))</f>
        <v/>
      </c>
      <c r="G218" t="str">
        <f>IF(E218="NEEDS REVIEW","",INDEX(Merchant_Lookup!$E$2:$E$27,MATCH(E218,Merchant_Lookup!$C$2:$C$27,0)))</f>
        <v/>
      </c>
      <c r="J218" t="str">
        <f t="shared" si="6"/>
        <v>NEEDS REVIEW</v>
      </c>
      <c r="K218" t="str">
        <f t="shared" si="7"/>
        <v/>
      </c>
    </row>
    <row r="219" spans="5:11" x14ac:dyDescent="0.2">
      <c r="E219" t="str" cm="1">
        <f t="array" ref="E219">IFERROR(INDEX(Merchant_Lookup!$C$2:$C$27,MATCH(TRUE,ISNUMBER(SEARCH(Merchant_Lookup!$A$2:$A$26,UPPER(B219))),0)),"NEEDS REVIEW")</f>
        <v>NEEDS REVIEW</v>
      </c>
      <c r="F219" t="str">
        <f>IF(E219="NEEDS REVIEW","",INDEX(Merchant_Lookup!$D$2:$D$27,MATCH(E219,Merchant_Lookup!$C$2:$C$27,0)))</f>
        <v/>
      </c>
      <c r="G219" t="str">
        <f>IF(E219="NEEDS REVIEW","",INDEX(Merchant_Lookup!$E$2:$E$27,MATCH(E219,Merchant_Lookup!$C$2:$C$27,0)))</f>
        <v/>
      </c>
      <c r="J219" t="str">
        <f t="shared" si="6"/>
        <v>NEEDS REVIEW</v>
      </c>
      <c r="K219" t="str">
        <f t="shared" si="7"/>
        <v/>
      </c>
    </row>
    <row r="220" spans="5:11" x14ac:dyDescent="0.2">
      <c r="E220" t="str" cm="1">
        <f t="array" ref="E220">IFERROR(INDEX(Merchant_Lookup!$C$2:$C$27,MATCH(TRUE,ISNUMBER(SEARCH(Merchant_Lookup!$A$2:$A$26,UPPER(B220))),0)),"NEEDS REVIEW")</f>
        <v>NEEDS REVIEW</v>
      </c>
      <c r="F220" t="str">
        <f>IF(E220="NEEDS REVIEW","",INDEX(Merchant_Lookup!$D$2:$D$27,MATCH(E220,Merchant_Lookup!$C$2:$C$27,0)))</f>
        <v/>
      </c>
      <c r="G220" t="str">
        <f>IF(E220="NEEDS REVIEW","",INDEX(Merchant_Lookup!$E$2:$E$27,MATCH(E220,Merchant_Lookup!$C$2:$C$27,0)))</f>
        <v/>
      </c>
      <c r="J220" t="str">
        <f t="shared" si="6"/>
        <v>NEEDS REVIEW</v>
      </c>
      <c r="K220" t="str">
        <f t="shared" si="7"/>
        <v/>
      </c>
    </row>
    <row r="221" spans="5:11" x14ac:dyDescent="0.2">
      <c r="E221" t="str" cm="1">
        <f t="array" ref="E221">IFERROR(INDEX(Merchant_Lookup!$C$2:$C$27,MATCH(TRUE,ISNUMBER(SEARCH(Merchant_Lookup!$A$2:$A$26,UPPER(B221))),0)),"NEEDS REVIEW")</f>
        <v>NEEDS REVIEW</v>
      </c>
      <c r="F221" t="str">
        <f>IF(E221="NEEDS REVIEW","",INDEX(Merchant_Lookup!$D$2:$D$27,MATCH(E221,Merchant_Lookup!$C$2:$C$27,0)))</f>
        <v/>
      </c>
      <c r="G221" t="str">
        <f>IF(E221="NEEDS REVIEW","",INDEX(Merchant_Lookup!$E$2:$E$27,MATCH(E221,Merchant_Lookup!$C$2:$C$27,0)))</f>
        <v/>
      </c>
      <c r="J221" t="str">
        <f t="shared" si="6"/>
        <v>NEEDS REVIEW</v>
      </c>
      <c r="K221" t="str">
        <f t="shared" si="7"/>
        <v/>
      </c>
    </row>
    <row r="222" spans="5:11" x14ac:dyDescent="0.2">
      <c r="E222" t="str" cm="1">
        <f t="array" ref="E222">IFERROR(INDEX(Merchant_Lookup!$C$2:$C$27,MATCH(TRUE,ISNUMBER(SEARCH(Merchant_Lookup!$A$2:$A$26,UPPER(B222))),0)),"NEEDS REVIEW")</f>
        <v>NEEDS REVIEW</v>
      </c>
      <c r="F222" t="str">
        <f>IF(E222="NEEDS REVIEW","",INDEX(Merchant_Lookup!$D$2:$D$27,MATCH(E222,Merchant_Lookup!$C$2:$C$27,0)))</f>
        <v/>
      </c>
      <c r="G222" t="str">
        <f>IF(E222="NEEDS REVIEW","",INDEX(Merchant_Lookup!$E$2:$E$27,MATCH(E222,Merchant_Lookup!$C$2:$C$27,0)))</f>
        <v/>
      </c>
      <c r="J222" t="str">
        <f t="shared" si="6"/>
        <v>NEEDS REVIEW</v>
      </c>
      <c r="K222" t="str">
        <f t="shared" si="7"/>
        <v/>
      </c>
    </row>
    <row r="223" spans="5:11" x14ac:dyDescent="0.2">
      <c r="E223" t="str" cm="1">
        <f t="array" ref="E223">IFERROR(INDEX(Merchant_Lookup!$C$2:$C$27,MATCH(TRUE,ISNUMBER(SEARCH(Merchant_Lookup!$A$2:$A$26,UPPER(B223))),0)),"NEEDS REVIEW")</f>
        <v>NEEDS REVIEW</v>
      </c>
      <c r="F223" t="str">
        <f>IF(E223="NEEDS REVIEW","",INDEX(Merchant_Lookup!$D$2:$D$27,MATCH(E223,Merchant_Lookup!$C$2:$C$27,0)))</f>
        <v/>
      </c>
      <c r="G223" t="str">
        <f>IF(E223="NEEDS REVIEW","",INDEX(Merchant_Lookup!$E$2:$E$27,MATCH(E223,Merchant_Lookup!$C$2:$C$27,0)))</f>
        <v/>
      </c>
      <c r="J223" t="str">
        <f t="shared" si="6"/>
        <v>NEEDS REVIEW</v>
      </c>
      <c r="K223" t="str">
        <f t="shared" si="7"/>
        <v/>
      </c>
    </row>
    <row r="224" spans="5:11" x14ac:dyDescent="0.2">
      <c r="E224" t="str" cm="1">
        <f t="array" ref="E224">IFERROR(INDEX(Merchant_Lookup!$C$2:$C$27,MATCH(TRUE,ISNUMBER(SEARCH(Merchant_Lookup!$A$2:$A$26,UPPER(B224))),0)),"NEEDS REVIEW")</f>
        <v>NEEDS REVIEW</v>
      </c>
      <c r="F224" t="str">
        <f>IF(E224="NEEDS REVIEW","",INDEX(Merchant_Lookup!$D$2:$D$27,MATCH(E224,Merchant_Lookup!$C$2:$C$27,0)))</f>
        <v/>
      </c>
      <c r="G224" t="str">
        <f>IF(E224="NEEDS REVIEW","",INDEX(Merchant_Lookup!$E$2:$E$27,MATCH(E224,Merchant_Lookup!$C$2:$C$27,0)))</f>
        <v/>
      </c>
      <c r="J224" t="str">
        <f t="shared" si="6"/>
        <v>NEEDS REVIEW</v>
      </c>
      <c r="K224" t="str">
        <f t="shared" si="7"/>
        <v/>
      </c>
    </row>
    <row r="225" spans="5:11" x14ac:dyDescent="0.2">
      <c r="E225" t="str" cm="1">
        <f t="array" ref="E225">IFERROR(INDEX(Merchant_Lookup!$C$2:$C$27,MATCH(TRUE,ISNUMBER(SEARCH(Merchant_Lookup!$A$2:$A$26,UPPER(B225))),0)),"NEEDS REVIEW")</f>
        <v>NEEDS REVIEW</v>
      </c>
      <c r="F225" t="str">
        <f>IF(E225="NEEDS REVIEW","",INDEX(Merchant_Lookup!$D$2:$D$27,MATCH(E225,Merchant_Lookup!$C$2:$C$27,0)))</f>
        <v/>
      </c>
      <c r="G225" t="str">
        <f>IF(E225="NEEDS REVIEW","",INDEX(Merchant_Lookup!$E$2:$E$27,MATCH(E225,Merchant_Lookup!$C$2:$C$27,0)))</f>
        <v/>
      </c>
      <c r="J225" t="str">
        <f t="shared" si="6"/>
        <v>NEEDS REVIEW</v>
      </c>
      <c r="K225" t="str">
        <f t="shared" si="7"/>
        <v/>
      </c>
    </row>
    <row r="226" spans="5:11" x14ac:dyDescent="0.2">
      <c r="E226" t="str" cm="1">
        <f t="array" ref="E226">IFERROR(INDEX(Merchant_Lookup!$C$2:$C$27,MATCH(TRUE,ISNUMBER(SEARCH(Merchant_Lookup!$A$2:$A$26,UPPER(B226))),0)),"NEEDS REVIEW")</f>
        <v>NEEDS REVIEW</v>
      </c>
      <c r="F226" t="str">
        <f>IF(E226="NEEDS REVIEW","",INDEX(Merchant_Lookup!$D$2:$D$27,MATCH(E226,Merchant_Lookup!$C$2:$C$27,0)))</f>
        <v/>
      </c>
      <c r="G226" t="str">
        <f>IF(E226="NEEDS REVIEW","",INDEX(Merchant_Lookup!$E$2:$E$27,MATCH(E226,Merchant_Lookup!$C$2:$C$27,0)))</f>
        <v/>
      </c>
      <c r="J226" t="str">
        <f t="shared" si="6"/>
        <v>NEEDS REVIEW</v>
      </c>
      <c r="K226" t="str">
        <f t="shared" si="7"/>
        <v/>
      </c>
    </row>
    <row r="227" spans="5:11" x14ac:dyDescent="0.2">
      <c r="E227" t="str" cm="1">
        <f t="array" ref="E227">IFERROR(INDEX(Merchant_Lookup!$C$2:$C$27,MATCH(TRUE,ISNUMBER(SEARCH(Merchant_Lookup!$A$2:$A$26,UPPER(B227))),0)),"NEEDS REVIEW")</f>
        <v>NEEDS REVIEW</v>
      </c>
      <c r="F227" t="str">
        <f>IF(E227="NEEDS REVIEW","",INDEX(Merchant_Lookup!$D$2:$D$27,MATCH(E227,Merchant_Lookup!$C$2:$C$27,0)))</f>
        <v/>
      </c>
      <c r="G227" t="str">
        <f>IF(E227="NEEDS REVIEW","",INDEX(Merchant_Lookup!$E$2:$E$27,MATCH(E227,Merchant_Lookup!$C$2:$C$27,0)))</f>
        <v/>
      </c>
      <c r="J227" t="str">
        <f t="shared" si="6"/>
        <v>NEEDS REVIEW</v>
      </c>
      <c r="K227" t="str">
        <f t="shared" si="7"/>
        <v/>
      </c>
    </row>
    <row r="228" spans="5:11" x14ac:dyDescent="0.2">
      <c r="E228" t="str" cm="1">
        <f t="array" ref="E228">IFERROR(INDEX(Merchant_Lookup!$C$2:$C$27,MATCH(TRUE,ISNUMBER(SEARCH(Merchant_Lookup!$A$2:$A$26,UPPER(B228))),0)),"NEEDS REVIEW")</f>
        <v>NEEDS REVIEW</v>
      </c>
      <c r="F228" t="str">
        <f>IF(E228="NEEDS REVIEW","",INDEX(Merchant_Lookup!$D$2:$D$27,MATCH(E228,Merchant_Lookup!$C$2:$C$27,0)))</f>
        <v/>
      </c>
      <c r="G228" t="str">
        <f>IF(E228="NEEDS REVIEW","",INDEX(Merchant_Lookup!$E$2:$E$27,MATCH(E228,Merchant_Lookup!$C$2:$C$27,0)))</f>
        <v/>
      </c>
      <c r="J228" t="str">
        <f t="shared" si="6"/>
        <v>NEEDS REVIEW</v>
      </c>
      <c r="K228" t="str">
        <f t="shared" si="7"/>
        <v/>
      </c>
    </row>
    <row r="229" spans="5:11" x14ac:dyDescent="0.2">
      <c r="E229" t="str" cm="1">
        <f t="array" ref="E229">IFERROR(INDEX(Merchant_Lookup!$C$2:$C$27,MATCH(TRUE,ISNUMBER(SEARCH(Merchant_Lookup!$A$2:$A$26,UPPER(B229))),0)),"NEEDS REVIEW")</f>
        <v>NEEDS REVIEW</v>
      </c>
      <c r="F229" t="str">
        <f>IF(E229="NEEDS REVIEW","",INDEX(Merchant_Lookup!$D$2:$D$27,MATCH(E229,Merchant_Lookup!$C$2:$C$27,0)))</f>
        <v/>
      </c>
      <c r="G229" t="str">
        <f>IF(E229="NEEDS REVIEW","",INDEX(Merchant_Lookup!$E$2:$E$27,MATCH(E229,Merchant_Lookup!$C$2:$C$27,0)))</f>
        <v/>
      </c>
      <c r="J229" t="str">
        <f t="shared" si="6"/>
        <v>NEEDS REVIEW</v>
      </c>
      <c r="K229" t="str">
        <f t="shared" si="7"/>
        <v/>
      </c>
    </row>
    <row r="230" spans="5:11" x14ac:dyDescent="0.2">
      <c r="E230" t="str" cm="1">
        <f t="array" ref="E230">IFERROR(INDEX(Merchant_Lookup!$C$2:$C$27,MATCH(TRUE,ISNUMBER(SEARCH(Merchant_Lookup!$A$2:$A$26,UPPER(B230))),0)),"NEEDS REVIEW")</f>
        <v>NEEDS REVIEW</v>
      </c>
      <c r="F230" t="str">
        <f>IF(E230="NEEDS REVIEW","",INDEX(Merchant_Lookup!$D$2:$D$27,MATCH(E230,Merchant_Lookup!$C$2:$C$27,0)))</f>
        <v/>
      </c>
      <c r="G230" t="str">
        <f>IF(E230="NEEDS REVIEW","",INDEX(Merchant_Lookup!$E$2:$E$27,MATCH(E230,Merchant_Lookup!$C$2:$C$27,0)))</f>
        <v/>
      </c>
      <c r="J230" t="str">
        <f t="shared" si="6"/>
        <v>NEEDS REVIEW</v>
      </c>
      <c r="K230" t="str">
        <f t="shared" si="7"/>
        <v/>
      </c>
    </row>
    <row r="231" spans="5:11" x14ac:dyDescent="0.2">
      <c r="E231" t="str" cm="1">
        <f t="array" ref="E231">IFERROR(INDEX(Merchant_Lookup!$C$2:$C$27,MATCH(TRUE,ISNUMBER(SEARCH(Merchant_Lookup!$A$2:$A$26,UPPER(B231))),0)),"NEEDS REVIEW")</f>
        <v>NEEDS REVIEW</v>
      </c>
      <c r="F231" t="str">
        <f>IF(E231="NEEDS REVIEW","",INDEX(Merchant_Lookup!$D$2:$D$27,MATCH(E231,Merchant_Lookup!$C$2:$C$27,0)))</f>
        <v/>
      </c>
      <c r="G231" t="str">
        <f>IF(E231="NEEDS REVIEW","",INDEX(Merchant_Lookup!$E$2:$E$27,MATCH(E231,Merchant_Lookup!$C$2:$C$27,0)))</f>
        <v/>
      </c>
      <c r="J231" t="str">
        <f t="shared" si="6"/>
        <v>NEEDS REVIEW</v>
      </c>
      <c r="K231" t="str">
        <f t="shared" si="7"/>
        <v/>
      </c>
    </row>
    <row r="232" spans="5:11" x14ac:dyDescent="0.2">
      <c r="E232" t="str" cm="1">
        <f t="array" ref="E232">IFERROR(INDEX(Merchant_Lookup!$C$2:$C$27,MATCH(TRUE,ISNUMBER(SEARCH(Merchant_Lookup!$A$2:$A$26,UPPER(B232))),0)),"NEEDS REVIEW")</f>
        <v>NEEDS REVIEW</v>
      </c>
      <c r="F232" t="str">
        <f>IF(E232="NEEDS REVIEW","",INDEX(Merchant_Lookup!$D$2:$D$27,MATCH(E232,Merchant_Lookup!$C$2:$C$27,0)))</f>
        <v/>
      </c>
      <c r="G232" t="str">
        <f>IF(E232="NEEDS REVIEW","",INDEX(Merchant_Lookup!$E$2:$E$27,MATCH(E232,Merchant_Lookup!$C$2:$C$27,0)))</f>
        <v/>
      </c>
      <c r="J232" t="str">
        <f t="shared" si="6"/>
        <v>NEEDS REVIEW</v>
      </c>
      <c r="K232" t="str">
        <f t="shared" si="7"/>
        <v/>
      </c>
    </row>
    <row r="233" spans="5:11" x14ac:dyDescent="0.2">
      <c r="E233" t="str" cm="1">
        <f t="array" ref="E233">IFERROR(INDEX(Merchant_Lookup!$C$2:$C$27,MATCH(TRUE,ISNUMBER(SEARCH(Merchant_Lookup!$A$2:$A$26,UPPER(B233))),0)),"NEEDS REVIEW")</f>
        <v>NEEDS REVIEW</v>
      </c>
      <c r="F233" t="str">
        <f>IF(E233="NEEDS REVIEW","",INDEX(Merchant_Lookup!$D$2:$D$27,MATCH(E233,Merchant_Lookup!$C$2:$C$27,0)))</f>
        <v/>
      </c>
      <c r="G233" t="str">
        <f>IF(E233="NEEDS REVIEW","",INDEX(Merchant_Lookup!$E$2:$E$27,MATCH(E233,Merchant_Lookup!$C$2:$C$27,0)))</f>
        <v/>
      </c>
      <c r="J233" t="str">
        <f t="shared" si="6"/>
        <v>NEEDS REVIEW</v>
      </c>
      <c r="K233" t="str">
        <f t="shared" si="7"/>
        <v/>
      </c>
    </row>
    <row r="234" spans="5:11" x14ac:dyDescent="0.2">
      <c r="E234" t="str" cm="1">
        <f t="array" ref="E234">IFERROR(INDEX(Merchant_Lookup!$C$2:$C$27,MATCH(TRUE,ISNUMBER(SEARCH(Merchant_Lookup!$A$2:$A$26,UPPER(B234))),0)),"NEEDS REVIEW")</f>
        <v>NEEDS REVIEW</v>
      </c>
      <c r="F234" t="str">
        <f>IF(E234="NEEDS REVIEW","",INDEX(Merchant_Lookup!$D$2:$D$27,MATCH(E234,Merchant_Lookup!$C$2:$C$27,0)))</f>
        <v/>
      </c>
      <c r="G234" t="str">
        <f>IF(E234="NEEDS REVIEW","",INDEX(Merchant_Lookup!$E$2:$E$27,MATCH(E234,Merchant_Lookup!$C$2:$C$27,0)))</f>
        <v/>
      </c>
      <c r="J234" t="str">
        <f t="shared" si="6"/>
        <v>NEEDS REVIEW</v>
      </c>
      <c r="K234" t="str">
        <f t="shared" si="7"/>
        <v/>
      </c>
    </row>
    <row r="235" spans="5:11" x14ac:dyDescent="0.2">
      <c r="E235" t="str" cm="1">
        <f t="array" ref="E235">IFERROR(INDEX(Merchant_Lookup!$C$2:$C$27,MATCH(TRUE,ISNUMBER(SEARCH(Merchant_Lookup!$A$2:$A$26,UPPER(B235))),0)),"NEEDS REVIEW")</f>
        <v>NEEDS REVIEW</v>
      </c>
      <c r="F235" t="str">
        <f>IF(E235="NEEDS REVIEW","",INDEX(Merchant_Lookup!$D$2:$D$27,MATCH(E235,Merchant_Lookup!$C$2:$C$27,0)))</f>
        <v/>
      </c>
      <c r="G235" t="str">
        <f>IF(E235="NEEDS REVIEW","",INDEX(Merchant_Lookup!$E$2:$E$27,MATCH(E235,Merchant_Lookup!$C$2:$C$27,0)))</f>
        <v/>
      </c>
      <c r="J235" t="str">
        <f t="shared" si="6"/>
        <v>NEEDS REVIEW</v>
      </c>
      <c r="K235" t="str">
        <f t="shared" si="7"/>
        <v/>
      </c>
    </row>
    <row r="236" spans="5:11" x14ac:dyDescent="0.2">
      <c r="E236" t="str" cm="1">
        <f t="array" ref="E236">IFERROR(INDEX(Merchant_Lookup!$C$2:$C$27,MATCH(TRUE,ISNUMBER(SEARCH(Merchant_Lookup!$A$2:$A$26,UPPER(B236))),0)),"NEEDS REVIEW")</f>
        <v>NEEDS REVIEW</v>
      </c>
      <c r="F236" t="str">
        <f>IF(E236="NEEDS REVIEW","",INDEX(Merchant_Lookup!$D$2:$D$27,MATCH(E236,Merchant_Lookup!$C$2:$C$27,0)))</f>
        <v/>
      </c>
      <c r="G236" t="str">
        <f>IF(E236="NEEDS REVIEW","",INDEX(Merchant_Lookup!$E$2:$E$27,MATCH(E236,Merchant_Lookup!$C$2:$C$27,0)))</f>
        <v/>
      </c>
      <c r="J236" t="str">
        <f t="shared" si="6"/>
        <v>NEEDS REVIEW</v>
      </c>
      <c r="K236" t="str">
        <f t="shared" si="7"/>
        <v/>
      </c>
    </row>
    <row r="237" spans="5:11" x14ac:dyDescent="0.2">
      <c r="E237" t="str" cm="1">
        <f t="array" ref="E237">IFERROR(INDEX(Merchant_Lookup!$C$2:$C$27,MATCH(TRUE,ISNUMBER(SEARCH(Merchant_Lookup!$A$2:$A$26,UPPER(B237))),0)),"NEEDS REVIEW")</f>
        <v>NEEDS REVIEW</v>
      </c>
      <c r="F237" t="str">
        <f>IF(E237="NEEDS REVIEW","",INDEX(Merchant_Lookup!$D$2:$D$27,MATCH(E237,Merchant_Lookup!$C$2:$C$27,0)))</f>
        <v/>
      </c>
      <c r="G237" t="str">
        <f>IF(E237="NEEDS REVIEW","",INDEX(Merchant_Lookup!$E$2:$E$27,MATCH(E237,Merchant_Lookup!$C$2:$C$27,0)))</f>
        <v/>
      </c>
      <c r="J237" t="str">
        <f t="shared" si="6"/>
        <v>NEEDS REVIEW</v>
      </c>
      <c r="K237" t="str">
        <f t="shared" si="7"/>
        <v/>
      </c>
    </row>
    <row r="238" spans="5:11" x14ac:dyDescent="0.2">
      <c r="E238" t="str" cm="1">
        <f t="array" ref="E238">IFERROR(INDEX(Merchant_Lookup!$C$2:$C$27,MATCH(TRUE,ISNUMBER(SEARCH(Merchant_Lookup!$A$2:$A$26,UPPER(B238))),0)),"NEEDS REVIEW")</f>
        <v>NEEDS REVIEW</v>
      </c>
      <c r="F238" t="str">
        <f>IF(E238="NEEDS REVIEW","",INDEX(Merchant_Lookup!$D$2:$D$27,MATCH(E238,Merchant_Lookup!$C$2:$C$27,0)))</f>
        <v/>
      </c>
      <c r="G238" t="str">
        <f>IF(E238="NEEDS REVIEW","",INDEX(Merchant_Lookup!$E$2:$E$27,MATCH(E238,Merchant_Lookup!$C$2:$C$27,0)))</f>
        <v/>
      </c>
      <c r="J238" t="str">
        <f t="shared" si="6"/>
        <v>NEEDS REVIEW</v>
      </c>
      <c r="K238" t="str">
        <f t="shared" si="7"/>
        <v/>
      </c>
    </row>
    <row r="239" spans="5:11" x14ac:dyDescent="0.2">
      <c r="E239" t="str" cm="1">
        <f t="array" ref="E239">IFERROR(INDEX(Merchant_Lookup!$C$2:$C$27,MATCH(TRUE,ISNUMBER(SEARCH(Merchant_Lookup!$A$2:$A$26,UPPER(B239))),0)),"NEEDS REVIEW")</f>
        <v>NEEDS REVIEW</v>
      </c>
      <c r="F239" t="str">
        <f>IF(E239="NEEDS REVIEW","",INDEX(Merchant_Lookup!$D$2:$D$27,MATCH(E239,Merchant_Lookup!$C$2:$C$27,0)))</f>
        <v/>
      </c>
      <c r="G239" t="str">
        <f>IF(E239="NEEDS REVIEW","",INDEX(Merchant_Lookup!$E$2:$E$27,MATCH(E239,Merchant_Lookup!$C$2:$C$27,0)))</f>
        <v/>
      </c>
      <c r="J239" t="str">
        <f t="shared" si="6"/>
        <v>NEEDS REVIEW</v>
      </c>
      <c r="K239" t="str">
        <f t="shared" si="7"/>
        <v/>
      </c>
    </row>
    <row r="240" spans="5:11" x14ac:dyDescent="0.2">
      <c r="E240" t="str" cm="1">
        <f t="array" ref="E240">IFERROR(INDEX(Merchant_Lookup!$C$2:$C$27,MATCH(TRUE,ISNUMBER(SEARCH(Merchant_Lookup!$A$2:$A$26,UPPER(B240))),0)),"NEEDS REVIEW")</f>
        <v>NEEDS REVIEW</v>
      </c>
      <c r="F240" t="str">
        <f>IF(E240="NEEDS REVIEW","",INDEX(Merchant_Lookup!$D$2:$D$27,MATCH(E240,Merchant_Lookup!$C$2:$C$27,0)))</f>
        <v/>
      </c>
      <c r="G240" t="str">
        <f>IF(E240="NEEDS REVIEW","",INDEX(Merchant_Lookup!$E$2:$E$27,MATCH(E240,Merchant_Lookup!$C$2:$C$27,0)))</f>
        <v/>
      </c>
      <c r="J240" t="str">
        <f t="shared" si="6"/>
        <v>NEEDS REVIEW</v>
      </c>
      <c r="K240" t="str">
        <f t="shared" si="7"/>
        <v/>
      </c>
    </row>
    <row r="241" spans="5:11" x14ac:dyDescent="0.2">
      <c r="E241" t="str" cm="1">
        <f t="array" ref="E241">IFERROR(INDEX(Merchant_Lookup!$C$2:$C$27,MATCH(TRUE,ISNUMBER(SEARCH(Merchant_Lookup!$A$2:$A$26,UPPER(B241))),0)),"NEEDS REVIEW")</f>
        <v>NEEDS REVIEW</v>
      </c>
      <c r="F241" t="str">
        <f>IF(E241="NEEDS REVIEW","",INDEX(Merchant_Lookup!$D$2:$D$27,MATCH(E241,Merchant_Lookup!$C$2:$C$27,0)))</f>
        <v/>
      </c>
      <c r="G241" t="str">
        <f>IF(E241="NEEDS REVIEW","",INDEX(Merchant_Lookup!$E$2:$E$27,MATCH(E241,Merchant_Lookup!$C$2:$C$27,0)))</f>
        <v/>
      </c>
      <c r="J241" t="str">
        <f t="shared" si="6"/>
        <v>NEEDS REVIEW</v>
      </c>
      <c r="K241" t="str">
        <f t="shared" si="7"/>
        <v/>
      </c>
    </row>
    <row r="242" spans="5:11" x14ac:dyDescent="0.2">
      <c r="E242" t="str" cm="1">
        <f t="array" ref="E242">IFERROR(INDEX(Merchant_Lookup!$C$2:$C$27,MATCH(TRUE,ISNUMBER(SEARCH(Merchant_Lookup!$A$2:$A$26,UPPER(B242))),0)),"NEEDS REVIEW")</f>
        <v>NEEDS REVIEW</v>
      </c>
      <c r="F242" t="str">
        <f>IF(E242="NEEDS REVIEW","",INDEX(Merchant_Lookup!$D$2:$D$27,MATCH(E242,Merchant_Lookup!$C$2:$C$27,0)))</f>
        <v/>
      </c>
      <c r="G242" t="str">
        <f>IF(E242="NEEDS REVIEW","",INDEX(Merchant_Lookup!$E$2:$E$27,MATCH(E242,Merchant_Lookup!$C$2:$C$27,0)))</f>
        <v/>
      </c>
      <c r="J242" t="str">
        <f t="shared" si="6"/>
        <v>NEEDS REVIEW</v>
      </c>
      <c r="K242" t="str">
        <f t="shared" si="7"/>
        <v/>
      </c>
    </row>
    <row r="243" spans="5:11" x14ac:dyDescent="0.2">
      <c r="E243" t="str" cm="1">
        <f t="array" ref="E243">IFERROR(INDEX(Merchant_Lookup!$C$2:$C$27,MATCH(TRUE,ISNUMBER(SEARCH(Merchant_Lookup!$A$2:$A$26,UPPER(B243))),0)),"NEEDS REVIEW")</f>
        <v>NEEDS REVIEW</v>
      </c>
      <c r="F243" t="str">
        <f>IF(E243="NEEDS REVIEW","",INDEX(Merchant_Lookup!$D$2:$D$27,MATCH(E243,Merchant_Lookup!$C$2:$C$27,0)))</f>
        <v/>
      </c>
      <c r="G243" t="str">
        <f>IF(E243="NEEDS REVIEW","",INDEX(Merchant_Lookup!$E$2:$E$27,MATCH(E243,Merchant_Lookup!$C$2:$C$27,0)))</f>
        <v/>
      </c>
      <c r="J243" t="str">
        <f t="shared" si="6"/>
        <v>NEEDS REVIEW</v>
      </c>
      <c r="K243" t="str">
        <f t="shared" si="7"/>
        <v/>
      </c>
    </row>
    <row r="244" spans="5:11" x14ac:dyDescent="0.2">
      <c r="E244" t="str" cm="1">
        <f t="array" ref="E244">IFERROR(INDEX(Merchant_Lookup!$C$2:$C$27,MATCH(TRUE,ISNUMBER(SEARCH(Merchant_Lookup!$A$2:$A$26,UPPER(B244))),0)),"NEEDS REVIEW")</f>
        <v>NEEDS REVIEW</v>
      </c>
      <c r="F244" t="str">
        <f>IF(E244="NEEDS REVIEW","",INDEX(Merchant_Lookup!$D$2:$D$27,MATCH(E244,Merchant_Lookup!$C$2:$C$27,0)))</f>
        <v/>
      </c>
      <c r="G244" t="str">
        <f>IF(E244="NEEDS REVIEW","",INDEX(Merchant_Lookup!$E$2:$E$27,MATCH(E244,Merchant_Lookup!$C$2:$C$27,0)))</f>
        <v/>
      </c>
      <c r="J244" t="str">
        <f t="shared" si="6"/>
        <v>NEEDS REVIEW</v>
      </c>
      <c r="K244" t="str">
        <f t="shared" si="7"/>
        <v/>
      </c>
    </row>
    <row r="245" spans="5:11" x14ac:dyDescent="0.2">
      <c r="E245" t="str" cm="1">
        <f t="array" ref="E245">IFERROR(INDEX(Merchant_Lookup!$C$2:$C$27,MATCH(TRUE,ISNUMBER(SEARCH(Merchant_Lookup!$A$2:$A$26,UPPER(B245))),0)),"NEEDS REVIEW")</f>
        <v>NEEDS REVIEW</v>
      </c>
      <c r="F245" t="str">
        <f>IF(E245="NEEDS REVIEW","",INDEX(Merchant_Lookup!$D$2:$D$27,MATCH(E245,Merchant_Lookup!$C$2:$C$27,0)))</f>
        <v/>
      </c>
      <c r="G245" t="str">
        <f>IF(E245="NEEDS REVIEW","",INDEX(Merchant_Lookup!$E$2:$E$27,MATCH(E245,Merchant_Lookup!$C$2:$C$27,0)))</f>
        <v/>
      </c>
      <c r="J245" t="str">
        <f t="shared" si="6"/>
        <v>NEEDS REVIEW</v>
      </c>
      <c r="K245" t="str">
        <f t="shared" si="7"/>
        <v/>
      </c>
    </row>
    <row r="246" spans="5:11" x14ac:dyDescent="0.2">
      <c r="E246" t="str" cm="1">
        <f t="array" ref="E246">IFERROR(INDEX(Merchant_Lookup!$C$2:$C$27,MATCH(TRUE,ISNUMBER(SEARCH(Merchant_Lookup!$A$2:$A$26,UPPER(B246))),0)),"NEEDS REVIEW")</f>
        <v>NEEDS REVIEW</v>
      </c>
      <c r="F246" t="str">
        <f>IF(E246="NEEDS REVIEW","",INDEX(Merchant_Lookup!$D$2:$D$27,MATCH(E246,Merchant_Lookup!$C$2:$C$27,0)))</f>
        <v/>
      </c>
      <c r="G246" t="str">
        <f>IF(E246="NEEDS REVIEW","",INDEX(Merchant_Lookup!$E$2:$E$27,MATCH(E246,Merchant_Lookup!$C$2:$C$27,0)))</f>
        <v/>
      </c>
      <c r="J246" t="str">
        <f t="shared" si="6"/>
        <v>NEEDS REVIEW</v>
      </c>
      <c r="K246" t="str">
        <f t="shared" si="7"/>
        <v/>
      </c>
    </row>
    <row r="247" spans="5:11" x14ac:dyDescent="0.2">
      <c r="E247" t="str" cm="1">
        <f t="array" ref="E247">IFERROR(INDEX(Merchant_Lookup!$C$2:$C$27,MATCH(TRUE,ISNUMBER(SEARCH(Merchant_Lookup!$A$2:$A$26,UPPER(B247))),0)),"NEEDS REVIEW")</f>
        <v>NEEDS REVIEW</v>
      </c>
      <c r="F247" t="str">
        <f>IF(E247="NEEDS REVIEW","",INDEX(Merchant_Lookup!$D$2:$D$27,MATCH(E247,Merchant_Lookup!$C$2:$C$27,0)))</f>
        <v/>
      </c>
      <c r="G247" t="str">
        <f>IF(E247="NEEDS REVIEW","",INDEX(Merchant_Lookup!$E$2:$E$27,MATCH(E247,Merchant_Lookup!$C$2:$C$27,0)))</f>
        <v/>
      </c>
      <c r="J247" t="str">
        <f t="shared" si="6"/>
        <v>NEEDS REVIEW</v>
      </c>
      <c r="K247" t="str">
        <f t="shared" si="7"/>
        <v/>
      </c>
    </row>
    <row r="248" spans="5:11" x14ac:dyDescent="0.2">
      <c r="E248" t="str" cm="1">
        <f t="array" ref="E248">IFERROR(INDEX(Merchant_Lookup!$C$2:$C$27,MATCH(TRUE,ISNUMBER(SEARCH(Merchant_Lookup!$A$2:$A$26,UPPER(B248))),0)),"NEEDS REVIEW")</f>
        <v>NEEDS REVIEW</v>
      </c>
      <c r="F248" t="str">
        <f>IF(E248="NEEDS REVIEW","",INDEX(Merchant_Lookup!$D$2:$D$27,MATCH(E248,Merchant_Lookup!$C$2:$C$27,0)))</f>
        <v/>
      </c>
      <c r="G248" t="str">
        <f>IF(E248="NEEDS REVIEW","",INDEX(Merchant_Lookup!$E$2:$E$27,MATCH(E248,Merchant_Lookup!$C$2:$C$27,0)))</f>
        <v/>
      </c>
      <c r="J248" t="str">
        <f t="shared" si="6"/>
        <v>NEEDS REVIEW</v>
      </c>
      <c r="K248" t="str">
        <f t="shared" si="7"/>
        <v/>
      </c>
    </row>
    <row r="249" spans="5:11" x14ac:dyDescent="0.2">
      <c r="E249" t="str" cm="1">
        <f t="array" ref="E249">IFERROR(INDEX(Merchant_Lookup!$C$2:$C$27,MATCH(TRUE,ISNUMBER(SEARCH(Merchant_Lookup!$A$2:$A$26,UPPER(B249))),0)),"NEEDS REVIEW")</f>
        <v>NEEDS REVIEW</v>
      </c>
      <c r="F249" t="str">
        <f>IF(E249="NEEDS REVIEW","",INDEX(Merchant_Lookup!$D$2:$D$27,MATCH(E249,Merchant_Lookup!$C$2:$C$27,0)))</f>
        <v/>
      </c>
      <c r="G249" t="str">
        <f>IF(E249="NEEDS REVIEW","",INDEX(Merchant_Lookup!$E$2:$E$27,MATCH(E249,Merchant_Lookup!$C$2:$C$27,0)))</f>
        <v/>
      </c>
      <c r="J249" t="str">
        <f t="shared" si="6"/>
        <v>NEEDS REVIEW</v>
      </c>
      <c r="K249" t="str">
        <f t="shared" si="7"/>
        <v/>
      </c>
    </row>
    <row r="250" spans="5:11" x14ac:dyDescent="0.2">
      <c r="E250" t="str" cm="1">
        <f t="array" ref="E250">IFERROR(INDEX(Merchant_Lookup!$C$2:$C$27,MATCH(TRUE,ISNUMBER(SEARCH(Merchant_Lookup!$A$2:$A$26,UPPER(B250))),0)),"NEEDS REVIEW")</f>
        <v>NEEDS REVIEW</v>
      </c>
      <c r="F250" t="str">
        <f>IF(E250="NEEDS REVIEW","",INDEX(Merchant_Lookup!$D$2:$D$27,MATCH(E250,Merchant_Lookup!$C$2:$C$27,0)))</f>
        <v/>
      </c>
      <c r="G250" t="str">
        <f>IF(E250="NEEDS REVIEW","",INDEX(Merchant_Lookup!$E$2:$E$27,MATCH(E250,Merchant_Lookup!$C$2:$C$27,0)))</f>
        <v/>
      </c>
      <c r="J250" t="str">
        <f t="shared" si="6"/>
        <v>NEEDS REVIEW</v>
      </c>
      <c r="K250" t="str">
        <f t="shared" si="7"/>
        <v/>
      </c>
    </row>
    <row r="251" spans="5:11" x14ac:dyDescent="0.2">
      <c r="E251" t="str" cm="1">
        <f t="array" ref="E251">IFERROR(INDEX(Merchant_Lookup!$C$2:$C$27,MATCH(TRUE,ISNUMBER(SEARCH(Merchant_Lookup!$A$2:$A$26,UPPER(B251))),0)),"NEEDS REVIEW")</f>
        <v>NEEDS REVIEW</v>
      </c>
      <c r="F251" t="str">
        <f>IF(E251="NEEDS REVIEW","",INDEX(Merchant_Lookup!$D$2:$D$27,MATCH(E251,Merchant_Lookup!$C$2:$C$27,0)))</f>
        <v/>
      </c>
      <c r="G251" t="str">
        <f>IF(E251="NEEDS REVIEW","",INDEX(Merchant_Lookup!$E$2:$E$27,MATCH(E251,Merchant_Lookup!$C$2:$C$27,0)))</f>
        <v/>
      </c>
      <c r="J251" t="str">
        <f t="shared" si="6"/>
        <v>NEEDS REVIEW</v>
      </c>
      <c r="K251" t="str">
        <f t="shared" si="7"/>
        <v/>
      </c>
    </row>
    <row r="252" spans="5:11" x14ac:dyDescent="0.2">
      <c r="E252" t="str" cm="1">
        <f t="array" ref="E252">IFERROR(INDEX(Merchant_Lookup!$C$2:$C$27,MATCH(TRUE,ISNUMBER(SEARCH(Merchant_Lookup!$A$2:$A$26,UPPER(B252))),0)),"NEEDS REVIEW")</f>
        <v>NEEDS REVIEW</v>
      </c>
      <c r="F252" t="str">
        <f>IF(E252="NEEDS REVIEW","",INDEX(Merchant_Lookup!$D$2:$D$27,MATCH(E252,Merchant_Lookup!$C$2:$C$27,0)))</f>
        <v/>
      </c>
      <c r="G252" t="str">
        <f>IF(E252="NEEDS REVIEW","",INDEX(Merchant_Lookup!$E$2:$E$27,MATCH(E252,Merchant_Lookup!$C$2:$C$27,0)))</f>
        <v/>
      </c>
      <c r="J252" t="str">
        <f t="shared" si="6"/>
        <v>NEEDS REVIEW</v>
      </c>
      <c r="K252" t="str">
        <f t="shared" si="7"/>
        <v/>
      </c>
    </row>
    <row r="253" spans="5:11" x14ac:dyDescent="0.2">
      <c r="E253" t="str" cm="1">
        <f t="array" ref="E253">IFERROR(INDEX(Merchant_Lookup!$C$2:$C$27,MATCH(TRUE,ISNUMBER(SEARCH(Merchant_Lookup!$A$2:$A$26,UPPER(B253))),0)),"NEEDS REVIEW")</f>
        <v>NEEDS REVIEW</v>
      </c>
      <c r="F253" t="str">
        <f>IF(E253="NEEDS REVIEW","",INDEX(Merchant_Lookup!$D$2:$D$27,MATCH(E253,Merchant_Lookup!$C$2:$C$27,0)))</f>
        <v/>
      </c>
      <c r="G253" t="str">
        <f>IF(E253="NEEDS REVIEW","",INDEX(Merchant_Lookup!$E$2:$E$27,MATCH(E253,Merchant_Lookup!$C$2:$C$27,0)))</f>
        <v/>
      </c>
      <c r="J253" t="str">
        <f t="shared" si="6"/>
        <v>NEEDS REVIEW</v>
      </c>
      <c r="K253" t="str">
        <f t="shared" si="7"/>
        <v/>
      </c>
    </row>
    <row r="254" spans="5:11" x14ac:dyDescent="0.2">
      <c r="E254" t="str" cm="1">
        <f t="array" ref="E254">IFERROR(INDEX(Merchant_Lookup!$C$2:$C$27,MATCH(TRUE,ISNUMBER(SEARCH(Merchant_Lookup!$A$2:$A$26,UPPER(B254))),0)),"NEEDS REVIEW")</f>
        <v>NEEDS REVIEW</v>
      </c>
      <c r="F254" t="str">
        <f>IF(E254="NEEDS REVIEW","",INDEX(Merchant_Lookup!$D$2:$D$27,MATCH(E254,Merchant_Lookup!$C$2:$C$27,0)))</f>
        <v/>
      </c>
      <c r="G254" t="str">
        <f>IF(E254="NEEDS REVIEW","",INDEX(Merchant_Lookup!$E$2:$E$27,MATCH(E254,Merchant_Lookup!$C$2:$C$27,0)))</f>
        <v/>
      </c>
      <c r="J254" t="str">
        <f t="shared" si="6"/>
        <v>NEEDS REVIEW</v>
      </c>
      <c r="K254" t="str">
        <f t="shared" si="7"/>
        <v/>
      </c>
    </row>
    <row r="255" spans="5:11" x14ac:dyDescent="0.2">
      <c r="E255" t="str" cm="1">
        <f t="array" ref="E255">IFERROR(INDEX(Merchant_Lookup!$C$2:$C$27,MATCH(TRUE,ISNUMBER(SEARCH(Merchant_Lookup!$A$2:$A$26,UPPER(B255))),0)),"NEEDS REVIEW")</f>
        <v>NEEDS REVIEW</v>
      </c>
      <c r="F255" t="str">
        <f>IF(E255="NEEDS REVIEW","",INDEX(Merchant_Lookup!$D$2:$D$27,MATCH(E255,Merchant_Lookup!$C$2:$C$27,0)))</f>
        <v/>
      </c>
      <c r="G255" t="str">
        <f>IF(E255="NEEDS REVIEW","",INDEX(Merchant_Lookup!$E$2:$E$27,MATCH(E255,Merchant_Lookup!$C$2:$C$27,0)))</f>
        <v/>
      </c>
      <c r="J255" t="str">
        <f t="shared" si="6"/>
        <v>NEEDS REVIEW</v>
      </c>
      <c r="K255" t="str">
        <f t="shared" si="7"/>
        <v/>
      </c>
    </row>
    <row r="256" spans="5:11" x14ac:dyDescent="0.2">
      <c r="E256" t="str" cm="1">
        <f t="array" ref="E256">IFERROR(INDEX(Merchant_Lookup!$C$2:$C$27,MATCH(TRUE,ISNUMBER(SEARCH(Merchant_Lookup!$A$2:$A$26,UPPER(B256))),0)),"NEEDS REVIEW")</f>
        <v>NEEDS REVIEW</v>
      </c>
      <c r="F256" t="str">
        <f>IF(E256="NEEDS REVIEW","",INDEX(Merchant_Lookup!$D$2:$D$27,MATCH(E256,Merchant_Lookup!$C$2:$C$27,0)))</f>
        <v/>
      </c>
      <c r="G256" t="str">
        <f>IF(E256="NEEDS REVIEW","",INDEX(Merchant_Lookup!$E$2:$E$27,MATCH(E256,Merchant_Lookup!$C$2:$C$27,0)))</f>
        <v/>
      </c>
      <c r="J256" t="str">
        <f t="shared" si="6"/>
        <v>NEEDS REVIEW</v>
      </c>
      <c r="K256" t="str">
        <f t="shared" si="7"/>
        <v/>
      </c>
    </row>
    <row r="257" spans="5:11" x14ac:dyDescent="0.2">
      <c r="E257" t="str" cm="1">
        <f t="array" ref="E257">IFERROR(INDEX(Merchant_Lookup!$C$2:$C$27,MATCH(TRUE,ISNUMBER(SEARCH(Merchant_Lookup!$A$2:$A$26,UPPER(B257))),0)),"NEEDS REVIEW")</f>
        <v>NEEDS REVIEW</v>
      </c>
      <c r="F257" t="str">
        <f>IF(E257="NEEDS REVIEW","",INDEX(Merchant_Lookup!$D$2:$D$27,MATCH(E257,Merchant_Lookup!$C$2:$C$27,0)))</f>
        <v/>
      </c>
      <c r="G257" t="str">
        <f>IF(E257="NEEDS REVIEW","",INDEX(Merchant_Lookup!$E$2:$E$27,MATCH(E257,Merchant_Lookup!$C$2:$C$27,0)))</f>
        <v/>
      </c>
      <c r="J257" t="str">
        <f t="shared" si="6"/>
        <v>NEEDS REVIEW</v>
      </c>
      <c r="K257" t="str">
        <f t="shared" si="7"/>
        <v/>
      </c>
    </row>
    <row r="258" spans="5:11" x14ac:dyDescent="0.2">
      <c r="E258" t="str" cm="1">
        <f t="array" ref="E258">IFERROR(INDEX(Merchant_Lookup!$C$2:$C$27,MATCH(TRUE,ISNUMBER(SEARCH(Merchant_Lookup!$A$2:$A$26,UPPER(B258))),0)),"NEEDS REVIEW")</f>
        <v>NEEDS REVIEW</v>
      </c>
      <c r="F258" t="str">
        <f>IF(E258="NEEDS REVIEW","",INDEX(Merchant_Lookup!$D$2:$D$27,MATCH(E258,Merchant_Lookup!$C$2:$C$27,0)))</f>
        <v/>
      </c>
      <c r="G258" t="str">
        <f>IF(E258="NEEDS REVIEW","",INDEX(Merchant_Lookup!$E$2:$E$27,MATCH(E258,Merchant_Lookup!$C$2:$C$27,0)))</f>
        <v/>
      </c>
      <c r="J258" t="str">
        <f t="shared" si="6"/>
        <v>NEEDS REVIEW</v>
      </c>
      <c r="K258" t="str">
        <f t="shared" si="7"/>
        <v/>
      </c>
    </row>
    <row r="259" spans="5:11" x14ac:dyDescent="0.2">
      <c r="E259" t="str" cm="1">
        <f t="array" ref="E259">IFERROR(INDEX(Merchant_Lookup!$C$2:$C$27,MATCH(TRUE,ISNUMBER(SEARCH(Merchant_Lookup!$A$2:$A$26,UPPER(B259))),0)),"NEEDS REVIEW")</f>
        <v>NEEDS REVIEW</v>
      </c>
      <c r="F259" t="str">
        <f>IF(E259="NEEDS REVIEW","",INDEX(Merchant_Lookup!$D$2:$D$27,MATCH(E259,Merchant_Lookup!$C$2:$C$27,0)))</f>
        <v/>
      </c>
      <c r="G259" t="str">
        <f>IF(E259="NEEDS REVIEW","",INDEX(Merchant_Lookup!$E$2:$E$27,MATCH(E259,Merchant_Lookup!$C$2:$C$27,0)))</f>
        <v/>
      </c>
      <c r="J259" t="str">
        <f t="shared" ref="J259:J322" si="8">IF(H259&lt;&gt;"",H259,E259)</f>
        <v>NEEDS REVIEW</v>
      </c>
      <c r="K259" t="str">
        <f t="shared" ref="K259:K322" si="9">IF(I259&lt;&gt;"",I259,F259)</f>
        <v/>
      </c>
    </row>
    <row r="260" spans="5:11" x14ac:dyDescent="0.2">
      <c r="E260" t="str" cm="1">
        <f t="array" ref="E260">IFERROR(INDEX(Merchant_Lookup!$C$2:$C$27,MATCH(TRUE,ISNUMBER(SEARCH(Merchant_Lookup!$A$2:$A$26,UPPER(B260))),0)),"NEEDS REVIEW")</f>
        <v>NEEDS REVIEW</v>
      </c>
      <c r="F260" t="str">
        <f>IF(E260="NEEDS REVIEW","",INDEX(Merchant_Lookup!$D$2:$D$27,MATCH(E260,Merchant_Lookup!$C$2:$C$27,0)))</f>
        <v/>
      </c>
      <c r="G260" t="str">
        <f>IF(E260="NEEDS REVIEW","",INDEX(Merchant_Lookup!$E$2:$E$27,MATCH(E260,Merchant_Lookup!$C$2:$C$27,0)))</f>
        <v/>
      </c>
      <c r="J260" t="str">
        <f t="shared" si="8"/>
        <v>NEEDS REVIEW</v>
      </c>
      <c r="K260" t="str">
        <f t="shared" si="9"/>
        <v/>
      </c>
    </row>
    <row r="261" spans="5:11" x14ac:dyDescent="0.2">
      <c r="E261" t="str" cm="1">
        <f t="array" ref="E261">IFERROR(INDEX(Merchant_Lookup!$C$2:$C$27,MATCH(TRUE,ISNUMBER(SEARCH(Merchant_Lookup!$A$2:$A$26,UPPER(B261))),0)),"NEEDS REVIEW")</f>
        <v>NEEDS REVIEW</v>
      </c>
      <c r="F261" t="str">
        <f>IF(E261="NEEDS REVIEW","",INDEX(Merchant_Lookup!$D$2:$D$27,MATCH(E261,Merchant_Lookup!$C$2:$C$27,0)))</f>
        <v/>
      </c>
      <c r="G261" t="str">
        <f>IF(E261="NEEDS REVIEW","",INDEX(Merchant_Lookup!$E$2:$E$27,MATCH(E261,Merchant_Lookup!$C$2:$C$27,0)))</f>
        <v/>
      </c>
      <c r="J261" t="str">
        <f t="shared" si="8"/>
        <v>NEEDS REVIEW</v>
      </c>
      <c r="K261" t="str">
        <f t="shared" si="9"/>
        <v/>
      </c>
    </row>
    <row r="262" spans="5:11" x14ac:dyDescent="0.2">
      <c r="E262" t="str" cm="1">
        <f t="array" ref="E262">IFERROR(INDEX(Merchant_Lookup!$C$2:$C$27,MATCH(TRUE,ISNUMBER(SEARCH(Merchant_Lookup!$A$2:$A$26,UPPER(B262))),0)),"NEEDS REVIEW")</f>
        <v>NEEDS REVIEW</v>
      </c>
      <c r="F262" t="str">
        <f>IF(E262="NEEDS REVIEW","",INDEX(Merchant_Lookup!$D$2:$D$27,MATCH(E262,Merchant_Lookup!$C$2:$C$27,0)))</f>
        <v/>
      </c>
      <c r="G262" t="str">
        <f>IF(E262="NEEDS REVIEW","",INDEX(Merchant_Lookup!$E$2:$E$27,MATCH(E262,Merchant_Lookup!$C$2:$C$27,0)))</f>
        <v/>
      </c>
      <c r="J262" t="str">
        <f t="shared" si="8"/>
        <v>NEEDS REVIEW</v>
      </c>
      <c r="K262" t="str">
        <f t="shared" si="9"/>
        <v/>
      </c>
    </row>
    <row r="263" spans="5:11" x14ac:dyDescent="0.2">
      <c r="E263" t="str" cm="1">
        <f t="array" ref="E263">IFERROR(INDEX(Merchant_Lookup!$C$2:$C$27,MATCH(TRUE,ISNUMBER(SEARCH(Merchant_Lookup!$A$2:$A$26,UPPER(B263))),0)),"NEEDS REVIEW")</f>
        <v>NEEDS REVIEW</v>
      </c>
      <c r="F263" t="str">
        <f>IF(E263="NEEDS REVIEW","",INDEX(Merchant_Lookup!$D$2:$D$27,MATCH(E263,Merchant_Lookup!$C$2:$C$27,0)))</f>
        <v/>
      </c>
      <c r="G263" t="str">
        <f>IF(E263="NEEDS REVIEW","",INDEX(Merchant_Lookup!$E$2:$E$27,MATCH(E263,Merchant_Lookup!$C$2:$C$27,0)))</f>
        <v/>
      </c>
      <c r="J263" t="str">
        <f t="shared" si="8"/>
        <v>NEEDS REVIEW</v>
      </c>
      <c r="K263" t="str">
        <f t="shared" si="9"/>
        <v/>
      </c>
    </row>
    <row r="264" spans="5:11" x14ac:dyDescent="0.2">
      <c r="E264" t="str" cm="1">
        <f t="array" ref="E264">IFERROR(INDEX(Merchant_Lookup!$C$2:$C$27,MATCH(TRUE,ISNUMBER(SEARCH(Merchant_Lookup!$A$2:$A$26,UPPER(B264))),0)),"NEEDS REVIEW")</f>
        <v>NEEDS REVIEW</v>
      </c>
      <c r="F264" t="str">
        <f>IF(E264="NEEDS REVIEW","",INDEX(Merchant_Lookup!$D$2:$D$27,MATCH(E264,Merchant_Lookup!$C$2:$C$27,0)))</f>
        <v/>
      </c>
      <c r="G264" t="str">
        <f>IF(E264="NEEDS REVIEW","",INDEX(Merchant_Lookup!$E$2:$E$27,MATCH(E264,Merchant_Lookup!$C$2:$C$27,0)))</f>
        <v/>
      </c>
      <c r="J264" t="str">
        <f t="shared" si="8"/>
        <v>NEEDS REVIEW</v>
      </c>
      <c r="K264" t="str">
        <f t="shared" si="9"/>
        <v/>
      </c>
    </row>
    <row r="265" spans="5:11" x14ac:dyDescent="0.2">
      <c r="E265" t="str" cm="1">
        <f t="array" ref="E265">IFERROR(INDEX(Merchant_Lookup!$C$2:$C$27,MATCH(TRUE,ISNUMBER(SEARCH(Merchant_Lookup!$A$2:$A$26,UPPER(B265))),0)),"NEEDS REVIEW")</f>
        <v>NEEDS REVIEW</v>
      </c>
      <c r="F265" t="str">
        <f>IF(E265="NEEDS REVIEW","",INDEX(Merchant_Lookup!$D$2:$D$27,MATCH(E265,Merchant_Lookup!$C$2:$C$27,0)))</f>
        <v/>
      </c>
      <c r="G265" t="str">
        <f>IF(E265="NEEDS REVIEW","",INDEX(Merchant_Lookup!$E$2:$E$27,MATCH(E265,Merchant_Lookup!$C$2:$C$27,0)))</f>
        <v/>
      </c>
      <c r="J265" t="str">
        <f t="shared" si="8"/>
        <v>NEEDS REVIEW</v>
      </c>
      <c r="K265" t="str">
        <f t="shared" si="9"/>
        <v/>
      </c>
    </row>
    <row r="266" spans="5:11" x14ac:dyDescent="0.2">
      <c r="E266" t="str" cm="1">
        <f t="array" ref="E266">IFERROR(INDEX(Merchant_Lookup!$C$2:$C$27,MATCH(TRUE,ISNUMBER(SEARCH(Merchant_Lookup!$A$2:$A$26,UPPER(B266))),0)),"NEEDS REVIEW")</f>
        <v>NEEDS REVIEW</v>
      </c>
      <c r="F266" t="str">
        <f>IF(E266="NEEDS REVIEW","",INDEX(Merchant_Lookup!$D$2:$D$27,MATCH(E266,Merchant_Lookup!$C$2:$C$27,0)))</f>
        <v/>
      </c>
      <c r="G266" t="str">
        <f>IF(E266="NEEDS REVIEW","",INDEX(Merchant_Lookup!$E$2:$E$27,MATCH(E266,Merchant_Lookup!$C$2:$C$27,0)))</f>
        <v/>
      </c>
      <c r="J266" t="str">
        <f t="shared" si="8"/>
        <v>NEEDS REVIEW</v>
      </c>
      <c r="K266" t="str">
        <f t="shared" si="9"/>
        <v/>
      </c>
    </row>
    <row r="267" spans="5:11" x14ac:dyDescent="0.2">
      <c r="E267" t="str" cm="1">
        <f t="array" ref="E267">IFERROR(INDEX(Merchant_Lookup!$C$2:$C$27,MATCH(TRUE,ISNUMBER(SEARCH(Merchant_Lookup!$A$2:$A$26,UPPER(B267))),0)),"NEEDS REVIEW")</f>
        <v>NEEDS REVIEW</v>
      </c>
      <c r="F267" t="str">
        <f>IF(E267="NEEDS REVIEW","",INDEX(Merchant_Lookup!$D$2:$D$27,MATCH(E267,Merchant_Lookup!$C$2:$C$27,0)))</f>
        <v/>
      </c>
      <c r="G267" t="str">
        <f>IF(E267="NEEDS REVIEW","",INDEX(Merchant_Lookup!$E$2:$E$27,MATCH(E267,Merchant_Lookup!$C$2:$C$27,0)))</f>
        <v/>
      </c>
      <c r="J267" t="str">
        <f t="shared" si="8"/>
        <v>NEEDS REVIEW</v>
      </c>
      <c r="K267" t="str">
        <f t="shared" si="9"/>
        <v/>
      </c>
    </row>
    <row r="268" spans="5:11" x14ac:dyDescent="0.2">
      <c r="E268" t="str" cm="1">
        <f t="array" ref="E268">IFERROR(INDEX(Merchant_Lookup!$C$2:$C$27,MATCH(TRUE,ISNUMBER(SEARCH(Merchant_Lookup!$A$2:$A$26,UPPER(B268))),0)),"NEEDS REVIEW")</f>
        <v>NEEDS REVIEW</v>
      </c>
      <c r="F268" t="str">
        <f>IF(E268="NEEDS REVIEW","",INDEX(Merchant_Lookup!$D$2:$D$27,MATCH(E268,Merchant_Lookup!$C$2:$C$27,0)))</f>
        <v/>
      </c>
      <c r="G268" t="str">
        <f>IF(E268="NEEDS REVIEW","",INDEX(Merchant_Lookup!$E$2:$E$27,MATCH(E268,Merchant_Lookup!$C$2:$C$27,0)))</f>
        <v/>
      </c>
      <c r="J268" t="str">
        <f t="shared" si="8"/>
        <v>NEEDS REVIEW</v>
      </c>
      <c r="K268" t="str">
        <f t="shared" si="9"/>
        <v/>
      </c>
    </row>
    <row r="269" spans="5:11" x14ac:dyDescent="0.2">
      <c r="E269" t="str" cm="1">
        <f t="array" ref="E269">IFERROR(INDEX(Merchant_Lookup!$C$2:$C$27,MATCH(TRUE,ISNUMBER(SEARCH(Merchant_Lookup!$A$2:$A$26,UPPER(B269))),0)),"NEEDS REVIEW")</f>
        <v>NEEDS REVIEW</v>
      </c>
      <c r="F269" t="str">
        <f>IF(E269="NEEDS REVIEW","",INDEX(Merchant_Lookup!$D$2:$D$27,MATCH(E269,Merchant_Lookup!$C$2:$C$27,0)))</f>
        <v/>
      </c>
      <c r="G269" t="str">
        <f>IF(E269="NEEDS REVIEW","",INDEX(Merchant_Lookup!$E$2:$E$27,MATCH(E269,Merchant_Lookup!$C$2:$C$27,0)))</f>
        <v/>
      </c>
      <c r="J269" t="str">
        <f t="shared" si="8"/>
        <v>NEEDS REVIEW</v>
      </c>
      <c r="K269" t="str">
        <f t="shared" si="9"/>
        <v/>
      </c>
    </row>
    <row r="270" spans="5:11" x14ac:dyDescent="0.2">
      <c r="E270" t="str" cm="1">
        <f t="array" ref="E270">IFERROR(INDEX(Merchant_Lookup!$C$2:$C$27,MATCH(TRUE,ISNUMBER(SEARCH(Merchant_Lookup!$A$2:$A$26,UPPER(B270))),0)),"NEEDS REVIEW")</f>
        <v>NEEDS REVIEW</v>
      </c>
      <c r="F270" t="str">
        <f>IF(E270="NEEDS REVIEW","",INDEX(Merchant_Lookup!$D$2:$D$27,MATCH(E270,Merchant_Lookup!$C$2:$C$27,0)))</f>
        <v/>
      </c>
      <c r="G270" t="str">
        <f>IF(E270="NEEDS REVIEW","",INDEX(Merchant_Lookup!$E$2:$E$27,MATCH(E270,Merchant_Lookup!$C$2:$C$27,0)))</f>
        <v/>
      </c>
      <c r="J270" t="str">
        <f t="shared" si="8"/>
        <v>NEEDS REVIEW</v>
      </c>
      <c r="K270" t="str">
        <f t="shared" si="9"/>
        <v/>
      </c>
    </row>
    <row r="271" spans="5:11" x14ac:dyDescent="0.2">
      <c r="E271" t="str" cm="1">
        <f t="array" ref="E271">IFERROR(INDEX(Merchant_Lookup!$C$2:$C$27,MATCH(TRUE,ISNUMBER(SEARCH(Merchant_Lookup!$A$2:$A$26,UPPER(B271))),0)),"NEEDS REVIEW")</f>
        <v>NEEDS REVIEW</v>
      </c>
      <c r="F271" t="str">
        <f>IF(E271="NEEDS REVIEW","",INDEX(Merchant_Lookup!$D$2:$D$27,MATCH(E271,Merchant_Lookup!$C$2:$C$27,0)))</f>
        <v/>
      </c>
      <c r="G271" t="str">
        <f>IF(E271="NEEDS REVIEW","",INDEX(Merchant_Lookup!$E$2:$E$27,MATCH(E271,Merchant_Lookup!$C$2:$C$27,0)))</f>
        <v/>
      </c>
      <c r="J271" t="str">
        <f t="shared" si="8"/>
        <v>NEEDS REVIEW</v>
      </c>
      <c r="K271" t="str">
        <f t="shared" si="9"/>
        <v/>
      </c>
    </row>
    <row r="272" spans="5:11" x14ac:dyDescent="0.2">
      <c r="E272" t="str" cm="1">
        <f t="array" ref="E272">IFERROR(INDEX(Merchant_Lookup!$C$2:$C$27,MATCH(TRUE,ISNUMBER(SEARCH(Merchant_Lookup!$A$2:$A$26,UPPER(B272))),0)),"NEEDS REVIEW")</f>
        <v>NEEDS REVIEW</v>
      </c>
      <c r="F272" t="str">
        <f>IF(E272="NEEDS REVIEW","",INDEX(Merchant_Lookup!$D$2:$D$27,MATCH(E272,Merchant_Lookup!$C$2:$C$27,0)))</f>
        <v/>
      </c>
      <c r="G272" t="str">
        <f>IF(E272="NEEDS REVIEW","",INDEX(Merchant_Lookup!$E$2:$E$27,MATCH(E272,Merchant_Lookup!$C$2:$C$27,0)))</f>
        <v/>
      </c>
      <c r="J272" t="str">
        <f t="shared" si="8"/>
        <v>NEEDS REVIEW</v>
      </c>
      <c r="K272" t="str">
        <f t="shared" si="9"/>
        <v/>
      </c>
    </row>
    <row r="273" spans="5:11" x14ac:dyDescent="0.2">
      <c r="E273" t="str" cm="1">
        <f t="array" ref="E273">IFERROR(INDEX(Merchant_Lookup!$C$2:$C$27,MATCH(TRUE,ISNUMBER(SEARCH(Merchant_Lookup!$A$2:$A$26,UPPER(B273))),0)),"NEEDS REVIEW")</f>
        <v>NEEDS REVIEW</v>
      </c>
      <c r="F273" t="str">
        <f>IF(E273="NEEDS REVIEW","",INDEX(Merchant_Lookup!$D$2:$D$27,MATCH(E273,Merchant_Lookup!$C$2:$C$27,0)))</f>
        <v/>
      </c>
      <c r="G273" t="str">
        <f>IF(E273="NEEDS REVIEW","",INDEX(Merchant_Lookup!$E$2:$E$27,MATCH(E273,Merchant_Lookup!$C$2:$C$27,0)))</f>
        <v/>
      </c>
      <c r="J273" t="str">
        <f t="shared" si="8"/>
        <v>NEEDS REVIEW</v>
      </c>
      <c r="K273" t="str">
        <f t="shared" si="9"/>
        <v/>
      </c>
    </row>
    <row r="274" spans="5:11" x14ac:dyDescent="0.2">
      <c r="E274" t="str" cm="1">
        <f t="array" ref="E274">IFERROR(INDEX(Merchant_Lookup!$C$2:$C$27,MATCH(TRUE,ISNUMBER(SEARCH(Merchant_Lookup!$A$2:$A$26,UPPER(B274))),0)),"NEEDS REVIEW")</f>
        <v>NEEDS REVIEW</v>
      </c>
      <c r="F274" t="str">
        <f>IF(E274="NEEDS REVIEW","",INDEX(Merchant_Lookup!$D$2:$D$27,MATCH(E274,Merchant_Lookup!$C$2:$C$27,0)))</f>
        <v/>
      </c>
      <c r="G274" t="str">
        <f>IF(E274="NEEDS REVIEW","",INDEX(Merchant_Lookup!$E$2:$E$27,MATCH(E274,Merchant_Lookup!$C$2:$C$27,0)))</f>
        <v/>
      </c>
      <c r="J274" t="str">
        <f t="shared" si="8"/>
        <v>NEEDS REVIEW</v>
      </c>
      <c r="K274" t="str">
        <f t="shared" si="9"/>
        <v/>
      </c>
    </row>
    <row r="275" spans="5:11" x14ac:dyDescent="0.2">
      <c r="E275" t="str" cm="1">
        <f t="array" ref="E275">IFERROR(INDEX(Merchant_Lookup!$C$2:$C$27,MATCH(TRUE,ISNUMBER(SEARCH(Merchant_Lookup!$A$2:$A$26,UPPER(B275))),0)),"NEEDS REVIEW")</f>
        <v>NEEDS REVIEW</v>
      </c>
      <c r="F275" t="str">
        <f>IF(E275="NEEDS REVIEW","",INDEX(Merchant_Lookup!$D$2:$D$27,MATCH(E275,Merchant_Lookup!$C$2:$C$27,0)))</f>
        <v/>
      </c>
      <c r="G275" t="str">
        <f>IF(E275="NEEDS REVIEW","",INDEX(Merchant_Lookup!$E$2:$E$27,MATCH(E275,Merchant_Lookup!$C$2:$C$27,0)))</f>
        <v/>
      </c>
      <c r="J275" t="str">
        <f t="shared" si="8"/>
        <v>NEEDS REVIEW</v>
      </c>
      <c r="K275" t="str">
        <f t="shared" si="9"/>
        <v/>
      </c>
    </row>
    <row r="276" spans="5:11" x14ac:dyDescent="0.2">
      <c r="E276" t="str" cm="1">
        <f t="array" ref="E276">IFERROR(INDEX(Merchant_Lookup!$C$2:$C$27,MATCH(TRUE,ISNUMBER(SEARCH(Merchant_Lookup!$A$2:$A$26,UPPER(B276))),0)),"NEEDS REVIEW")</f>
        <v>NEEDS REVIEW</v>
      </c>
      <c r="F276" t="str">
        <f>IF(E276="NEEDS REVIEW","",INDEX(Merchant_Lookup!$D$2:$D$27,MATCH(E276,Merchant_Lookup!$C$2:$C$27,0)))</f>
        <v/>
      </c>
      <c r="G276" t="str">
        <f>IF(E276="NEEDS REVIEW","",INDEX(Merchant_Lookup!$E$2:$E$27,MATCH(E276,Merchant_Lookup!$C$2:$C$27,0)))</f>
        <v/>
      </c>
      <c r="J276" t="str">
        <f t="shared" si="8"/>
        <v>NEEDS REVIEW</v>
      </c>
      <c r="K276" t="str">
        <f t="shared" si="9"/>
        <v/>
      </c>
    </row>
    <row r="277" spans="5:11" x14ac:dyDescent="0.2">
      <c r="E277" t="str" cm="1">
        <f t="array" ref="E277">IFERROR(INDEX(Merchant_Lookup!$C$2:$C$27,MATCH(TRUE,ISNUMBER(SEARCH(Merchant_Lookup!$A$2:$A$26,UPPER(B277))),0)),"NEEDS REVIEW")</f>
        <v>NEEDS REVIEW</v>
      </c>
      <c r="F277" t="str">
        <f>IF(E277="NEEDS REVIEW","",INDEX(Merchant_Lookup!$D$2:$D$27,MATCH(E277,Merchant_Lookup!$C$2:$C$27,0)))</f>
        <v/>
      </c>
      <c r="G277" t="str">
        <f>IF(E277="NEEDS REVIEW","",INDEX(Merchant_Lookup!$E$2:$E$27,MATCH(E277,Merchant_Lookup!$C$2:$C$27,0)))</f>
        <v/>
      </c>
      <c r="J277" t="str">
        <f t="shared" si="8"/>
        <v>NEEDS REVIEW</v>
      </c>
      <c r="K277" t="str">
        <f t="shared" si="9"/>
        <v/>
      </c>
    </row>
    <row r="278" spans="5:11" x14ac:dyDescent="0.2">
      <c r="E278" t="str" cm="1">
        <f t="array" ref="E278">IFERROR(INDEX(Merchant_Lookup!$C$2:$C$27,MATCH(TRUE,ISNUMBER(SEARCH(Merchant_Lookup!$A$2:$A$26,UPPER(B278))),0)),"NEEDS REVIEW")</f>
        <v>NEEDS REVIEW</v>
      </c>
      <c r="F278" t="str">
        <f>IF(E278="NEEDS REVIEW","",INDEX(Merchant_Lookup!$D$2:$D$27,MATCH(E278,Merchant_Lookup!$C$2:$C$27,0)))</f>
        <v/>
      </c>
      <c r="G278" t="str">
        <f>IF(E278="NEEDS REVIEW","",INDEX(Merchant_Lookup!$E$2:$E$27,MATCH(E278,Merchant_Lookup!$C$2:$C$27,0)))</f>
        <v/>
      </c>
      <c r="J278" t="str">
        <f t="shared" si="8"/>
        <v>NEEDS REVIEW</v>
      </c>
      <c r="K278" t="str">
        <f t="shared" si="9"/>
        <v/>
      </c>
    </row>
    <row r="279" spans="5:11" x14ac:dyDescent="0.2">
      <c r="E279" t="str" cm="1">
        <f t="array" ref="E279">IFERROR(INDEX(Merchant_Lookup!$C$2:$C$27,MATCH(TRUE,ISNUMBER(SEARCH(Merchant_Lookup!$A$2:$A$26,UPPER(B279))),0)),"NEEDS REVIEW")</f>
        <v>NEEDS REVIEW</v>
      </c>
      <c r="F279" t="str">
        <f>IF(E279="NEEDS REVIEW","",INDEX(Merchant_Lookup!$D$2:$D$27,MATCH(E279,Merchant_Lookup!$C$2:$C$27,0)))</f>
        <v/>
      </c>
      <c r="G279" t="str">
        <f>IF(E279="NEEDS REVIEW","",INDEX(Merchant_Lookup!$E$2:$E$27,MATCH(E279,Merchant_Lookup!$C$2:$C$27,0)))</f>
        <v/>
      </c>
      <c r="J279" t="str">
        <f t="shared" si="8"/>
        <v>NEEDS REVIEW</v>
      </c>
      <c r="K279" t="str">
        <f t="shared" si="9"/>
        <v/>
      </c>
    </row>
    <row r="280" spans="5:11" x14ac:dyDescent="0.2">
      <c r="E280" t="str" cm="1">
        <f t="array" ref="E280">IFERROR(INDEX(Merchant_Lookup!$C$2:$C$27,MATCH(TRUE,ISNUMBER(SEARCH(Merchant_Lookup!$A$2:$A$26,UPPER(B280))),0)),"NEEDS REVIEW")</f>
        <v>NEEDS REVIEW</v>
      </c>
      <c r="F280" t="str">
        <f>IF(E280="NEEDS REVIEW","",INDEX(Merchant_Lookup!$D$2:$D$27,MATCH(E280,Merchant_Lookup!$C$2:$C$27,0)))</f>
        <v/>
      </c>
      <c r="G280" t="str">
        <f>IF(E280="NEEDS REVIEW","",INDEX(Merchant_Lookup!$E$2:$E$27,MATCH(E280,Merchant_Lookup!$C$2:$C$27,0)))</f>
        <v/>
      </c>
      <c r="J280" t="str">
        <f t="shared" si="8"/>
        <v>NEEDS REVIEW</v>
      </c>
      <c r="K280" t="str">
        <f t="shared" si="9"/>
        <v/>
      </c>
    </row>
    <row r="281" spans="5:11" x14ac:dyDescent="0.2">
      <c r="E281" t="str" cm="1">
        <f t="array" ref="E281">IFERROR(INDEX(Merchant_Lookup!$C$2:$C$27,MATCH(TRUE,ISNUMBER(SEARCH(Merchant_Lookup!$A$2:$A$26,UPPER(B281))),0)),"NEEDS REVIEW")</f>
        <v>NEEDS REVIEW</v>
      </c>
      <c r="F281" t="str">
        <f>IF(E281="NEEDS REVIEW","",INDEX(Merchant_Lookup!$D$2:$D$27,MATCH(E281,Merchant_Lookup!$C$2:$C$27,0)))</f>
        <v/>
      </c>
      <c r="G281" t="str">
        <f>IF(E281="NEEDS REVIEW","",INDEX(Merchant_Lookup!$E$2:$E$27,MATCH(E281,Merchant_Lookup!$C$2:$C$27,0)))</f>
        <v/>
      </c>
      <c r="J281" t="str">
        <f t="shared" si="8"/>
        <v>NEEDS REVIEW</v>
      </c>
      <c r="K281" t="str">
        <f t="shared" si="9"/>
        <v/>
      </c>
    </row>
    <row r="282" spans="5:11" x14ac:dyDescent="0.2">
      <c r="E282" t="str" cm="1">
        <f t="array" ref="E282">IFERROR(INDEX(Merchant_Lookup!$C$2:$C$27,MATCH(TRUE,ISNUMBER(SEARCH(Merchant_Lookup!$A$2:$A$26,UPPER(B282))),0)),"NEEDS REVIEW")</f>
        <v>NEEDS REVIEW</v>
      </c>
      <c r="F282" t="str">
        <f>IF(E282="NEEDS REVIEW","",INDEX(Merchant_Lookup!$D$2:$D$27,MATCH(E282,Merchant_Lookup!$C$2:$C$27,0)))</f>
        <v/>
      </c>
      <c r="G282" t="str">
        <f>IF(E282="NEEDS REVIEW","",INDEX(Merchant_Lookup!$E$2:$E$27,MATCH(E282,Merchant_Lookup!$C$2:$C$27,0)))</f>
        <v/>
      </c>
      <c r="J282" t="str">
        <f t="shared" si="8"/>
        <v>NEEDS REVIEW</v>
      </c>
      <c r="K282" t="str">
        <f t="shared" si="9"/>
        <v/>
      </c>
    </row>
    <row r="283" spans="5:11" x14ac:dyDescent="0.2">
      <c r="E283" t="str" cm="1">
        <f t="array" ref="E283">IFERROR(INDEX(Merchant_Lookup!$C$2:$C$27,MATCH(TRUE,ISNUMBER(SEARCH(Merchant_Lookup!$A$2:$A$26,UPPER(B283))),0)),"NEEDS REVIEW")</f>
        <v>NEEDS REVIEW</v>
      </c>
      <c r="F283" t="str">
        <f>IF(E283="NEEDS REVIEW","",INDEX(Merchant_Lookup!$D$2:$D$27,MATCH(E283,Merchant_Lookup!$C$2:$C$27,0)))</f>
        <v/>
      </c>
      <c r="G283" t="str">
        <f>IF(E283="NEEDS REVIEW","",INDEX(Merchant_Lookup!$E$2:$E$27,MATCH(E283,Merchant_Lookup!$C$2:$C$27,0)))</f>
        <v/>
      </c>
      <c r="J283" t="str">
        <f t="shared" si="8"/>
        <v>NEEDS REVIEW</v>
      </c>
      <c r="K283" t="str">
        <f t="shared" si="9"/>
        <v/>
      </c>
    </row>
    <row r="284" spans="5:11" x14ac:dyDescent="0.2">
      <c r="E284" t="str" cm="1">
        <f t="array" ref="E284">IFERROR(INDEX(Merchant_Lookup!$C$2:$C$27,MATCH(TRUE,ISNUMBER(SEARCH(Merchant_Lookup!$A$2:$A$26,UPPER(B284))),0)),"NEEDS REVIEW")</f>
        <v>NEEDS REVIEW</v>
      </c>
      <c r="F284" t="str">
        <f>IF(E284="NEEDS REVIEW","",INDEX(Merchant_Lookup!$D$2:$D$27,MATCH(E284,Merchant_Lookup!$C$2:$C$27,0)))</f>
        <v/>
      </c>
      <c r="G284" t="str">
        <f>IF(E284="NEEDS REVIEW","",INDEX(Merchant_Lookup!$E$2:$E$27,MATCH(E284,Merchant_Lookup!$C$2:$C$27,0)))</f>
        <v/>
      </c>
      <c r="J284" t="str">
        <f t="shared" si="8"/>
        <v>NEEDS REVIEW</v>
      </c>
      <c r="K284" t="str">
        <f t="shared" si="9"/>
        <v/>
      </c>
    </row>
    <row r="285" spans="5:11" x14ac:dyDescent="0.2">
      <c r="E285" t="str" cm="1">
        <f t="array" ref="E285">IFERROR(INDEX(Merchant_Lookup!$C$2:$C$27,MATCH(TRUE,ISNUMBER(SEARCH(Merchant_Lookup!$A$2:$A$26,UPPER(B285))),0)),"NEEDS REVIEW")</f>
        <v>NEEDS REVIEW</v>
      </c>
      <c r="F285" t="str">
        <f>IF(E285="NEEDS REVIEW","",INDEX(Merchant_Lookup!$D$2:$D$27,MATCH(E285,Merchant_Lookup!$C$2:$C$27,0)))</f>
        <v/>
      </c>
      <c r="G285" t="str">
        <f>IF(E285="NEEDS REVIEW","",INDEX(Merchant_Lookup!$E$2:$E$27,MATCH(E285,Merchant_Lookup!$C$2:$C$27,0)))</f>
        <v/>
      </c>
      <c r="J285" t="str">
        <f t="shared" si="8"/>
        <v>NEEDS REVIEW</v>
      </c>
      <c r="K285" t="str">
        <f t="shared" si="9"/>
        <v/>
      </c>
    </row>
    <row r="286" spans="5:11" x14ac:dyDescent="0.2">
      <c r="E286" t="str" cm="1">
        <f t="array" ref="E286">IFERROR(INDEX(Merchant_Lookup!$C$2:$C$27,MATCH(TRUE,ISNUMBER(SEARCH(Merchant_Lookup!$A$2:$A$26,UPPER(B286))),0)),"NEEDS REVIEW")</f>
        <v>NEEDS REVIEW</v>
      </c>
      <c r="F286" t="str">
        <f>IF(E286="NEEDS REVIEW","",INDEX(Merchant_Lookup!$D$2:$D$27,MATCH(E286,Merchant_Lookup!$C$2:$C$27,0)))</f>
        <v/>
      </c>
      <c r="G286" t="str">
        <f>IF(E286="NEEDS REVIEW","",INDEX(Merchant_Lookup!$E$2:$E$27,MATCH(E286,Merchant_Lookup!$C$2:$C$27,0)))</f>
        <v/>
      </c>
      <c r="J286" t="str">
        <f t="shared" si="8"/>
        <v>NEEDS REVIEW</v>
      </c>
      <c r="K286" t="str">
        <f t="shared" si="9"/>
        <v/>
      </c>
    </row>
    <row r="287" spans="5:11" x14ac:dyDescent="0.2">
      <c r="E287" t="str" cm="1">
        <f t="array" ref="E287">IFERROR(INDEX(Merchant_Lookup!$C$2:$C$27,MATCH(TRUE,ISNUMBER(SEARCH(Merchant_Lookup!$A$2:$A$26,UPPER(B287))),0)),"NEEDS REVIEW")</f>
        <v>NEEDS REVIEW</v>
      </c>
      <c r="F287" t="str">
        <f>IF(E287="NEEDS REVIEW","",INDEX(Merchant_Lookup!$D$2:$D$27,MATCH(E287,Merchant_Lookup!$C$2:$C$27,0)))</f>
        <v/>
      </c>
      <c r="G287" t="str">
        <f>IF(E287="NEEDS REVIEW","",INDEX(Merchant_Lookup!$E$2:$E$27,MATCH(E287,Merchant_Lookup!$C$2:$C$27,0)))</f>
        <v/>
      </c>
      <c r="J287" t="str">
        <f t="shared" si="8"/>
        <v>NEEDS REVIEW</v>
      </c>
      <c r="K287" t="str">
        <f t="shared" si="9"/>
        <v/>
      </c>
    </row>
    <row r="288" spans="5:11" x14ac:dyDescent="0.2">
      <c r="E288" t="str" cm="1">
        <f t="array" ref="E288">IFERROR(INDEX(Merchant_Lookup!$C$2:$C$27,MATCH(TRUE,ISNUMBER(SEARCH(Merchant_Lookup!$A$2:$A$26,UPPER(B288))),0)),"NEEDS REVIEW")</f>
        <v>NEEDS REVIEW</v>
      </c>
      <c r="F288" t="str">
        <f>IF(E288="NEEDS REVIEW","",INDEX(Merchant_Lookup!$D$2:$D$27,MATCH(E288,Merchant_Lookup!$C$2:$C$27,0)))</f>
        <v/>
      </c>
      <c r="G288" t="str">
        <f>IF(E288="NEEDS REVIEW","",INDEX(Merchant_Lookup!$E$2:$E$27,MATCH(E288,Merchant_Lookup!$C$2:$C$27,0)))</f>
        <v/>
      </c>
      <c r="J288" t="str">
        <f t="shared" si="8"/>
        <v>NEEDS REVIEW</v>
      </c>
      <c r="K288" t="str">
        <f t="shared" si="9"/>
        <v/>
      </c>
    </row>
    <row r="289" spans="5:11" x14ac:dyDescent="0.2">
      <c r="E289" t="str" cm="1">
        <f t="array" ref="E289">IFERROR(INDEX(Merchant_Lookup!$C$2:$C$27,MATCH(TRUE,ISNUMBER(SEARCH(Merchant_Lookup!$A$2:$A$26,UPPER(B289))),0)),"NEEDS REVIEW")</f>
        <v>NEEDS REVIEW</v>
      </c>
      <c r="F289" t="str">
        <f>IF(E289="NEEDS REVIEW","",INDEX(Merchant_Lookup!$D$2:$D$27,MATCH(E289,Merchant_Lookup!$C$2:$C$27,0)))</f>
        <v/>
      </c>
      <c r="G289" t="str">
        <f>IF(E289="NEEDS REVIEW","",INDEX(Merchant_Lookup!$E$2:$E$27,MATCH(E289,Merchant_Lookup!$C$2:$C$27,0)))</f>
        <v/>
      </c>
      <c r="J289" t="str">
        <f t="shared" si="8"/>
        <v>NEEDS REVIEW</v>
      </c>
      <c r="K289" t="str">
        <f t="shared" si="9"/>
        <v/>
      </c>
    </row>
    <row r="290" spans="5:11" x14ac:dyDescent="0.2">
      <c r="E290" t="str" cm="1">
        <f t="array" ref="E290">IFERROR(INDEX(Merchant_Lookup!$C$2:$C$27,MATCH(TRUE,ISNUMBER(SEARCH(Merchant_Lookup!$A$2:$A$26,UPPER(B290))),0)),"NEEDS REVIEW")</f>
        <v>NEEDS REVIEW</v>
      </c>
      <c r="F290" t="str">
        <f>IF(E290="NEEDS REVIEW","",INDEX(Merchant_Lookup!$D$2:$D$27,MATCH(E290,Merchant_Lookup!$C$2:$C$27,0)))</f>
        <v/>
      </c>
      <c r="G290" t="str">
        <f>IF(E290="NEEDS REVIEW","",INDEX(Merchant_Lookup!$E$2:$E$27,MATCH(E290,Merchant_Lookup!$C$2:$C$27,0)))</f>
        <v/>
      </c>
      <c r="J290" t="str">
        <f t="shared" si="8"/>
        <v>NEEDS REVIEW</v>
      </c>
      <c r="K290" t="str">
        <f t="shared" si="9"/>
        <v/>
      </c>
    </row>
    <row r="291" spans="5:11" x14ac:dyDescent="0.2">
      <c r="E291" t="str" cm="1">
        <f t="array" ref="E291">IFERROR(INDEX(Merchant_Lookup!$C$2:$C$27,MATCH(TRUE,ISNUMBER(SEARCH(Merchant_Lookup!$A$2:$A$26,UPPER(B291))),0)),"NEEDS REVIEW")</f>
        <v>NEEDS REVIEW</v>
      </c>
      <c r="F291" t="str">
        <f>IF(E291="NEEDS REVIEW","",INDEX(Merchant_Lookup!$D$2:$D$27,MATCH(E291,Merchant_Lookup!$C$2:$C$27,0)))</f>
        <v/>
      </c>
      <c r="G291" t="str">
        <f>IF(E291="NEEDS REVIEW","",INDEX(Merchant_Lookup!$E$2:$E$27,MATCH(E291,Merchant_Lookup!$C$2:$C$27,0)))</f>
        <v/>
      </c>
      <c r="J291" t="str">
        <f t="shared" si="8"/>
        <v>NEEDS REVIEW</v>
      </c>
      <c r="K291" t="str">
        <f t="shared" si="9"/>
        <v/>
      </c>
    </row>
    <row r="292" spans="5:11" x14ac:dyDescent="0.2">
      <c r="E292" t="str" cm="1">
        <f t="array" ref="E292">IFERROR(INDEX(Merchant_Lookup!$C$2:$C$27,MATCH(TRUE,ISNUMBER(SEARCH(Merchant_Lookup!$A$2:$A$26,UPPER(B292))),0)),"NEEDS REVIEW")</f>
        <v>NEEDS REVIEW</v>
      </c>
      <c r="F292" t="str">
        <f>IF(E292="NEEDS REVIEW","",INDEX(Merchant_Lookup!$D$2:$D$27,MATCH(E292,Merchant_Lookup!$C$2:$C$27,0)))</f>
        <v/>
      </c>
      <c r="G292" t="str">
        <f>IF(E292="NEEDS REVIEW","",INDEX(Merchant_Lookup!$E$2:$E$27,MATCH(E292,Merchant_Lookup!$C$2:$C$27,0)))</f>
        <v/>
      </c>
      <c r="J292" t="str">
        <f t="shared" si="8"/>
        <v>NEEDS REVIEW</v>
      </c>
      <c r="K292" t="str">
        <f t="shared" si="9"/>
        <v/>
      </c>
    </row>
    <row r="293" spans="5:11" x14ac:dyDescent="0.2">
      <c r="E293" t="str" cm="1">
        <f t="array" ref="E293">IFERROR(INDEX(Merchant_Lookup!$C$2:$C$27,MATCH(TRUE,ISNUMBER(SEARCH(Merchant_Lookup!$A$2:$A$26,UPPER(B293))),0)),"NEEDS REVIEW")</f>
        <v>NEEDS REVIEW</v>
      </c>
      <c r="F293" t="str">
        <f>IF(E293="NEEDS REVIEW","",INDEX(Merchant_Lookup!$D$2:$D$27,MATCH(E293,Merchant_Lookup!$C$2:$C$27,0)))</f>
        <v/>
      </c>
      <c r="G293" t="str">
        <f>IF(E293="NEEDS REVIEW","",INDEX(Merchant_Lookup!$E$2:$E$27,MATCH(E293,Merchant_Lookup!$C$2:$C$27,0)))</f>
        <v/>
      </c>
      <c r="J293" t="str">
        <f t="shared" si="8"/>
        <v>NEEDS REVIEW</v>
      </c>
      <c r="K293" t="str">
        <f t="shared" si="9"/>
        <v/>
      </c>
    </row>
    <row r="294" spans="5:11" x14ac:dyDescent="0.2">
      <c r="E294" t="str" cm="1">
        <f t="array" ref="E294">IFERROR(INDEX(Merchant_Lookup!$C$2:$C$27,MATCH(TRUE,ISNUMBER(SEARCH(Merchant_Lookup!$A$2:$A$26,UPPER(B294))),0)),"NEEDS REVIEW")</f>
        <v>NEEDS REVIEW</v>
      </c>
      <c r="F294" t="str">
        <f>IF(E294="NEEDS REVIEW","",INDEX(Merchant_Lookup!$D$2:$D$27,MATCH(E294,Merchant_Lookup!$C$2:$C$27,0)))</f>
        <v/>
      </c>
      <c r="G294" t="str">
        <f>IF(E294="NEEDS REVIEW","",INDEX(Merchant_Lookup!$E$2:$E$27,MATCH(E294,Merchant_Lookup!$C$2:$C$27,0)))</f>
        <v/>
      </c>
      <c r="J294" t="str">
        <f t="shared" si="8"/>
        <v>NEEDS REVIEW</v>
      </c>
      <c r="K294" t="str">
        <f t="shared" si="9"/>
        <v/>
      </c>
    </row>
    <row r="295" spans="5:11" x14ac:dyDescent="0.2">
      <c r="E295" t="str" cm="1">
        <f t="array" ref="E295">IFERROR(INDEX(Merchant_Lookup!$C$2:$C$27,MATCH(TRUE,ISNUMBER(SEARCH(Merchant_Lookup!$A$2:$A$26,UPPER(B295))),0)),"NEEDS REVIEW")</f>
        <v>NEEDS REVIEW</v>
      </c>
      <c r="F295" t="str">
        <f>IF(E295="NEEDS REVIEW","",INDEX(Merchant_Lookup!$D$2:$D$27,MATCH(E295,Merchant_Lookup!$C$2:$C$27,0)))</f>
        <v/>
      </c>
      <c r="G295" t="str">
        <f>IF(E295="NEEDS REVIEW","",INDEX(Merchant_Lookup!$E$2:$E$27,MATCH(E295,Merchant_Lookup!$C$2:$C$27,0)))</f>
        <v/>
      </c>
      <c r="J295" t="str">
        <f t="shared" si="8"/>
        <v>NEEDS REVIEW</v>
      </c>
      <c r="K295" t="str">
        <f t="shared" si="9"/>
        <v/>
      </c>
    </row>
    <row r="296" spans="5:11" x14ac:dyDescent="0.2">
      <c r="E296" t="str" cm="1">
        <f t="array" ref="E296">IFERROR(INDEX(Merchant_Lookup!$C$2:$C$27,MATCH(TRUE,ISNUMBER(SEARCH(Merchant_Lookup!$A$2:$A$26,UPPER(B296))),0)),"NEEDS REVIEW")</f>
        <v>NEEDS REVIEW</v>
      </c>
      <c r="F296" t="str">
        <f>IF(E296="NEEDS REVIEW","",INDEX(Merchant_Lookup!$D$2:$D$27,MATCH(E296,Merchant_Lookup!$C$2:$C$27,0)))</f>
        <v/>
      </c>
      <c r="G296" t="str">
        <f>IF(E296="NEEDS REVIEW","",INDEX(Merchant_Lookup!$E$2:$E$27,MATCH(E296,Merchant_Lookup!$C$2:$C$27,0)))</f>
        <v/>
      </c>
      <c r="J296" t="str">
        <f t="shared" si="8"/>
        <v>NEEDS REVIEW</v>
      </c>
      <c r="K296" t="str">
        <f t="shared" si="9"/>
        <v/>
      </c>
    </row>
    <row r="297" spans="5:11" x14ac:dyDescent="0.2">
      <c r="E297" t="str" cm="1">
        <f t="array" ref="E297">IFERROR(INDEX(Merchant_Lookup!$C$2:$C$27,MATCH(TRUE,ISNUMBER(SEARCH(Merchant_Lookup!$A$2:$A$26,UPPER(B297))),0)),"NEEDS REVIEW")</f>
        <v>NEEDS REVIEW</v>
      </c>
      <c r="F297" t="str">
        <f>IF(E297="NEEDS REVIEW","",INDEX(Merchant_Lookup!$D$2:$D$27,MATCH(E297,Merchant_Lookup!$C$2:$C$27,0)))</f>
        <v/>
      </c>
      <c r="G297" t="str">
        <f>IF(E297="NEEDS REVIEW","",INDEX(Merchant_Lookup!$E$2:$E$27,MATCH(E297,Merchant_Lookup!$C$2:$C$27,0)))</f>
        <v/>
      </c>
      <c r="J297" t="str">
        <f t="shared" si="8"/>
        <v>NEEDS REVIEW</v>
      </c>
      <c r="K297" t="str">
        <f t="shared" si="9"/>
        <v/>
      </c>
    </row>
    <row r="298" spans="5:11" x14ac:dyDescent="0.2">
      <c r="E298" t="str" cm="1">
        <f t="array" ref="E298">IFERROR(INDEX(Merchant_Lookup!$C$2:$C$27,MATCH(TRUE,ISNUMBER(SEARCH(Merchant_Lookup!$A$2:$A$26,UPPER(B298))),0)),"NEEDS REVIEW")</f>
        <v>NEEDS REVIEW</v>
      </c>
      <c r="F298" t="str">
        <f>IF(E298="NEEDS REVIEW","",INDEX(Merchant_Lookup!$D$2:$D$27,MATCH(E298,Merchant_Lookup!$C$2:$C$27,0)))</f>
        <v/>
      </c>
      <c r="G298" t="str">
        <f>IF(E298="NEEDS REVIEW","",INDEX(Merchant_Lookup!$E$2:$E$27,MATCH(E298,Merchant_Lookup!$C$2:$C$27,0)))</f>
        <v/>
      </c>
      <c r="J298" t="str">
        <f t="shared" si="8"/>
        <v>NEEDS REVIEW</v>
      </c>
      <c r="K298" t="str">
        <f t="shared" si="9"/>
        <v/>
      </c>
    </row>
    <row r="299" spans="5:11" x14ac:dyDescent="0.2">
      <c r="E299" t="str" cm="1">
        <f t="array" ref="E299">IFERROR(INDEX(Merchant_Lookup!$C$2:$C$27,MATCH(TRUE,ISNUMBER(SEARCH(Merchant_Lookup!$A$2:$A$26,UPPER(B299))),0)),"NEEDS REVIEW")</f>
        <v>NEEDS REVIEW</v>
      </c>
      <c r="F299" t="str">
        <f>IF(E299="NEEDS REVIEW","",INDEX(Merchant_Lookup!$D$2:$D$27,MATCH(E299,Merchant_Lookup!$C$2:$C$27,0)))</f>
        <v/>
      </c>
      <c r="G299" t="str">
        <f>IF(E299="NEEDS REVIEW","",INDEX(Merchant_Lookup!$E$2:$E$27,MATCH(E299,Merchant_Lookup!$C$2:$C$27,0)))</f>
        <v/>
      </c>
      <c r="J299" t="str">
        <f t="shared" si="8"/>
        <v>NEEDS REVIEW</v>
      </c>
      <c r="K299" t="str">
        <f t="shared" si="9"/>
        <v/>
      </c>
    </row>
    <row r="300" spans="5:11" x14ac:dyDescent="0.2">
      <c r="E300" t="str" cm="1">
        <f t="array" ref="E300">IFERROR(INDEX(Merchant_Lookup!$C$2:$C$27,MATCH(TRUE,ISNUMBER(SEARCH(Merchant_Lookup!$A$2:$A$26,UPPER(B300))),0)),"NEEDS REVIEW")</f>
        <v>NEEDS REVIEW</v>
      </c>
      <c r="F300" t="str">
        <f>IF(E300="NEEDS REVIEW","",INDEX(Merchant_Lookup!$D$2:$D$27,MATCH(E300,Merchant_Lookup!$C$2:$C$27,0)))</f>
        <v/>
      </c>
      <c r="G300" t="str">
        <f>IF(E300="NEEDS REVIEW","",INDEX(Merchant_Lookup!$E$2:$E$27,MATCH(E300,Merchant_Lookup!$C$2:$C$27,0)))</f>
        <v/>
      </c>
      <c r="J300" t="str">
        <f t="shared" si="8"/>
        <v>NEEDS REVIEW</v>
      </c>
      <c r="K300" t="str">
        <f t="shared" si="9"/>
        <v/>
      </c>
    </row>
    <row r="301" spans="5:11" x14ac:dyDescent="0.2">
      <c r="E301" t="str" cm="1">
        <f t="array" ref="E301">IFERROR(INDEX(Merchant_Lookup!$C$2:$C$27,MATCH(TRUE,ISNUMBER(SEARCH(Merchant_Lookup!$A$2:$A$26,UPPER(B301))),0)),"NEEDS REVIEW")</f>
        <v>NEEDS REVIEW</v>
      </c>
      <c r="F301" t="str">
        <f>IF(E301="NEEDS REVIEW","",INDEX(Merchant_Lookup!$D$2:$D$27,MATCH(E301,Merchant_Lookup!$C$2:$C$27,0)))</f>
        <v/>
      </c>
      <c r="G301" t="str">
        <f>IF(E301="NEEDS REVIEW","",INDEX(Merchant_Lookup!$E$2:$E$27,MATCH(E301,Merchant_Lookup!$C$2:$C$27,0)))</f>
        <v/>
      </c>
      <c r="J301" t="str">
        <f t="shared" si="8"/>
        <v>NEEDS REVIEW</v>
      </c>
      <c r="K301" t="str">
        <f t="shared" si="9"/>
        <v/>
      </c>
    </row>
    <row r="302" spans="5:11" x14ac:dyDescent="0.2">
      <c r="E302" t="str" cm="1">
        <f t="array" ref="E302">IFERROR(INDEX(Merchant_Lookup!$C$2:$C$27,MATCH(TRUE,ISNUMBER(SEARCH(Merchant_Lookup!$A$2:$A$26,UPPER(B302))),0)),"NEEDS REVIEW")</f>
        <v>NEEDS REVIEW</v>
      </c>
      <c r="F302" t="str">
        <f>IF(E302="NEEDS REVIEW","",INDEX(Merchant_Lookup!$D$2:$D$27,MATCH(E302,Merchant_Lookup!$C$2:$C$27,0)))</f>
        <v/>
      </c>
      <c r="G302" t="str">
        <f>IF(E302="NEEDS REVIEW","",INDEX(Merchant_Lookup!$E$2:$E$27,MATCH(E302,Merchant_Lookup!$C$2:$C$27,0)))</f>
        <v/>
      </c>
      <c r="J302" t="str">
        <f t="shared" si="8"/>
        <v>NEEDS REVIEW</v>
      </c>
      <c r="K302" t="str">
        <f t="shared" si="9"/>
        <v/>
      </c>
    </row>
    <row r="303" spans="5:11" x14ac:dyDescent="0.2">
      <c r="E303" t="str" cm="1">
        <f t="array" ref="E303">IFERROR(INDEX(Merchant_Lookup!$C$2:$C$27,MATCH(TRUE,ISNUMBER(SEARCH(Merchant_Lookup!$A$2:$A$26,UPPER(B303))),0)),"NEEDS REVIEW")</f>
        <v>NEEDS REVIEW</v>
      </c>
      <c r="F303" t="str">
        <f>IF(E303="NEEDS REVIEW","",INDEX(Merchant_Lookup!$D$2:$D$27,MATCH(E303,Merchant_Lookup!$C$2:$C$27,0)))</f>
        <v/>
      </c>
      <c r="G303" t="str">
        <f>IF(E303="NEEDS REVIEW","",INDEX(Merchant_Lookup!$E$2:$E$27,MATCH(E303,Merchant_Lookup!$C$2:$C$27,0)))</f>
        <v/>
      </c>
      <c r="J303" t="str">
        <f t="shared" si="8"/>
        <v>NEEDS REVIEW</v>
      </c>
      <c r="K303" t="str">
        <f t="shared" si="9"/>
        <v/>
      </c>
    </row>
    <row r="304" spans="5:11" x14ac:dyDescent="0.2">
      <c r="E304" t="str" cm="1">
        <f t="array" ref="E304">IFERROR(INDEX(Merchant_Lookup!$C$2:$C$27,MATCH(TRUE,ISNUMBER(SEARCH(Merchant_Lookup!$A$2:$A$26,UPPER(B304))),0)),"NEEDS REVIEW")</f>
        <v>NEEDS REVIEW</v>
      </c>
      <c r="F304" t="str">
        <f>IF(E304="NEEDS REVIEW","",INDEX(Merchant_Lookup!$D$2:$D$27,MATCH(E304,Merchant_Lookup!$C$2:$C$27,0)))</f>
        <v/>
      </c>
      <c r="G304" t="str">
        <f>IF(E304="NEEDS REVIEW","",INDEX(Merchant_Lookup!$E$2:$E$27,MATCH(E304,Merchant_Lookup!$C$2:$C$27,0)))</f>
        <v/>
      </c>
      <c r="J304" t="str">
        <f t="shared" si="8"/>
        <v>NEEDS REVIEW</v>
      </c>
      <c r="K304" t="str">
        <f t="shared" si="9"/>
        <v/>
      </c>
    </row>
    <row r="305" spans="5:11" x14ac:dyDescent="0.2">
      <c r="E305" t="str" cm="1">
        <f t="array" ref="E305">IFERROR(INDEX(Merchant_Lookup!$C$2:$C$27,MATCH(TRUE,ISNUMBER(SEARCH(Merchant_Lookup!$A$2:$A$26,UPPER(B305))),0)),"NEEDS REVIEW")</f>
        <v>NEEDS REVIEW</v>
      </c>
      <c r="F305" t="str">
        <f>IF(E305="NEEDS REVIEW","",INDEX(Merchant_Lookup!$D$2:$D$27,MATCH(E305,Merchant_Lookup!$C$2:$C$27,0)))</f>
        <v/>
      </c>
      <c r="G305" t="str">
        <f>IF(E305="NEEDS REVIEW","",INDEX(Merchant_Lookup!$E$2:$E$27,MATCH(E305,Merchant_Lookup!$C$2:$C$27,0)))</f>
        <v/>
      </c>
      <c r="J305" t="str">
        <f t="shared" si="8"/>
        <v>NEEDS REVIEW</v>
      </c>
      <c r="K305" t="str">
        <f t="shared" si="9"/>
        <v/>
      </c>
    </row>
    <row r="306" spans="5:11" x14ac:dyDescent="0.2">
      <c r="E306" t="str" cm="1">
        <f t="array" ref="E306">IFERROR(INDEX(Merchant_Lookup!$C$2:$C$27,MATCH(TRUE,ISNUMBER(SEARCH(Merchant_Lookup!$A$2:$A$26,UPPER(B306))),0)),"NEEDS REVIEW")</f>
        <v>NEEDS REVIEW</v>
      </c>
      <c r="F306" t="str">
        <f>IF(E306="NEEDS REVIEW","",INDEX(Merchant_Lookup!$D$2:$D$27,MATCH(E306,Merchant_Lookup!$C$2:$C$27,0)))</f>
        <v/>
      </c>
      <c r="G306" t="str">
        <f>IF(E306="NEEDS REVIEW","",INDEX(Merchant_Lookup!$E$2:$E$27,MATCH(E306,Merchant_Lookup!$C$2:$C$27,0)))</f>
        <v/>
      </c>
      <c r="J306" t="str">
        <f t="shared" si="8"/>
        <v>NEEDS REVIEW</v>
      </c>
      <c r="K306" t="str">
        <f t="shared" si="9"/>
        <v/>
      </c>
    </row>
    <row r="307" spans="5:11" x14ac:dyDescent="0.2">
      <c r="E307" t="str" cm="1">
        <f t="array" ref="E307">IFERROR(INDEX(Merchant_Lookup!$C$2:$C$27,MATCH(TRUE,ISNUMBER(SEARCH(Merchant_Lookup!$A$2:$A$26,UPPER(B307))),0)),"NEEDS REVIEW")</f>
        <v>NEEDS REVIEW</v>
      </c>
      <c r="F307" t="str">
        <f>IF(E307="NEEDS REVIEW","",INDEX(Merchant_Lookup!$D$2:$D$27,MATCH(E307,Merchant_Lookup!$C$2:$C$27,0)))</f>
        <v/>
      </c>
      <c r="G307" t="str">
        <f>IF(E307="NEEDS REVIEW","",INDEX(Merchant_Lookup!$E$2:$E$27,MATCH(E307,Merchant_Lookup!$C$2:$C$27,0)))</f>
        <v/>
      </c>
      <c r="J307" t="str">
        <f t="shared" si="8"/>
        <v>NEEDS REVIEW</v>
      </c>
      <c r="K307" t="str">
        <f t="shared" si="9"/>
        <v/>
      </c>
    </row>
    <row r="308" spans="5:11" x14ac:dyDescent="0.2">
      <c r="E308" t="str" cm="1">
        <f t="array" ref="E308">IFERROR(INDEX(Merchant_Lookup!$C$2:$C$27,MATCH(TRUE,ISNUMBER(SEARCH(Merchant_Lookup!$A$2:$A$26,UPPER(B308))),0)),"NEEDS REVIEW")</f>
        <v>NEEDS REVIEW</v>
      </c>
      <c r="F308" t="str">
        <f>IF(E308="NEEDS REVIEW","",INDEX(Merchant_Lookup!$D$2:$D$27,MATCH(E308,Merchant_Lookup!$C$2:$C$27,0)))</f>
        <v/>
      </c>
      <c r="G308" t="str">
        <f>IF(E308="NEEDS REVIEW","",INDEX(Merchant_Lookup!$E$2:$E$27,MATCH(E308,Merchant_Lookup!$C$2:$C$27,0)))</f>
        <v/>
      </c>
      <c r="J308" t="str">
        <f t="shared" si="8"/>
        <v>NEEDS REVIEW</v>
      </c>
      <c r="K308" t="str">
        <f t="shared" si="9"/>
        <v/>
      </c>
    </row>
    <row r="309" spans="5:11" x14ac:dyDescent="0.2">
      <c r="E309" t="str" cm="1">
        <f t="array" ref="E309">IFERROR(INDEX(Merchant_Lookup!$C$2:$C$27,MATCH(TRUE,ISNUMBER(SEARCH(Merchant_Lookup!$A$2:$A$26,UPPER(B309))),0)),"NEEDS REVIEW")</f>
        <v>NEEDS REVIEW</v>
      </c>
      <c r="F309" t="str">
        <f>IF(E309="NEEDS REVIEW","",INDEX(Merchant_Lookup!$D$2:$D$27,MATCH(E309,Merchant_Lookup!$C$2:$C$27,0)))</f>
        <v/>
      </c>
      <c r="G309" t="str">
        <f>IF(E309="NEEDS REVIEW","",INDEX(Merchant_Lookup!$E$2:$E$27,MATCH(E309,Merchant_Lookup!$C$2:$C$27,0)))</f>
        <v/>
      </c>
      <c r="J309" t="str">
        <f t="shared" si="8"/>
        <v>NEEDS REVIEW</v>
      </c>
      <c r="K309" t="str">
        <f t="shared" si="9"/>
        <v/>
      </c>
    </row>
    <row r="310" spans="5:11" x14ac:dyDescent="0.2">
      <c r="E310" t="str" cm="1">
        <f t="array" ref="E310">IFERROR(INDEX(Merchant_Lookup!$C$2:$C$27,MATCH(TRUE,ISNUMBER(SEARCH(Merchant_Lookup!$A$2:$A$26,UPPER(B310))),0)),"NEEDS REVIEW")</f>
        <v>NEEDS REVIEW</v>
      </c>
      <c r="F310" t="str">
        <f>IF(E310="NEEDS REVIEW","",INDEX(Merchant_Lookup!$D$2:$D$27,MATCH(E310,Merchant_Lookup!$C$2:$C$27,0)))</f>
        <v/>
      </c>
      <c r="G310" t="str">
        <f>IF(E310="NEEDS REVIEW","",INDEX(Merchant_Lookup!$E$2:$E$27,MATCH(E310,Merchant_Lookup!$C$2:$C$27,0)))</f>
        <v/>
      </c>
      <c r="J310" t="str">
        <f t="shared" si="8"/>
        <v>NEEDS REVIEW</v>
      </c>
      <c r="K310" t="str">
        <f t="shared" si="9"/>
        <v/>
      </c>
    </row>
    <row r="311" spans="5:11" x14ac:dyDescent="0.2">
      <c r="E311" t="str" cm="1">
        <f t="array" ref="E311">IFERROR(INDEX(Merchant_Lookup!$C$2:$C$27,MATCH(TRUE,ISNUMBER(SEARCH(Merchant_Lookup!$A$2:$A$26,UPPER(B311))),0)),"NEEDS REVIEW")</f>
        <v>NEEDS REVIEW</v>
      </c>
      <c r="F311" t="str">
        <f>IF(E311="NEEDS REVIEW","",INDEX(Merchant_Lookup!$D$2:$D$27,MATCH(E311,Merchant_Lookup!$C$2:$C$27,0)))</f>
        <v/>
      </c>
      <c r="G311" t="str">
        <f>IF(E311="NEEDS REVIEW","",INDEX(Merchant_Lookup!$E$2:$E$27,MATCH(E311,Merchant_Lookup!$C$2:$C$27,0)))</f>
        <v/>
      </c>
      <c r="J311" t="str">
        <f t="shared" si="8"/>
        <v>NEEDS REVIEW</v>
      </c>
      <c r="K311" t="str">
        <f t="shared" si="9"/>
        <v/>
      </c>
    </row>
    <row r="312" spans="5:11" x14ac:dyDescent="0.2">
      <c r="E312" t="str" cm="1">
        <f t="array" ref="E312">IFERROR(INDEX(Merchant_Lookup!$C$2:$C$27,MATCH(TRUE,ISNUMBER(SEARCH(Merchant_Lookup!$A$2:$A$26,UPPER(B312))),0)),"NEEDS REVIEW")</f>
        <v>NEEDS REVIEW</v>
      </c>
      <c r="F312" t="str">
        <f>IF(E312="NEEDS REVIEW","",INDEX(Merchant_Lookup!$D$2:$D$27,MATCH(E312,Merchant_Lookup!$C$2:$C$27,0)))</f>
        <v/>
      </c>
      <c r="G312" t="str">
        <f>IF(E312="NEEDS REVIEW","",INDEX(Merchant_Lookup!$E$2:$E$27,MATCH(E312,Merchant_Lookup!$C$2:$C$27,0)))</f>
        <v/>
      </c>
      <c r="J312" t="str">
        <f t="shared" si="8"/>
        <v>NEEDS REVIEW</v>
      </c>
      <c r="K312" t="str">
        <f t="shared" si="9"/>
        <v/>
      </c>
    </row>
    <row r="313" spans="5:11" x14ac:dyDescent="0.2">
      <c r="E313" t="str" cm="1">
        <f t="array" ref="E313">IFERROR(INDEX(Merchant_Lookup!$C$2:$C$27,MATCH(TRUE,ISNUMBER(SEARCH(Merchant_Lookup!$A$2:$A$26,UPPER(B313))),0)),"NEEDS REVIEW")</f>
        <v>NEEDS REVIEW</v>
      </c>
      <c r="F313" t="str">
        <f>IF(E313="NEEDS REVIEW","",INDEX(Merchant_Lookup!$D$2:$D$27,MATCH(E313,Merchant_Lookup!$C$2:$C$27,0)))</f>
        <v/>
      </c>
      <c r="G313" t="str">
        <f>IF(E313="NEEDS REVIEW","",INDEX(Merchant_Lookup!$E$2:$E$27,MATCH(E313,Merchant_Lookup!$C$2:$C$27,0)))</f>
        <v/>
      </c>
      <c r="J313" t="str">
        <f t="shared" si="8"/>
        <v>NEEDS REVIEW</v>
      </c>
      <c r="K313" t="str">
        <f t="shared" si="9"/>
        <v/>
      </c>
    </row>
    <row r="314" spans="5:11" x14ac:dyDescent="0.2">
      <c r="E314" t="str" cm="1">
        <f t="array" ref="E314">IFERROR(INDEX(Merchant_Lookup!$C$2:$C$27,MATCH(TRUE,ISNUMBER(SEARCH(Merchant_Lookup!$A$2:$A$26,UPPER(B314))),0)),"NEEDS REVIEW")</f>
        <v>NEEDS REVIEW</v>
      </c>
      <c r="F314" t="str">
        <f>IF(E314="NEEDS REVIEW","",INDEX(Merchant_Lookup!$D$2:$D$27,MATCH(E314,Merchant_Lookup!$C$2:$C$27,0)))</f>
        <v/>
      </c>
      <c r="G314" t="str">
        <f>IF(E314="NEEDS REVIEW","",INDEX(Merchant_Lookup!$E$2:$E$27,MATCH(E314,Merchant_Lookup!$C$2:$C$27,0)))</f>
        <v/>
      </c>
      <c r="J314" t="str">
        <f t="shared" si="8"/>
        <v>NEEDS REVIEW</v>
      </c>
      <c r="K314" t="str">
        <f t="shared" si="9"/>
        <v/>
      </c>
    </row>
    <row r="315" spans="5:11" x14ac:dyDescent="0.2">
      <c r="E315" t="str" cm="1">
        <f t="array" ref="E315">IFERROR(INDEX(Merchant_Lookup!$C$2:$C$27,MATCH(TRUE,ISNUMBER(SEARCH(Merchant_Lookup!$A$2:$A$26,UPPER(B315))),0)),"NEEDS REVIEW")</f>
        <v>NEEDS REVIEW</v>
      </c>
      <c r="F315" t="str">
        <f>IF(E315="NEEDS REVIEW","",INDEX(Merchant_Lookup!$D$2:$D$27,MATCH(E315,Merchant_Lookup!$C$2:$C$27,0)))</f>
        <v/>
      </c>
      <c r="G315" t="str">
        <f>IF(E315="NEEDS REVIEW","",INDEX(Merchant_Lookup!$E$2:$E$27,MATCH(E315,Merchant_Lookup!$C$2:$C$27,0)))</f>
        <v/>
      </c>
      <c r="J315" t="str">
        <f t="shared" si="8"/>
        <v>NEEDS REVIEW</v>
      </c>
      <c r="K315" t="str">
        <f t="shared" si="9"/>
        <v/>
      </c>
    </row>
    <row r="316" spans="5:11" x14ac:dyDescent="0.2">
      <c r="E316" t="str" cm="1">
        <f t="array" ref="E316">IFERROR(INDEX(Merchant_Lookup!$C$2:$C$27,MATCH(TRUE,ISNUMBER(SEARCH(Merchant_Lookup!$A$2:$A$26,UPPER(B316))),0)),"NEEDS REVIEW")</f>
        <v>NEEDS REVIEW</v>
      </c>
      <c r="F316" t="str">
        <f>IF(E316="NEEDS REVIEW","",INDEX(Merchant_Lookup!$D$2:$D$27,MATCH(E316,Merchant_Lookup!$C$2:$C$27,0)))</f>
        <v/>
      </c>
      <c r="G316" t="str">
        <f>IF(E316="NEEDS REVIEW","",INDEX(Merchant_Lookup!$E$2:$E$27,MATCH(E316,Merchant_Lookup!$C$2:$C$27,0)))</f>
        <v/>
      </c>
      <c r="J316" t="str">
        <f t="shared" si="8"/>
        <v>NEEDS REVIEW</v>
      </c>
      <c r="K316" t="str">
        <f t="shared" si="9"/>
        <v/>
      </c>
    </row>
    <row r="317" spans="5:11" x14ac:dyDescent="0.2">
      <c r="E317" t="str" cm="1">
        <f t="array" ref="E317">IFERROR(INDEX(Merchant_Lookup!$C$2:$C$27,MATCH(TRUE,ISNUMBER(SEARCH(Merchant_Lookup!$A$2:$A$26,UPPER(B317))),0)),"NEEDS REVIEW")</f>
        <v>NEEDS REVIEW</v>
      </c>
      <c r="F317" t="str">
        <f>IF(E317="NEEDS REVIEW","",INDEX(Merchant_Lookup!$D$2:$D$27,MATCH(E317,Merchant_Lookup!$C$2:$C$27,0)))</f>
        <v/>
      </c>
      <c r="G317" t="str">
        <f>IF(E317="NEEDS REVIEW","",INDEX(Merchant_Lookup!$E$2:$E$27,MATCH(E317,Merchant_Lookup!$C$2:$C$27,0)))</f>
        <v/>
      </c>
      <c r="J317" t="str">
        <f t="shared" si="8"/>
        <v>NEEDS REVIEW</v>
      </c>
      <c r="K317" t="str">
        <f t="shared" si="9"/>
        <v/>
      </c>
    </row>
    <row r="318" spans="5:11" x14ac:dyDescent="0.2">
      <c r="E318" t="str" cm="1">
        <f t="array" ref="E318">IFERROR(INDEX(Merchant_Lookup!$C$2:$C$27,MATCH(TRUE,ISNUMBER(SEARCH(Merchant_Lookup!$A$2:$A$26,UPPER(B318))),0)),"NEEDS REVIEW")</f>
        <v>NEEDS REVIEW</v>
      </c>
      <c r="F318" t="str">
        <f>IF(E318="NEEDS REVIEW","",INDEX(Merchant_Lookup!$D$2:$D$27,MATCH(E318,Merchant_Lookup!$C$2:$C$27,0)))</f>
        <v/>
      </c>
      <c r="G318" t="str">
        <f>IF(E318="NEEDS REVIEW","",INDEX(Merchant_Lookup!$E$2:$E$27,MATCH(E318,Merchant_Lookup!$C$2:$C$27,0)))</f>
        <v/>
      </c>
      <c r="J318" t="str">
        <f t="shared" si="8"/>
        <v>NEEDS REVIEW</v>
      </c>
      <c r="K318" t="str">
        <f t="shared" si="9"/>
        <v/>
      </c>
    </row>
    <row r="319" spans="5:11" x14ac:dyDescent="0.2">
      <c r="E319" t="str" cm="1">
        <f t="array" ref="E319">IFERROR(INDEX(Merchant_Lookup!$C$2:$C$27,MATCH(TRUE,ISNUMBER(SEARCH(Merchant_Lookup!$A$2:$A$26,UPPER(B319))),0)),"NEEDS REVIEW")</f>
        <v>NEEDS REVIEW</v>
      </c>
      <c r="F319" t="str">
        <f>IF(E319="NEEDS REVIEW","",INDEX(Merchant_Lookup!$D$2:$D$27,MATCH(E319,Merchant_Lookup!$C$2:$C$27,0)))</f>
        <v/>
      </c>
      <c r="G319" t="str">
        <f>IF(E319="NEEDS REVIEW","",INDEX(Merchant_Lookup!$E$2:$E$27,MATCH(E319,Merchant_Lookup!$C$2:$C$27,0)))</f>
        <v/>
      </c>
      <c r="J319" t="str">
        <f t="shared" si="8"/>
        <v>NEEDS REVIEW</v>
      </c>
      <c r="K319" t="str">
        <f t="shared" si="9"/>
        <v/>
      </c>
    </row>
    <row r="320" spans="5:11" x14ac:dyDescent="0.2">
      <c r="E320" t="str" cm="1">
        <f t="array" ref="E320">IFERROR(INDEX(Merchant_Lookup!$C$2:$C$27,MATCH(TRUE,ISNUMBER(SEARCH(Merchant_Lookup!$A$2:$A$26,UPPER(B320))),0)),"NEEDS REVIEW")</f>
        <v>NEEDS REVIEW</v>
      </c>
      <c r="F320" t="str">
        <f>IF(E320="NEEDS REVIEW","",INDEX(Merchant_Lookup!$D$2:$D$27,MATCH(E320,Merchant_Lookup!$C$2:$C$27,0)))</f>
        <v/>
      </c>
      <c r="G320" t="str">
        <f>IF(E320="NEEDS REVIEW","",INDEX(Merchant_Lookup!$E$2:$E$27,MATCH(E320,Merchant_Lookup!$C$2:$C$27,0)))</f>
        <v/>
      </c>
      <c r="J320" t="str">
        <f t="shared" si="8"/>
        <v>NEEDS REVIEW</v>
      </c>
      <c r="K320" t="str">
        <f t="shared" si="9"/>
        <v/>
      </c>
    </row>
    <row r="321" spans="5:11" x14ac:dyDescent="0.2">
      <c r="E321" t="str" cm="1">
        <f t="array" ref="E321">IFERROR(INDEX(Merchant_Lookup!$C$2:$C$27,MATCH(TRUE,ISNUMBER(SEARCH(Merchant_Lookup!$A$2:$A$26,UPPER(B321))),0)),"NEEDS REVIEW")</f>
        <v>NEEDS REVIEW</v>
      </c>
      <c r="F321" t="str">
        <f>IF(E321="NEEDS REVIEW","",INDEX(Merchant_Lookup!$D$2:$D$27,MATCH(E321,Merchant_Lookup!$C$2:$C$27,0)))</f>
        <v/>
      </c>
      <c r="G321" t="str">
        <f>IF(E321="NEEDS REVIEW","",INDEX(Merchant_Lookup!$E$2:$E$27,MATCH(E321,Merchant_Lookup!$C$2:$C$27,0)))</f>
        <v/>
      </c>
      <c r="J321" t="str">
        <f t="shared" si="8"/>
        <v>NEEDS REVIEW</v>
      </c>
      <c r="K321" t="str">
        <f t="shared" si="9"/>
        <v/>
      </c>
    </row>
    <row r="322" spans="5:11" x14ac:dyDescent="0.2">
      <c r="E322" t="str" cm="1">
        <f t="array" ref="E322">IFERROR(INDEX(Merchant_Lookup!$C$2:$C$27,MATCH(TRUE,ISNUMBER(SEARCH(Merchant_Lookup!$A$2:$A$26,UPPER(B322))),0)),"NEEDS REVIEW")</f>
        <v>NEEDS REVIEW</v>
      </c>
      <c r="F322" t="str">
        <f>IF(E322="NEEDS REVIEW","",INDEX(Merchant_Lookup!$D$2:$D$27,MATCH(E322,Merchant_Lookup!$C$2:$C$27,0)))</f>
        <v/>
      </c>
      <c r="G322" t="str">
        <f>IF(E322="NEEDS REVIEW","",INDEX(Merchant_Lookup!$E$2:$E$27,MATCH(E322,Merchant_Lookup!$C$2:$C$27,0)))</f>
        <v/>
      </c>
      <c r="J322" t="str">
        <f t="shared" si="8"/>
        <v>NEEDS REVIEW</v>
      </c>
      <c r="K322" t="str">
        <f t="shared" si="9"/>
        <v/>
      </c>
    </row>
    <row r="323" spans="5:11" x14ac:dyDescent="0.2">
      <c r="E323" t="str" cm="1">
        <f t="array" ref="E323">IFERROR(INDEX(Merchant_Lookup!$C$2:$C$27,MATCH(TRUE,ISNUMBER(SEARCH(Merchant_Lookup!$A$2:$A$26,UPPER(B323))),0)),"NEEDS REVIEW")</f>
        <v>NEEDS REVIEW</v>
      </c>
      <c r="F323" t="str">
        <f>IF(E323="NEEDS REVIEW","",INDEX(Merchant_Lookup!$D$2:$D$27,MATCH(E323,Merchant_Lookup!$C$2:$C$27,0)))</f>
        <v/>
      </c>
      <c r="G323" t="str">
        <f>IF(E323="NEEDS REVIEW","",INDEX(Merchant_Lookup!$E$2:$E$27,MATCH(E323,Merchant_Lookup!$C$2:$C$27,0)))</f>
        <v/>
      </c>
      <c r="J323" t="str">
        <f t="shared" ref="J323:J386" si="10">IF(H323&lt;&gt;"",H323,E323)</f>
        <v>NEEDS REVIEW</v>
      </c>
      <c r="K323" t="str">
        <f t="shared" ref="K323:K386" si="11">IF(I323&lt;&gt;"",I323,F323)</f>
        <v/>
      </c>
    </row>
    <row r="324" spans="5:11" x14ac:dyDescent="0.2">
      <c r="E324" t="str" cm="1">
        <f t="array" ref="E324">IFERROR(INDEX(Merchant_Lookup!$C$2:$C$27,MATCH(TRUE,ISNUMBER(SEARCH(Merchant_Lookup!$A$2:$A$26,UPPER(B324))),0)),"NEEDS REVIEW")</f>
        <v>NEEDS REVIEW</v>
      </c>
      <c r="F324" t="str">
        <f>IF(E324="NEEDS REVIEW","",INDEX(Merchant_Lookup!$D$2:$D$27,MATCH(E324,Merchant_Lookup!$C$2:$C$27,0)))</f>
        <v/>
      </c>
      <c r="G324" t="str">
        <f>IF(E324="NEEDS REVIEW","",INDEX(Merchant_Lookup!$E$2:$E$27,MATCH(E324,Merchant_Lookup!$C$2:$C$27,0)))</f>
        <v/>
      </c>
      <c r="J324" t="str">
        <f t="shared" si="10"/>
        <v>NEEDS REVIEW</v>
      </c>
      <c r="K324" t="str">
        <f t="shared" si="11"/>
        <v/>
      </c>
    </row>
    <row r="325" spans="5:11" x14ac:dyDescent="0.2">
      <c r="E325" t="str" cm="1">
        <f t="array" ref="E325">IFERROR(INDEX(Merchant_Lookup!$C$2:$C$27,MATCH(TRUE,ISNUMBER(SEARCH(Merchant_Lookup!$A$2:$A$26,UPPER(B325))),0)),"NEEDS REVIEW")</f>
        <v>NEEDS REVIEW</v>
      </c>
      <c r="F325" t="str">
        <f>IF(E325="NEEDS REVIEW","",INDEX(Merchant_Lookup!$D$2:$D$27,MATCH(E325,Merchant_Lookup!$C$2:$C$27,0)))</f>
        <v/>
      </c>
      <c r="G325" t="str">
        <f>IF(E325="NEEDS REVIEW","",INDEX(Merchant_Lookup!$E$2:$E$27,MATCH(E325,Merchant_Lookup!$C$2:$C$27,0)))</f>
        <v/>
      </c>
      <c r="J325" t="str">
        <f t="shared" si="10"/>
        <v>NEEDS REVIEW</v>
      </c>
      <c r="K325" t="str">
        <f t="shared" si="11"/>
        <v/>
      </c>
    </row>
    <row r="326" spans="5:11" x14ac:dyDescent="0.2">
      <c r="E326" t="str" cm="1">
        <f t="array" ref="E326">IFERROR(INDEX(Merchant_Lookup!$C$2:$C$27,MATCH(TRUE,ISNUMBER(SEARCH(Merchant_Lookup!$A$2:$A$26,UPPER(B326))),0)),"NEEDS REVIEW")</f>
        <v>NEEDS REVIEW</v>
      </c>
      <c r="F326" t="str">
        <f>IF(E326="NEEDS REVIEW","",INDEX(Merchant_Lookup!$D$2:$D$27,MATCH(E326,Merchant_Lookup!$C$2:$C$27,0)))</f>
        <v/>
      </c>
      <c r="G326" t="str">
        <f>IF(E326="NEEDS REVIEW","",INDEX(Merchant_Lookup!$E$2:$E$27,MATCH(E326,Merchant_Lookup!$C$2:$C$27,0)))</f>
        <v/>
      </c>
      <c r="J326" t="str">
        <f t="shared" si="10"/>
        <v>NEEDS REVIEW</v>
      </c>
      <c r="K326" t="str">
        <f t="shared" si="11"/>
        <v/>
      </c>
    </row>
    <row r="327" spans="5:11" x14ac:dyDescent="0.2">
      <c r="E327" t="str" cm="1">
        <f t="array" ref="E327">IFERROR(INDEX(Merchant_Lookup!$C$2:$C$27,MATCH(TRUE,ISNUMBER(SEARCH(Merchant_Lookup!$A$2:$A$26,UPPER(B327))),0)),"NEEDS REVIEW")</f>
        <v>NEEDS REVIEW</v>
      </c>
      <c r="F327" t="str">
        <f>IF(E327="NEEDS REVIEW","",INDEX(Merchant_Lookup!$D$2:$D$27,MATCH(E327,Merchant_Lookup!$C$2:$C$27,0)))</f>
        <v/>
      </c>
      <c r="G327" t="str">
        <f>IF(E327="NEEDS REVIEW","",INDEX(Merchant_Lookup!$E$2:$E$27,MATCH(E327,Merchant_Lookup!$C$2:$C$27,0)))</f>
        <v/>
      </c>
      <c r="J327" t="str">
        <f t="shared" si="10"/>
        <v>NEEDS REVIEW</v>
      </c>
      <c r="K327" t="str">
        <f t="shared" si="11"/>
        <v/>
      </c>
    </row>
    <row r="328" spans="5:11" x14ac:dyDescent="0.2">
      <c r="E328" t="str" cm="1">
        <f t="array" ref="E328">IFERROR(INDEX(Merchant_Lookup!$C$2:$C$27,MATCH(TRUE,ISNUMBER(SEARCH(Merchant_Lookup!$A$2:$A$26,UPPER(B328))),0)),"NEEDS REVIEW")</f>
        <v>NEEDS REVIEW</v>
      </c>
      <c r="F328" t="str">
        <f>IF(E328="NEEDS REVIEW","",INDEX(Merchant_Lookup!$D$2:$D$27,MATCH(E328,Merchant_Lookup!$C$2:$C$27,0)))</f>
        <v/>
      </c>
      <c r="G328" t="str">
        <f>IF(E328="NEEDS REVIEW","",INDEX(Merchant_Lookup!$E$2:$E$27,MATCH(E328,Merchant_Lookup!$C$2:$C$27,0)))</f>
        <v/>
      </c>
      <c r="J328" t="str">
        <f t="shared" si="10"/>
        <v>NEEDS REVIEW</v>
      </c>
      <c r="K328" t="str">
        <f t="shared" si="11"/>
        <v/>
      </c>
    </row>
    <row r="329" spans="5:11" x14ac:dyDescent="0.2">
      <c r="E329" t="str" cm="1">
        <f t="array" ref="E329">IFERROR(INDEX(Merchant_Lookup!$C$2:$C$27,MATCH(TRUE,ISNUMBER(SEARCH(Merchant_Lookup!$A$2:$A$26,UPPER(B329))),0)),"NEEDS REVIEW")</f>
        <v>NEEDS REVIEW</v>
      </c>
      <c r="F329" t="str">
        <f>IF(E329="NEEDS REVIEW","",INDEX(Merchant_Lookup!$D$2:$D$27,MATCH(E329,Merchant_Lookup!$C$2:$C$27,0)))</f>
        <v/>
      </c>
      <c r="G329" t="str">
        <f>IF(E329="NEEDS REVIEW","",INDEX(Merchant_Lookup!$E$2:$E$27,MATCH(E329,Merchant_Lookup!$C$2:$C$27,0)))</f>
        <v/>
      </c>
      <c r="J329" t="str">
        <f t="shared" si="10"/>
        <v>NEEDS REVIEW</v>
      </c>
      <c r="K329" t="str">
        <f t="shared" si="11"/>
        <v/>
      </c>
    </row>
    <row r="330" spans="5:11" x14ac:dyDescent="0.2">
      <c r="E330" t="str" cm="1">
        <f t="array" ref="E330">IFERROR(INDEX(Merchant_Lookup!$C$2:$C$27,MATCH(TRUE,ISNUMBER(SEARCH(Merchant_Lookup!$A$2:$A$26,UPPER(B330))),0)),"NEEDS REVIEW")</f>
        <v>NEEDS REVIEW</v>
      </c>
      <c r="F330" t="str">
        <f>IF(E330="NEEDS REVIEW","",INDEX(Merchant_Lookup!$D$2:$D$27,MATCH(E330,Merchant_Lookup!$C$2:$C$27,0)))</f>
        <v/>
      </c>
      <c r="G330" t="str">
        <f>IF(E330="NEEDS REVIEW","",INDEX(Merchant_Lookup!$E$2:$E$27,MATCH(E330,Merchant_Lookup!$C$2:$C$27,0)))</f>
        <v/>
      </c>
      <c r="J330" t="str">
        <f t="shared" si="10"/>
        <v>NEEDS REVIEW</v>
      </c>
      <c r="K330" t="str">
        <f t="shared" si="11"/>
        <v/>
      </c>
    </row>
    <row r="331" spans="5:11" x14ac:dyDescent="0.2">
      <c r="E331" t="str" cm="1">
        <f t="array" ref="E331">IFERROR(INDEX(Merchant_Lookup!$C$2:$C$27,MATCH(TRUE,ISNUMBER(SEARCH(Merchant_Lookup!$A$2:$A$26,UPPER(B331))),0)),"NEEDS REVIEW")</f>
        <v>NEEDS REVIEW</v>
      </c>
      <c r="F331" t="str">
        <f>IF(E331="NEEDS REVIEW","",INDEX(Merchant_Lookup!$D$2:$D$27,MATCH(E331,Merchant_Lookup!$C$2:$C$27,0)))</f>
        <v/>
      </c>
      <c r="G331" t="str">
        <f>IF(E331="NEEDS REVIEW","",INDEX(Merchant_Lookup!$E$2:$E$27,MATCH(E331,Merchant_Lookup!$C$2:$C$27,0)))</f>
        <v/>
      </c>
      <c r="J331" t="str">
        <f t="shared" si="10"/>
        <v>NEEDS REVIEW</v>
      </c>
      <c r="K331" t="str">
        <f t="shared" si="11"/>
        <v/>
      </c>
    </row>
    <row r="332" spans="5:11" x14ac:dyDescent="0.2">
      <c r="E332" t="str" cm="1">
        <f t="array" ref="E332">IFERROR(INDEX(Merchant_Lookup!$C$2:$C$27,MATCH(TRUE,ISNUMBER(SEARCH(Merchant_Lookup!$A$2:$A$26,UPPER(B332))),0)),"NEEDS REVIEW")</f>
        <v>NEEDS REVIEW</v>
      </c>
      <c r="F332" t="str">
        <f>IF(E332="NEEDS REVIEW","",INDEX(Merchant_Lookup!$D$2:$D$27,MATCH(E332,Merchant_Lookup!$C$2:$C$27,0)))</f>
        <v/>
      </c>
      <c r="G332" t="str">
        <f>IF(E332="NEEDS REVIEW","",INDEX(Merchant_Lookup!$E$2:$E$27,MATCH(E332,Merchant_Lookup!$C$2:$C$27,0)))</f>
        <v/>
      </c>
      <c r="J332" t="str">
        <f t="shared" si="10"/>
        <v>NEEDS REVIEW</v>
      </c>
      <c r="K332" t="str">
        <f t="shared" si="11"/>
        <v/>
      </c>
    </row>
    <row r="333" spans="5:11" x14ac:dyDescent="0.2">
      <c r="E333" t="str" cm="1">
        <f t="array" ref="E333">IFERROR(INDEX(Merchant_Lookup!$C$2:$C$27,MATCH(TRUE,ISNUMBER(SEARCH(Merchant_Lookup!$A$2:$A$26,UPPER(B333))),0)),"NEEDS REVIEW")</f>
        <v>NEEDS REVIEW</v>
      </c>
      <c r="F333" t="str">
        <f>IF(E333="NEEDS REVIEW","",INDEX(Merchant_Lookup!$D$2:$D$27,MATCH(E333,Merchant_Lookup!$C$2:$C$27,0)))</f>
        <v/>
      </c>
      <c r="G333" t="str">
        <f>IF(E333="NEEDS REVIEW","",INDEX(Merchant_Lookup!$E$2:$E$27,MATCH(E333,Merchant_Lookup!$C$2:$C$27,0)))</f>
        <v/>
      </c>
      <c r="J333" t="str">
        <f t="shared" si="10"/>
        <v>NEEDS REVIEW</v>
      </c>
      <c r="K333" t="str">
        <f t="shared" si="11"/>
        <v/>
      </c>
    </row>
    <row r="334" spans="5:11" x14ac:dyDescent="0.2">
      <c r="E334" t="str" cm="1">
        <f t="array" ref="E334">IFERROR(INDEX(Merchant_Lookup!$C$2:$C$27,MATCH(TRUE,ISNUMBER(SEARCH(Merchant_Lookup!$A$2:$A$26,UPPER(B334))),0)),"NEEDS REVIEW")</f>
        <v>NEEDS REVIEW</v>
      </c>
      <c r="F334" t="str">
        <f>IF(E334="NEEDS REVIEW","",INDEX(Merchant_Lookup!$D$2:$D$27,MATCH(E334,Merchant_Lookup!$C$2:$C$27,0)))</f>
        <v/>
      </c>
      <c r="G334" t="str">
        <f>IF(E334="NEEDS REVIEW","",INDEX(Merchant_Lookup!$E$2:$E$27,MATCH(E334,Merchant_Lookup!$C$2:$C$27,0)))</f>
        <v/>
      </c>
      <c r="J334" t="str">
        <f t="shared" si="10"/>
        <v>NEEDS REVIEW</v>
      </c>
      <c r="K334" t="str">
        <f t="shared" si="11"/>
        <v/>
      </c>
    </row>
    <row r="335" spans="5:11" x14ac:dyDescent="0.2">
      <c r="E335" t="str" cm="1">
        <f t="array" ref="E335">IFERROR(INDEX(Merchant_Lookup!$C$2:$C$27,MATCH(TRUE,ISNUMBER(SEARCH(Merchant_Lookup!$A$2:$A$26,UPPER(B335))),0)),"NEEDS REVIEW")</f>
        <v>NEEDS REVIEW</v>
      </c>
      <c r="F335" t="str">
        <f>IF(E335="NEEDS REVIEW","",INDEX(Merchant_Lookup!$D$2:$D$27,MATCH(E335,Merchant_Lookup!$C$2:$C$27,0)))</f>
        <v/>
      </c>
      <c r="G335" t="str">
        <f>IF(E335="NEEDS REVIEW","",INDEX(Merchant_Lookup!$E$2:$E$27,MATCH(E335,Merchant_Lookup!$C$2:$C$27,0)))</f>
        <v/>
      </c>
      <c r="J335" t="str">
        <f t="shared" si="10"/>
        <v>NEEDS REVIEW</v>
      </c>
      <c r="K335" t="str">
        <f t="shared" si="11"/>
        <v/>
      </c>
    </row>
    <row r="336" spans="5:11" x14ac:dyDescent="0.2">
      <c r="E336" t="str" cm="1">
        <f t="array" ref="E336">IFERROR(INDEX(Merchant_Lookup!$C$2:$C$27,MATCH(TRUE,ISNUMBER(SEARCH(Merchant_Lookup!$A$2:$A$26,UPPER(B336))),0)),"NEEDS REVIEW")</f>
        <v>NEEDS REVIEW</v>
      </c>
      <c r="F336" t="str">
        <f>IF(E336="NEEDS REVIEW","",INDEX(Merchant_Lookup!$D$2:$D$27,MATCH(E336,Merchant_Lookup!$C$2:$C$27,0)))</f>
        <v/>
      </c>
      <c r="G336" t="str">
        <f>IF(E336="NEEDS REVIEW","",INDEX(Merchant_Lookup!$E$2:$E$27,MATCH(E336,Merchant_Lookup!$C$2:$C$27,0)))</f>
        <v/>
      </c>
      <c r="J336" t="str">
        <f t="shared" si="10"/>
        <v>NEEDS REVIEW</v>
      </c>
      <c r="K336" t="str">
        <f t="shared" si="11"/>
        <v/>
      </c>
    </row>
    <row r="337" spans="5:11" x14ac:dyDescent="0.2">
      <c r="E337" t="str" cm="1">
        <f t="array" ref="E337">IFERROR(INDEX(Merchant_Lookup!$C$2:$C$27,MATCH(TRUE,ISNUMBER(SEARCH(Merchant_Lookup!$A$2:$A$26,UPPER(B337))),0)),"NEEDS REVIEW")</f>
        <v>NEEDS REVIEW</v>
      </c>
      <c r="F337" t="str">
        <f>IF(E337="NEEDS REVIEW","",INDEX(Merchant_Lookup!$D$2:$D$27,MATCH(E337,Merchant_Lookup!$C$2:$C$27,0)))</f>
        <v/>
      </c>
      <c r="G337" t="str">
        <f>IF(E337="NEEDS REVIEW","",INDEX(Merchant_Lookup!$E$2:$E$27,MATCH(E337,Merchant_Lookup!$C$2:$C$27,0)))</f>
        <v/>
      </c>
      <c r="J337" t="str">
        <f t="shared" si="10"/>
        <v>NEEDS REVIEW</v>
      </c>
      <c r="K337" t="str">
        <f t="shared" si="11"/>
        <v/>
      </c>
    </row>
    <row r="338" spans="5:11" x14ac:dyDescent="0.2">
      <c r="E338" t="str" cm="1">
        <f t="array" ref="E338">IFERROR(INDEX(Merchant_Lookup!$C$2:$C$27,MATCH(TRUE,ISNUMBER(SEARCH(Merchant_Lookup!$A$2:$A$26,UPPER(B338))),0)),"NEEDS REVIEW")</f>
        <v>NEEDS REVIEW</v>
      </c>
      <c r="F338" t="str">
        <f>IF(E338="NEEDS REVIEW","",INDEX(Merchant_Lookup!$D$2:$D$27,MATCH(E338,Merchant_Lookup!$C$2:$C$27,0)))</f>
        <v/>
      </c>
      <c r="G338" t="str">
        <f>IF(E338="NEEDS REVIEW","",INDEX(Merchant_Lookup!$E$2:$E$27,MATCH(E338,Merchant_Lookup!$C$2:$C$27,0)))</f>
        <v/>
      </c>
      <c r="J338" t="str">
        <f t="shared" si="10"/>
        <v>NEEDS REVIEW</v>
      </c>
      <c r="K338" t="str">
        <f t="shared" si="11"/>
        <v/>
      </c>
    </row>
    <row r="339" spans="5:11" x14ac:dyDescent="0.2">
      <c r="E339" t="str" cm="1">
        <f t="array" ref="E339">IFERROR(INDEX(Merchant_Lookup!$C$2:$C$27,MATCH(TRUE,ISNUMBER(SEARCH(Merchant_Lookup!$A$2:$A$26,UPPER(B339))),0)),"NEEDS REVIEW")</f>
        <v>NEEDS REVIEW</v>
      </c>
      <c r="F339" t="str">
        <f>IF(E339="NEEDS REVIEW","",INDEX(Merchant_Lookup!$D$2:$D$27,MATCH(E339,Merchant_Lookup!$C$2:$C$27,0)))</f>
        <v/>
      </c>
      <c r="G339" t="str">
        <f>IF(E339="NEEDS REVIEW","",INDEX(Merchant_Lookup!$E$2:$E$27,MATCH(E339,Merchant_Lookup!$C$2:$C$27,0)))</f>
        <v/>
      </c>
      <c r="J339" t="str">
        <f t="shared" si="10"/>
        <v>NEEDS REVIEW</v>
      </c>
      <c r="K339" t="str">
        <f t="shared" si="11"/>
        <v/>
      </c>
    </row>
    <row r="340" spans="5:11" x14ac:dyDescent="0.2">
      <c r="E340" t="str" cm="1">
        <f t="array" ref="E340">IFERROR(INDEX(Merchant_Lookup!$C$2:$C$27,MATCH(TRUE,ISNUMBER(SEARCH(Merchant_Lookup!$A$2:$A$26,UPPER(B340))),0)),"NEEDS REVIEW")</f>
        <v>NEEDS REVIEW</v>
      </c>
      <c r="F340" t="str">
        <f>IF(E340="NEEDS REVIEW","",INDEX(Merchant_Lookup!$D$2:$D$27,MATCH(E340,Merchant_Lookup!$C$2:$C$27,0)))</f>
        <v/>
      </c>
      <c r="G340" t="str">
        <f>IF(E340="NEEDS REVIEW","",INDEX(Merchant_Lookup!$E$2:$E$27,MATCH(E340,Merchant_Lookup!$C$2:$C$27,0)))</f>
        <v/>
      </c>
      <c r="J340" t="str">
        <f t="shared" si="10"/>
        <v>NEEDS REVIEW</v>
      </c>
      <c r="K340" t="str">
        <f t="shared" si="11"/>
        <v/>
      </c>
    </row>
    <row r="341" spans="5:11" x14ac:dyDescent="0.2">
      <c r="E341" t="str" cm="1">
        <f t="array" ref="E341">IFERROR(INDEX(Merchant_Lookup!$C$2:$C$27,MATCH(TRUE,ISNUMBER(SEARCH(Merchant_Lookup!$A$2:$A$26,UPPER(B341))),0)),"NEEDS REVIEW")</f>
        <v>NEEDS REVIEW</v>
      </c>
      <c r="F341" t="str">
        <f>IF(E341="NEEDS REVIEW","",INDEX(Merchant_Lookup!$D$2:$D$27,MATCH(E341,Merchant_Lookup!$C$2:$C$27,0)))</f>
        <v/>
      </c>
      <c r="G341" t="str">
        <f>IF(E341="NEEDS REVIEW","",INDEX(Merchant_Lookup!$E$2:$E$27,MATCH(E341,Merchant_Lookup!$C$2:$C$27,0)))</f>
        <v/>
      </c>
      <c r="J341" t="str">
        <f t="shared" si="10"/>
        <v>NEEDS REVIEW</v>
      </c>
      <c r="K341" t="str">
        <f t="shared" si="11"/>
        <v/>
      </c>
    </row>
    <row r="342" spans="5:11" x14ac:dyDescent="0.2">
      <c r="E342" t="str" cm="1">
        <f t="array" ref="E342">IFERROR(INDEX(Merchant_Lookup!$C$2:$C$27,MATCH(TRUE,ISNUMBER(SEARCH(Merchant_Lookup!$A$2:$A$26,UPPER(B342))),0)),"NEEDS REVIEW")</f>
        <v>NEEDS REVIEW</v>
      </c>
      <c r="F342" t="str">
        <f>IF(E342="NEEDS REVIEW","",INDEX(Merchant_Lookup!$D$2:$D$27,MATCH(E342,Merchant_Lookup!$C$2:$C$27,0)))</f>
        <v/>
      </c>
      <c r="G342" t="str">
        <f>IF(E342="NEEDS REVIEW","",INDEX(Merchant_Lookup!$E$2:$E$27,MATCH(E342,Merchant_Lookup!$C$2:$C$27,0)))</f>
        <v/>
      </c>
      <c r="J342" t="str">
        <f t="shared" si="10"/>
        <v>NEEDS REVIEW</v>
      </c>
      <c r="K342" t="str">
        <f t="shared" si="11"/>
        <v/>
      </c>
    </row>
    <row r="343" spans="5:11" x14ac:dyDescent="0.2">
      <c r="E343" t="str" cm="1">
        <f t="array" ref="E343">IFERROR(INDEX(Merchant_Lookup!$C$2:$C$27,MATCH(TRUE,ISNUMBER(SEARCH(Merchant_Lookup!$A$2:$A$26,UPPER(B343))),0)),"NEEDS REVIEW")</f>
        <v>NEEDS REVIEW</v>
      </c>
      <c r="F343" t="str">
        <f>IF(E343="NEEDS REVIEW","",INDEX(Merchant_Lookup!$D$2:$D$27,MATCH(E343,Merchant_Lookup!$C$2:$C$27,0)))</f>
        <v/>
      </c>
      <c r="G343" t="str">
        <f>IF(E343="NEEDS REVIEW","",INDEX(Merchant_Lookup!$E$2:$E$27,MATCH(E343,Merchant_Lookup!$C$2:$C$27,0)))</f>
        <v/>
      </c>
      <c r="J343" t="str">
        <f t="shared" si="10"/>
        <v>NEEDS REVIEW</v>
      </c>
      <c r="K343" t="str">
        <f t="shared" si="11"/>
        <v/>
      </c>
    </row>
    <row r="344" spans="5:11" x14ac:dyDescent="0.2">
      <c r="E344" t="str" cm="1">
        <f t="array" ref="E344">IFERROR(INDEX(Merchant_Lookup!$C$2:$C$27,MATCH(TRUE,ISNUMBER(SEARCH(Merchant_Lookup!$A$2:$A$26,UPPER(B344))),0)),"NEEDS REVIEW")</f>
        <v>NEEDS REVIEW</v>
      </c>
      <c r="F344" t="str">
        <f>IF(E344="NEEDS REVIEW","",INDEX(Merchant_Lookup!$D$2:$D$27,MATCH(E344,Merchant_Lookup!$C$2:$C$27,0)))</f>
        <v/>
      </c>
      <c r="G344" t="str">
        <f>IF(E344="NEEDS REVIEW","",INDEX(Merchant_Lookup!$E$2:$E$27,MATCH(E344,Merchant_Lookup!$C$2:$C$27,0)))</f>
        <v/>
      </c>
      <c r="J344" t="str">
        <f t="shared" si="10"/>
        <v>NEEDS REVIEW</v>
      </c>
      <c r="K344" t="str">
        <f t="shared" si="11"/>
        <v/>
      </c>
    </row>
    <row r="345" spans="5:11" x14ac:dyDescent="0.2">
      <c r="E345" t="str" cm="1">
        <f t="array" ref="E345">IFERROR(INDEX(Merchant_Lookup!$C$2:$C$27,MATCH(TRUE,ISNUMBER(SEARCH(Merchant_Lookup!$A$2:$A$26,UPPER(B345))),0)),"NEEDS REVIEW")</f>
        <v>NEEDS REVIEW</v>
      </c>
      <c r="F345" t="str">
        <f>IF(E345="NEEDS REVIEW","",INDEX(Merchant_Lookup!$D$2:$D$27,MATCH(E345,Merchant_Lookup!$C$2:$C$27,0)))</f>
        <v/>
      </c>
      <c r="G345" t="str">
        <f>IF(E345="NEEDS REVIEW","",INDEX(Merchant_Lookup!$E$2:$E$27,MATCH(E345,Merchant_Lookup!$C$2:$C$27,0)))</f>
        <v/>
      </c>
      <c r="J345" t="str">
        <f t="shared" si="10"/>
        <v>NEEDS REVIEW</v>
      </c>
      <c r="K345" t="str">
        <f t="shared" si="11"/>
        <v/>
      </c>
    </row>
    <row r="346" spans="5:11" x14ac:dyDescent="0.2">
      <c r="E346" t="str" cm="1">
        <f t="array" ref="E346">IFERROR(INDEX(Merchant_Lookup!$C$2:$C$27,MATCH(TRUE,ISNUMBER(SEARCH(Merchant_Lookup!$A$2:$A$26,UPPER(B346))),0)),"NEEDS REVIEW")</f>
        <v>NEEDS REVIEW</v>
      </c>
      <c r="F346" t="str">
        <f>IF(E346="NEEDS REVIEW","",INDEX(Merchant_Lookup!$D$2:$D$27,MATCH(E346,Merchant_Lookup!$C$2:$C$27,0)))</f>
        <v/>
      </c>
      <c r="G346" t="str">
        <f>IF(E346="NEEDS REVIEW","",INDEX(Merchant_Lookup!$E$2:$E$27,MATCH(E346,Merchant_Lookup!$C$2:$C$27,0)))</f>
        <v/>
      </c>
      <c r="J346" t="str">
        <f t="shared" si="10"/>
        <v>NEEDS REVIEW</v>
      </c>
      <c r="K346" t="str">
        <f t="shared" si="11"/>
        <v/>
      </c>
    </row>
    <row r="347" spans="5:11" x14ac:dyDescent="0.2">
      <c r="E347" t="str" cm="1">
        <f t="array" ref="E347">IFERROR(INDEX(Merchant_Lookup!$C$2:$C$27,MATCH(TRUE,ISNUMBER(SEARCH(Merchant_Lookup!$A$2:$A$26,UPPER(B347))),0)),"NEEDS REVIEW")</f>
        <v>NEEDS REVIEW</v>
      </c>
      <c r="F347" t="str">
        <f>IF(E347="NEEDS REVIEW","",INDEX(Merchant_Lookup!$D$2:$D$27,MATCH(E347,Merchant_Lookup!$C$2:$C$27,0)))</f>
        <v/>
      </c>
      <c r="G347" t="str">
        <f>IF(E347="NEEDS REVIEW","",INDEX(Merchant_Lookup!$E$2:$E$27,MATCH(E347,Merchant_Lookup!$C$2:$C$27,0)))</f>
        <v/>
      </c>
      <c r="J347" t="str">
        <f t="shared" si="10"/>
        <v>NEEDS REVIEW</v>
      </c>
      <c r="K347" t="str">
        <f t="shared" si="11"/>
        <v/>
      </c>
    </row>
    <row r="348" spans="5:11" x14ac:dyDescent="0.2">
      <c r="E348" t="str" cm="1">
        <f t="array" ref="E348">IFERROR(INDEX(Merchant_Lookup!$C$2:$C$27,MATCH(TRUE,ISNUMBER(SEARCH(Merchant_Lookup!$A$2:$A$26,UPPER(B348))),0)),"NEEDS REVIEW")</f>
        <v>NEEDS REVIEW</v>
      </c>
      <c r="F348" t="str">
        <f>IF(E348="NEEDS REVIEW","",INDEX(Merchant_Lookup!$D$2:$D$27,MATCH(E348,Merchant_Lookup!$C$2:$C$27,0)))</f>
        <v/>
      </c>
      <c r="G348" t="str">
        <f>IF(E348="NEEDS REVIEW","",INDEX(Merchant_Lookup!$E$2:$E$27,MATCH(E348,Merchant_Lookup!$C$2:$C$27,0)))</f>
        <v/>
      </c>
      <c r="J348" t="str">
        <f t="shared" si="10"/>
        <v>NEEDS REVIEW</v>
      </c>
      <c r="K348" t="str">
        <f t="shared" si="11"/>
        <v/>
      </c>
    </row>
    <row r="349" spans="5:11" x14ac:dyDescent="0.2">
      <c r="E349" t="str" cm="1">
        <f t="array" ref="E349">IFERROR(INDEX(Merchant_Lookup!$C$2:$C$27,MATCH(TRUE,ISNUMBER(SEARCH(Merchant_Lookup!$A$2:$A$26,UPPER(B349))),0)),"NEEDS REVIEW")</f>
        <v>NEEDS REVIEW</v>
      </c>
      <c r="F349" t="str">
        <f>IF(E349="NEEDS REVIEW","",INDEX(Merchant_Lookup!$D$2:$D$27,MATCH(E349,Merchant_Lookup!$C$2:$C$27,0)))</f>
        <v/>
      </c>
      <c r="G349" t="str">
        <f>IF(E349="NEEDS REVIEW","",INDEX(Merchant_Lookup!$E$2:$E$27,MATCH(E349,Merchant_Lookup!$C$2:$C$27,0)))</f>
        <v/>
      </c>
      <c r="J349" t="str">
        <f t="shared" si="10"/>
        <v>NEEDS REVIEW</v>
      </c>
      <c r="K349" t="str">
        <f t="shared" si="11"/>
        <v/>
      </c>
    </row>
    <row r="350" spans="5:11" x14ac:dyDescent="0.2">
      <c r="E350" t="str" cm="1">
        <f t="array" ref="E350">IFERROR(INDEX(Merchant_Lookup!$C$2:$C$27,MATCH(TRUE,ISNUMBER(SEARCH(Merchant_Lookup!$A$2:$A$26,UPPER(B350))),0)),"NEEDS REVIEW")</f>
        <v>NEEDS REVIEW</v>
      </c>
      <c r="F350" t="str">
        <f>IF(E350="NEEDS REVIEW","",INDEX(Merchant_Lookup!$D$2:$D$27,MATCH(E350,Merchant_Lookup!$C$2:$C$27,0)))</f>
        <v/>
      </c>
      <c r="G350" t="str">
        <f>IF(E350="NEEDS REVIEW","",INDEX(Merchant_Lookup!$E$2:$E$27,MATCH(E350,Merchant_Lookup!$C$2:$C$27,0)))</f>
        <v/>
      </c>
      <c r="J350" t="str">
        <f t="shared" si="10"/>
        <v>NEEDS REVIEW</v>
      </c>
      <c r="K350" t="str">
        <f t="shared" si="11"/>
        <v/>
      </c>
    </row>
    <row r="351" spans="5:11" x14ac:dyDescent="0.2">
      <c r="E351" t="str" cm="1">
        <f t="array" ref="E351">IFERROR(INDEX(Merchant_Lookup!$C$2:$C$27,MATCH(TRUE,ISNUMBER(SEARCH(Merchant_Lookup!$A$2:$A$26,UPPER(B351))),0)),"NEEDS REVIEW")</f>
        <v>NEEDS REVIEW</v>
      </c>
      <c r="F351" t="str">
        <f>IF(E351="NEEDS REVIEW","",INDEX(Merchant_Lookup!$D$2:$D$27,MATCH(E351,Merchant_Lookup!$C$2:$C$27,0)))</f>
        <v/>
      </c>
      <c r="G351" t="str">
        <f>IF(E351="NEEDS REVIEW","",INDEX(Merchant_Lookup!$E$2:$E$27,MATCH(E351,Merchant_Lookup!$C$2:$C$27,0)))</f>
        <v/>
      </c>
      <c r="J351" t="str">
        <f t="shared" si="10"/>
        <v>NEEDS REVIEW</v>
      </c>
      <c r="K351" t="str">
        <f t="shared" si="11"/>
        <v/>
      </c>
    </row>
    <row r="352" spans="5:11" x14ac:dyDescent="0.2">
      <c r="E352" t="str" cm="1">
        <f t="array" ref="E352">IFERROR(INDEX(Merchant_Lookup!$C$2:$C$27,MATCH(TRUE,ISNUMBER(SEARCH(Merchant_Lookup!$A$2:$A$26,UPPER(B352))),0)),"NEEDS REVIEW")</f>
        <v>NEEDS REVIEW</v>
      </c>
      <c r="F352" t="str">
        <f>IF(E352="NEEDS REVIEW","",INDEX(Merchant_Lookup!$D$2:$D$27,MATCH(E352,Merchant_Lookup!$C$2:$C$27,0)))</f>
        <v/>
      </c>
      <c r="G352" t="str">
        <f>IF(E352="NEEDS REVIEW","",INDEX(Merchant_Lookup!$E$2:$E$27,MATCH(E352,Merchant_Lookup!$C$2:$C$27,0)))</f>
        <v/>
      </c>
      <c r="J352" t="str">
        <f t="shared" si="10"/>
        <v>NEEDS REVIEW</v>
      </c>
      <c r="K352" t="str">
        <f t="shared" si="11"/>
        <v/>
      </c>
    </row>
    <row r="353" spans="5:11" x14ac:dyDescent="0.2">
      <c r="E353" t="str" cm="1">
        <f t="array" ref="E353">IFERROR(INDEX(Merchant_Lookup!$C$2:$C$27,MATCH(TRUE,ISNUMBER(SEARCH(Merchant_Lookup!$A$2:$A$26,UPPER(B353))),0)),"NEEDS REVIEW")</f>
        <v>NEEDS REVIEW</v>
      </c>
      <c r="F353" t="str">
        <f>IF(E353="NEEDS REVIEW","",INDEX(Merchant_Lookup!$D$2:$D$27,MATCH(E353,Merchant_Lookup!$C$2:$C$27,0)))</f>
        <v/>
      </c>
      <c r="G353" t="str">
        <f>IF(E353="NEEDS REVIEW","",INDEX(Merchant_Lookup!$E$2:$E$27,MATCH(E353,Merchant_Lookup!$C$2:$C$27,0)))</f>
        <v/>
      </c>
      <c r="J353" t="str">
        <f t="shared" si="10"/>
        <v>NEEDS REVIEW</v>
      </c>
      <c r="K353" t="str">
        <f t="shared" si="11"/>
        <v/>
      </c>
    </row>
    <row r="354" spans="5:11" x14ac:dyDescent="0.2">
      <c r="E354" t="str" cm="1">
        <f t="array" ref="E354">IFERROR(INDEX(Merchant_Lookup!$C$2:$C$27,MATCH(TRUE,ISNUMBER(SEARCH(Merchant_Lookup!$A$2:$A$26,UPPER(B354))),0)),"NEEDS REVIEW")</f>
        <v>NEEDS REVIEW</v>
      </c>
      <c r="F354" t="str">
        <f>IF(E354="NEEDS REVIEW","",INDEX(Merchant_Lookup!$D$2:$D$27,MATCH(E354,Merchant_Lookup!$C$2:$C$27,0)))</f>
        <v/>
      </c>
      <c r="G354" t="str">
        <f>IF(E354="NEEDS REVIEW","",INDEX(Merchant_Lookup!$E$2:$E$27,MATCH(E354,Merchant_Lookup!$C$2:$C$27,0)))</f>
        <v/>
      </c>
      <c r="J354" t="str">
        <f t="shared" si="10"/>
        <v>NEEDS REVIEW</v>
      </c>
      <c r="K354" t="str">
        <f t="shared" si="11"/>
        <v/>
      </c>
    </row>
    <row r="355" spans="5:11" x14ac:dyDescent="0.2">
      <c r="E355" t="str" cm="1">
        <f t="array" ref="E355">IFERROR(INDEX(Merchant_Lookup!$C$2:$C$27,MATCH(TRUE,ISNUMBER(SEARCH(Merchant_Lookup!$A$2:$A$26,UPPER(B355))),0)),"NEEDS REVIEW")</f>
        <v>NEEDS REVIEW</v>
      </c>
      <c r="F355" t="str">
        <f>IF(E355="NEEDS REVIEW","",INDEX(Merchant_Lookup!$D$2:$D$27,MATCH(E355,Merchant_Lookup!$C$2:$C$27,0)))</f>
        <v/>
      </c>
      <c r="G355" t="str">
        <f>IF(E355="NEEDS REVIEW","",INDEX(Merchant_Lookup!$E$2:$E$27,MATCH(E355,Merchant_Lookup!$C$2:$C$27,0)))</f>
        <v/>
      </c>
      <c r="J355" t="str">
        <f t="shared" si="10"/>
        <v>NEEDS REVIEW</v>
      </c>
      <c r="K355" t="str">
        <f t="shared" si="11"/>
        <v/>
      </c>
    </row>
    <row r="356" spans="5:11" x14ac:dyDescent="0.2">
      <c r="E356" t="str" cm="1">
        <f t="array" ref="E356">IFERROR(INDEX(Merchant_Lookup!$C$2:$C$27,MATCH(TRUE,ISNUMBER(SEARCH(Merchant_Lookup!$A$2:$A$26,UPPER(B356))),0)),"NEEDS REVIEW")</f>
        <v>NEEDS REVIEW</v>
      </c>
      <c r="F356" t="str">
        <f>IF(E356="NEEDS REVIEW","",INDEX(Merchant_Lookup!$D$2:$D$27,MATCH(E356,Merchant_Lookup!$C$2:$C$27,0)))</f>
        <v/>
      </c>
      <c r="G356" t="str">
        <f>IF(E356="NEEDS REVIEW","",INDEX(Merchant_Lookup!$E$2:$E$27,MATCH(E356,Merchant_Lookup!$C$2:$C$27,0)))</f>
        <v/>
      </c>
      <c r="J356" t="str">
        <f t="shared" si="10"/>
        <v>NEEDS REVIEW</v>
      </c>
      <c r="K356" t="str">
        <f t="shared" si="11"/>
        <v/>
      </c>
    </row>
    <row r="357" spans="5:11" x14ac:dyDescent="0.2">
      <c r="E357" t="str" cm="1">
        <f t="array" ref="E357">IFERROR(INDEX(Merchant_Lookup!$C$2:$C$27,MATCH(TRUE,ISNUMBER(SEARCH(Merchant_Lookup!$A$2:$A$26,UPPER(B357))),0)),"NEEDS REVIEW")</f>
        <v>NEEDS REVIEW</v>
      </c>
      <c r="F357" t="str">
        <f>IF(E357="NEEDS REVIEW","",INDEX(Merchant_Lookup!$D$2:$D$27,MATCH(E357,Merchant_Lookup!$C$2:$C$27,0)))</f>
        <v/>
      </c>
      <c r="G357" t="str">
        <f>IF(E357="NEEDS REVIEW","",INDEX(Merchant_Lookup!$E$2:$E$27,MATCH(E357,Merchant_Lookup!$C$2:$C$27,0)))</f>
        <v/>
      </c>
      <c r="J357" t="str">
        <f t="shared" si="10"/>
        <v>NEEDS REVIEW</v>
      </c>
      <c r="K357" t="str">
        <f t="shared" si="11"/>
        <v/>
      </c>
    </row>
    <row r="358" spans="5:11" x14ac:dyDescent="0.2">
      <c r="E358" t="str" cm="1">
        <f t="array" ref="E358">IFERROR(INDEX(Merchant_Lookup!$C$2:$C$27,MATCH(TRUE,ISNUMBER(SEARCH(Merchant_Lookup!$A$2:$A$26,UPPER(B358))),0)),"NEEDS REVIEW")</f>
        <v>NEEDS REVIEW</v>
      </c>
      <c r="F358" t="str">
        <f>IF(E358="NEEDS REVIEW","",INDEX(Merchant_Lookup!$D$2:$D$27,MATCH(E358,Merchant_Lookup!$C$2:$C$27,0)))</f>
        <v/>
      </c>
      <c r="G358" t="str">
        <f>IF(E358="NEEDS REVIEW","",INDEX(Merchant_Lookup!$E$2:$E$27,MATCH(E358,Merchant_Lookup!$C$2:$C$27,0)))</f>
        <v/>
      </c>
      <c r="J358" t="str">
        <f t="shared" si="10"/>
        <v>NEEDS REVIEW</v>
      </c>
      <c r="K358" t="str">
        <f t="shared" si="11"/>
        <v/>
      </c>
    </row>
    <row r="359" spans="5:11" x14ac:dyDescent="0.2">
      <c r="E359" t="str" cm="1">
        <f t="array" ref="E359">IFERROR(INDEX(Merchant_Lookup!$C$2:$C$27,MATCH(TRUE,ISNUMBER(SEARCH(Merchant_Lookup!$A$2:$A$26,UPPER(B359))),0)),"NEEDS REVIEW")</f>
        <v>NEEDS REVIEW</v>
      </c>
      <c r="F359" t="str">
        <f>IF(E359="NEEDS REVIEW","",INDEX(Merchant_Lookup!$D$2:$D$27,MATCH(E359,Merchant_Lookup!$C$2:$C$27,0)))</f>
        <v/>
      </c>
      <c r="G359" t="str">
        <f>IF(E359="NEEDS REVIEW","",INDEX(Merchant_Lookup!$E$2:$E$27,MATCH(E359,Merchant_Lookup!$C$2:$C$27,0)))</f>
        <v/>
      </c>
      <c r="J359" t="str">
        <f t="shared" si="10"/>
        <v>NEEDS REVIEW</v>
      </c>
      <c r="K359" t="str">
        <f t="shared" si="11"/>
        <v/>
      </c>
    </row>
    <row r="360" spans="5:11" x14ac:dyDescent="0.2">
      <c r="E360" t="str" cm="1">
        <f t="array" ref="E360">IFERROR(INDEX(Merchant_Lookup!$C$2:$C$27,MATCH(TRUE,ISNUMBER(SEARCH(Merchant_Lookup!$A$2:$A$26,UPPER(B360))),0)),"NEEDS REVIEW")</f>
        <v>NEEDS REVIEW</v>
      </c>
      <c r="F360" t="str">
        <f>IF(E360="NEEDS REVIEW","",INDEX(Merchant_Lookup!$D$2:$D$27,MATCH(E360,Merchant_Lookup!$C$2:$C$27,0)))</f>
        <v/>
      </c>
      <c r="G360" t="str">
        <f>IF(E360="NEEDS REVIEW","",INDEX(Merchant_Lookup!$E$2:$E$27,MATCH(E360,Merchant_Lookup!$C$2:$C$27,0)))</f>
        <v/>
      </c>
      <c r="J360" t="str">
        <f t="shared" si="10"/>
        <v>NEEDS REVIEW</v>
      </c>
      <c r="K360" t="str">
        <f t="shared" si="11"/>
        <v/>
      </c>
    </row>
    <row r="361" spans="5:11" x14ac:dyDescent="0.2">
      <c r="E361" t="str" cm="1">
        <f t="array" ref="E361">IFERROR(INDEX(Merchant_Lookup!$C$2:$C$27,MATCH(TRUE,ISNUMBER(SEARCH(Merchant_Lookup!$A$2:$A$26,UPPER(B361))),0)),"NEEDS REVIEW")</f>
        <v>NEEDS REVIEW</v>
      </c>
      <c r="F361" t="str">
        <f>IF(E361="NEEDS REVIEW","",INDEX(Merchant_Lookup!$D$2:$D$27,MATCH(E361,Merchant_Lookup!$C$2:$C$27,0)))</f>
        <v/>
      </c>
      <c r="G361" t="str">
        <f>IF(E361="NEEDS REVIEW","",INDEX(Merchant_Lookup!$E$2:$E$27,MATCH(E361,Merchant_Lookup!$C$2:$C$27,0)))</f>
        <v/>
      </c>
      <c r="J361" t="str">
        <f t="shared" si="10"/>
        <v>NEEDS REVIEW</v>
      </c>
      <c r="K361" t="str">
        <f t="shared" si="11"/>
        <v/>
      </c>
    </row>
    <row r="362" spans="5:11" x14ac:dyDescent="0.2">
      <c r="E362" t="str" cm="1">
        <f t="array" ref="E362">IFERROR(INDEX(Merchant_Lookup!$C$2:$C$27,MATCH(TRUE,ISNUMBER(SEARCH(Merchant_Lookup!$A$2:$A$26,UPPER(B362))),0)),"NEEDS REVIEW")</f>
        <v>NEEDS REVIEW</v>
      </c>
      <c r="F362" t="str">
        <f>IF(E362="NEEDS REVIEW","",INDEX(Merchant_Lookup!$D$2:$D$27,MATCH(E362,Merchant_Lookup!$C$2:$C$27,0)))</f>
        <v/>
      </c>
      <c r="G362" t="str">
        <f>IF(E362="NEEDS REVIEW","",INDEX(Merchant_Lookup!$E$2:$E$27,MATCH(E362,Merchant_Lookup!$C$2:$C$27,0)))</f>
        <v/>
      </c>
      <c r="J362" t="str">
        <f t="shared" si="10"/>
        <v>NEEDS REVIEW</v>
      </c>
      <c r="K362" t="str">
        <f t="shared" si="11"/>
        <v/>
      </c>
    </row>
    <row r="363" spans="5:11" x14ac:dyDescent="0.2">
      <c r="E363" t="str" cm="1">
        <f t="array" ref="E363">IFERROR(INDEX(Merchant_Lookup!$C$2:$C$27,MATCH(TRUE,ISNUMBER(SEARCH(Merchant_Lookup!$A$2:$A$26,UPPER(B363))),0)),"NEEDS REVIEW")</f>
        <v>NEEDS REVIEW</v>
      </c>
      <c r="F363" t="str">
        <f>IF(E363="NEEDS REVIEW","",INDEX(Merchant_Lookup!$D$2:$D$27,MATCH(E363,Merchant_Lookup!$C$2:$C$27,0)))</f>
        <v/>
      </c>
      <c r="G363" t="str">
        <f>IF(E363="NEEDS REVIEW","",INDEX(Merchant_Lookup!$E$2:$E$27,MATCH(E363,Merchant_Lookup!$C$2:$C$27,0)))</f>
        <v/>
      </c>
      <c r="J363" t="str">
        <f t="shared" si="10"/>
        <v>NEEDS REVIEW</v>
      </c>
      <c r="K363" t="str">
        <f t="shared" si="11"/>
        <v/>
      </c>
    </row>
    <row r="364" spans="5:11" x14ac:dyDescent="0.2">
      <c r="E364" t="str" cm="1">
        <f t="array" ref="E364">IFERROR(INDEX(Merchant_Lookup!$C$2:$C$27,MATCH(TRUE,ISNUMBER(SEARCH(Merchant_Lookup!$A$2:$A$26,UPPER(B364))),0)),"NEEDS REVIEW")</f>
        <v>NEEDS REVIEW</v>
      </c>
      <c r="F364" t="str">
        <f>IF(E364="NEEDS REVIEW","",INDEX(Merchant_Lookup!$D$2:$D$27,MATCH(E364,Merchant_Lookup!$C$2:$C$27,0)))</f>
        <v/>
      </c>
      <c r="G364" t="str">
        <f>IF(E364="NEEDS REVIEW","",INDEX(Merchant_Lookup!$E$2:$E$27,MATCH(E364,Merchant_Lookup!$C$2:$C$27,0)))</f>
        <v/>
      </c>
      <c r="J364" t="str">
        <f t="shared" si="10"/>
        <v>NEEDS REVIEW</v>
      </c>
      <c r="K364" t="str">
        <f t="shared" si="11"/>
        <v/>
      </c>
    </row>
    <row r="365" spans="5:11" x14ac:dyDescent="0.2">
      <c r="E365" t="str" cm="1">
        <f t="array" ref="E365">IFERROR(INDEX(Merchant_Lookup!$C$2:$C$27,MATCH(TRUE,ISNUMBER(SEARCH(Merchant_Lookup!$A$2:$A$26,UPPER(B365))),0)),"NEEDS REVIEW")</f>
        <v>NEEDS REVIEW</v>
      </c>
      <c r="F365" t="str">
        <f>IF(E365="NEEDS REVIEW","",INDEX(Merchant_Lookup!$D$2:$D$27,MATCH(E365,Merchant_Lookup!$C$2:$C$27,0)))</f>
        <v/>
      </c>
      <c r="G365" t="str">
        <f>IF(E365="NEEDS REVIEW","",INDEX(Merchant_Lookup!$E$2:$E$27,MATCH(E365,Merchant_Lookup!$C$2:$C$27,0)))</f>
        <v/>
      </c>
      <c r="J365" t="str">
        <f t="shared" si="10"/>
        <v>NEEDS REVIEW</v>
      </c>
      <c r="K365" t="str">
        <f t="shared" si="11"/>
        <v/>
      </c>
    </row>
    <row r="366" spans="5:11" x14ac:dyDescent="0.2">
      <c r="E366" t="str" cm="1">
        <f t="array" ref="E366">IFERROR(INDEX(Merchant_Lookup!$C$2:$C$27,MATCH(TRUE,ISNUMBER(SEARCH(Merchant_Lookup!$A$2:$A$26,UPPER(B366))),0)),"NEEDS REVIEW")</f>
        <v>NEEDS REVIEW</v>
      </c>
      <c r="F366" t="str">
        <f>IF(E366="NEEDS REVIEW","",INDEX(Merchant_Lookup!$D$2:$D$27,MATCH(E366,Merchant_Lookup!$C$2:$C$27,0)))</f>
        <v/>
      </c>
      <c r="G366" t="str">
        <f>IF(E366="NEEDS REVIEW","",INDEX(Merchant_Lookup!$E$2:$E$27,MATCH(E366,Merchant_Lookup!$C$2:$C$27,0)))</f>
        <v/>
      </c>
      <c r="J366" t="str">
        <f t="shared" si="10"/>
        <v>NEEDS REVIEW</v>
      </c>
      <c r="K366" t="str">
        <f t="shared" si="11"/>
        <v/>
      </c>
    </row>
    <row r="367" spans="5:11" x14ac:dyDescent="0.2">
      <c r="E367" t="str" cm="1">
        <f t="array" ref="E367">IFERROR(INDEX(Merchant_Lookup!$C$2:$C$27,MATCH(TRUE,ISNUMBER(SEARCH(Merchant_Lookup!$A$2:$A$26,UPPER(B367))),0)),"NEEDS REVIEW")</f>
        <v>NEEDS REVIEW</v>
      </c>
      <c r="F367" t="str">
        <f>IF(E367="NEEDS REVIEW","",INDEX(Merchant_Lookup!$D$2:$D$27,MATCH(E367,Merchant_Lookup!$C$2:$C$27,0)))</f>
        <v/>
      </c>
      <c r="G367" t="str">
        <f>IF(E367="NEEDS REVIEW","",INDEX(Merchant_Lookup!$E$2:$E$27,MATCH(E367,Merchant_Lookup!$C$2:$C$27,0)))</f>
        <v/>
      </c>
      <c r="J367" t="str">
        <f t="shared" si="10"/>
        <v>NEEDS REVIEW</v>
      </c>
      <c r="K367" t="str">
        <f t="shared" si="11"/>
        <v/>
      </c>
    </row>
    <row r="368" spans="5:11" x14ac:dyDescent="0.2">
      <c r="E368" t="str" cm="1">
        <f t="array" ref="E368">IFERROR(INDEX(Merchant_Lookup!$C$2:$C$27,MATCH(TRUE,ISNUMBER(SEARCH(Merchant_Lookup!$A$2:$A$26,UPPER(B368))),0)),"NEEDS REVIEW")</f>
        <v>NEEDS REVIEW</v>
      </c>
      <c r="F368" t="str">
        <f>IF(E368="NEEDS REVIEW","",INDEX(Merchant_Lookup!$D$2:$D$27,MATCH(E368,Merchant_Lookup!$C$2:$C$27,0)))</f>
        <v/>
      </c>
      <c r="G368" t="str">
        <f>IF(E368="NEEDS REVIEW","",INDEX(Merchant_Lookup!$E$2:$E$27,MATCH(E368,Merchant_Lookup!$C$2:$C$27,0)))</f>
        <v/>
      </c>
      <c r="J368" t="str">
        <f t="shared" si="10"/>
        <v>NEEDS REVIEW</v>
      </c>
      <c r="K368" t="str">
        <f t="shared" si="11"/>
        <v/>
      </c>
    </row>
    <row r="369" spans="5:11" x14ac:dyDescent="0.2">
      <c r="E369" t="str" cm="1">
        <f t="array" ref="E369">IFERROR(INDEX(Merchant_Lookup!$C$2:$C$27,MATCH(TRUE,ISNUMBER(SEARCH(Merchant_Lookup!$A$2:$A$26,UPPER(B369))),0)),"NEEDS REVIEW")</f>
        <v>NEEDS REVIEW</v>
      </c>
      <c r="F369" t="str">
        <f>IF(E369="NEEDS REVIEW","",INDEX(Merchant_Lookup!$D$2:$D$27,MATCH(E369,Merchant_Lookup!$C$2:$C$27,0)))</f>
        <v/>
      </c>
      <c r="G369" t="str">
        <f>IF(E369="NEEDS REVIEW","",INDEX(Merchant_Lookup!$E$2:$E$27,MATCH(E369,Merchant_Lookup!$C$2:$C$27,0)))</f>
        <v/>
      </c>
      <c r="J369" t="str">
        <f t="shared" si="10"/>
        <v>NEEDS REVIEW</v>
      </c>
      <c r="K369" t="str">
        <f t="shared" si="11"/>
        <v/>
      </c>
    </row>
    <row r="370" spans="5:11" x14ac:dyDescent="0.2">
      <c r="E370" t="str" cm="1">
        <f t="array" ref="E370">IFERROR(INDEX(Merchant_Lookup!$C$2:$C$27,MATCH(TRUE,ISNUMBER(SEARCH(Merchant_Lookup!$A$2:$A$26,UPPER(B370))),0)),"NEEDS REVIEW")</f>
        <v>NEEDS REVIEW</v>
      </c>
      <c r="F370" t="str">
        <f>IF(E370="NEEDS REVIEW","",INDEX(Merchant_Lookup!$D$2:$D$27,MATCH(E370,Merchant_Lookup!$C$2:$C$27,0)))</f>
        <v/>
      </c>
      <c r="G370" t="str">
        <f>IF(E370="NEEDS REVIEW","",INDEX(Merchant_Lookup!$E$2:$E$27,MATCH(E370,Merchant_Lookup!$C$2:$C$27,0)))</f>
        <v/>
      </c>
      <c r="J370" t="str">
        <f t="shared" si="10"/>
        <v>NEEDS REVIEW</v>
      </c>
      <c r="K370" t="str">
        <f t="shared" si="11"/>
        <v/>
      </c>
    </row>
    <row r="371" spans="5:11" x14ac:dyDescent="0.2">
      <c r="E371" t="str" cm="1">
        <f t="array" ref="E371">IFERROR(INDEX(Merchant_Lookup!$C$2:$C$27,MATCH(TRUE,ISNUMBER(SEARCH(Merchant_Lookup!$A$2:$A$26,UPPER(B371))),0)),"NEEDS REVIEW")</f>
        <v>NEEDS REVIEW</v>
      </c>
      <c r="F371" t="str">
        <f>IF(E371="NEEDS REVIEW","",INDEX(Merchant_Lookup!$D$2:$D$27,MATCH(E371,Merchant_Lookup!$C$2:$C$27,0)))</f>
        <v/>
      </c>
      <c r="G371" t="str">
        <f>IF(E371="NEEDS REVIEW","",INDEX(Merchant_Lookup!$E$2:$E$27,MATCH(E371,Merchant_Lookup!$C$2:$C$27,0)))</f>
        <v/>
      </c>
      <c r="J371" t="str">
        <f t="shared" si="10"/>
        <v>NEEDS REVIEW</v>
      </c>
      <c r="K371" t="str">
        <f t="shared" si="11"/>
        <v/>
      </c>
    </row>
    <row r="372" spans="5:11" x14ac:dyDescent="0.2">
      <c r="E372" t="str" cm="1">
        <f t="array" ref="E372">IFERROR(INDEX(Merchant_Lookup!$C$2:$C$27,MATCH(TRUE,ISNUMBER(SEARCH(Merchant_Lookup!$A$2:$A$26,UPPER(B372))),0)),"NEEDS REVIEW")</f>
        <v>NEEDS REVIEW</v>
      </c>
      <c r="F372" t="str">
        <f>IF(E372="NEEDS REVIEW","",INDEX(Merchant_Lookup!$D$2:$D$27,MATCH(E372,Merchant_Lookup!$C$2:$C$27,0)))</f>
        <v/>
      </c>
      <c r="G372" t="str">
        <f>IF(E372="NEEDS REVIEW","",INDEX(Merchant_Lookup!$E$2:$E$27,MATCH(E372,Merchant_Lookup!$C$2:$C$27,0)))</f>
        <v/>
      </c>
      <c r="J372" t="str">
        <f t="shared" si="10"/>
        <v>NEEDS REVIEW</v>
      </c>
      <c r="K372" t="str">
        <f t="shared" si="11"/>
        <v/>
      </c>
    </row>
    <row r="373" spans="5:11" x14ac:dyDescent="0.2">
      <c r="E373" t="str" cm="1">
        <f t="array" ref="E373">IFERROR(INDEX(Merchant_Lookup!$C$2:$C$27,MATCH(TRUE,ISNUMBER(SEARCH(Merchant_Lookup!$A$2:$A$26,UPPER(B373))),0)),"NEEDS REVIEW")</f>
        <v>NEEDS REVIEW</v>
      </c>
      <c r="F373" t="str">
        <f>IF(E373="NEEDS REVIEW","",INDEX(Merchant_Lookup!$D$2:$D$27,MATCH(E373,Merchant_Lookup!$C$2:$C$27,0)))</f>
        <v/>
      </c>
      <c r="G373" t="str">
        <f>IF(E373="NEEDS REVIEW","",INDEX(Merchant_Lookup!$E$2:$E$27,MATCH(E373,Merchant_Lookup!$C$2:$C$27,0)))</f>
        <v/>
      </c>
      <c r="J373" t="str">
        <f t="shared" si="10"/>
        <v>NEEDS REVIEW</v>
      </c>
      <c r="K373" t="str">
        <f t="shared" si="11"/>
        <v/>
      </c>
    </row>
    <row r="374" spans="5:11" x14ac:dyDescent="0.2">
      <c r="E374" t="str" cm="1">
        <f t="array" ref="E374">IFERROR(INDEX(Merchant_Lookup!$C$2:$C$27,MATCH(TRUE,ISNUMBER(SEARCH(Merchant_Lookup!$A$2:$A$26,UPPER(B374))),0)),"NEEDS REVIEW")</f>
        <v>NEEDS REVIEW</v>
      </c>
      <c r="F374" t="str">
        <f>IF(E374="NEEDS REVIEW","",INDEX(Merchant_Lookup!$D$2:$D$27,MATCH(E374,Merchant_Lookup!$C$2:$C$27,0)))</f>
        <v/>
      </c>
      <c r="G374" t="str">
        <f>IF(E374="NEEDS REVIEW","",INDEX(Merchant_Lookup!$E$2:$E$27,MATCH(E374,Merchant_Lookup!$C$2:$C$27,0)))</f>
        <v/>
      </c>
      <c r="J374" t="str">
        <f t="shared" si="10"/>
        <v>NEEDS REVIEW</v>
      </c>
      <c r="K374" t="str">
        <f t="shared" si="11"/>
        <v/>
      </c>
    </row>
    <row r="375" spans="5:11" x14ac:dyDescent="0.2">
      <c r="E375" t="str" cm="1">
        <f t="array" ref="E375">IFERROR(INDEX(Merchant_Lookup!$C$2:$C$27,MATCH(TRUE,ISNUMBER(SEARCH(Merchant_Lookup!$A$2:$A$26,UPPER(B375))),0)),"NEEDS REVIEW")</f>
        <v>NEEDS REVIEW</v>
      </c>
      <c r="F375" t="str">
        <f>IF(E375="NEEDS REVIEW","",INDEX(Merchant_Lookup!$D$2:$D$27,MATCH(E375,Merchant_Lookup!$C$2:$C$27,0)))</f>
        <v/>
      </c>
      <c r="G375" t="str">
        <f>IF(E375="NEEDS REVIEW","",INDEX(Merchant_Lookup!$E$2:$E$27,MATCH(E375,Merchant_Lookup!$C$2:$C$27,0)))</f>
        <v/>
      </c>
      <c r="J375" t="str">
        <f t="shared" si="10"/>
        <v>NEEDS REVIEW</v>
      </c>
      <c r="K375" t="str">
        <f t="shared" si="11"/>
        <v/>
      </c>
    </row>
    <row r="376" spans="5:11" x14ac:dyDescent="0.2">
      <c r="E376" t="str" cm="1">
        <f t="array" ref="E376">IFERROR(INDEX(Merchant_Lookup!$C$2:$C$27,MATCH(TRUE,ISNUMBER(SEARCH(Merchant_Lookup!$A$2:$A$26,UPPER(B376))),0)),"NEEDS REVIEW")</f>
        <v>NEEDS REVIEW</v>
      </c>
      <c r="F376" t="str">
        <f>IF(E376="NEEDS REVIEW","",INDEX(Merchant_Lookup!$D$2:$D$27,MATCH(E376,Merchant_Lookup!$C$2:$C$27,0)))</f>
        <v/>
      </c>
      <c r="G376" t="str">
        <f>IF(E376="NEEDS REVIEW","",INDEX(Merchant_Lookup!$E$2:$E$27,MATCH(E376,Merchant_Lookup!$C$2:$C$27,0)))</f>
        <v/>
      </c>
      <c r="J376" t="str">
        <f t="shared" si="10"/>
        <v>NEEDS REVIEW</v>
      </c>
      <c r="K376" t="str">
        <f t="shared" si="11"/>
        <v/>
      </c>
    </row>
    <row r="377" spans="5:11" x14ac:dyDescent="0.2">
      <c r="E377" t="str" cm="1">
        <f t="array" ref="E377">IFERROR(INDEX(Merchant_Lookup!$C$2:$C$27,MATCH(TRUE,ISNUMBER(SEARCH(Merchant_Lookup!$A$2:$A$26,UPPER(B377))),0)),"NEEDS REVIEW")</f>
        <v>NEEDS REVIEW</v>
      </c>
      <c r="F377" t="str">
        <f>IF(E377="NEEDS REVIEW","",INDEX(Merchant_Lookup!$D$2:$D$27,MATCH(E377,Merchant_Lookup!$C$2:$C$27,0)))</f>
        <v/>
      </c>
      <c r="G377" t="str">
        <f>IF(E377="NEEDS REVIEW","",INDEX(Merchant_Lookup!$E$2:$E$27,MATCH(E377,Merchant_Lookup!$C$2:$C$27,0)))</f>
        <v/>
      </c>
      <c r="J377" t="str">
        <f t="shared" si="10"/>
        <v>NEEDS REVIEW</v>
      </c>
      <c r="K377" t="str">
        <f t="shared" si="11"/>
        <v/>
      </c>
    </row>
    <row r="378" spans="5:11" x14ac:dyDescent="0.2">
      <c r="E378" t="str" cm="1">
        <f t="array" ref="E378">IFERROR(INDEX(Merchant_Lookup!$C$2:$C$27,MATCH(TRUE,ISNUMBER(SEARCH(Merchant_Lookup!$A$2:$A$26,UPPER(B378))),0)),"NEEDS REVIEW")</f>
        <v>NEEDS REVIEW</v>
      </c>
      <c r="F378" t="str">
        <f>IF(E378="NEEDS REVIEW","",INDEX(Merchant_Lookup!$D$2:$D$27,MATCH(E378,Merchant_Lookup!$C$2:$C$27,0)))</f>
        <v/>
      </c>
      <c r="G378" t="str">
        <f>IF(E378="NEEDS REVIEW","",INDEX(Merchant_Lookup!$E$2:$E$27,MATCH(E378,Merchant_Lookup!$C$2:$C$27,0)))</f>
        <v/>
      </c>
      <c r="J378" t="str">
        <f t="shared" si="10"/>
        <v>NEEDS REVIEW</v>
      </c>
      <c r="K378" t="str">
        <f t="shared" si="11"/>
        <v/>
      </c>
    </row>
    <row r="379" spans="5:11" x14ac:dyDescent="0.2">
      <c r="E379" t="str" cm="1">
        <f t="array" ref="E379">IFERROR(INDEX(Merchant_Lookup!$C$2:$C$27,MATCH(TRUE,ISNUMBER(SEARCH(Merchant_Lookup!$A$2:$A$26,UPPER(B379))),0)),"NEEDS REVIEW")</f>
        <v>NEEDS REVIEW</v>
      </c>
      <c r="F379" t="str">
        <f>IF(E379="NEEDS REVIEW","",INDEX(Merchant_Lookup!$D$2:$D$27,MATCH(E379,Merchant_Lookup!$C$2:$C$27,0)))</f>
        <v/>
      </c>
      <c r="G379" t="str">
        <f>IF(E379="NEEDS REVIEW","",INDEX(Merchant_Lookup!$E$2:$E$27,MATCH(E379,Merchant_Lookup!$C$2:$C$27,0)))</f>
        <v/>
      </c>
      <c r="J379" t="str">
        <f t="shared" si="10"/>
        <v>NEEDS REVIEW</v>
      </c>
      <c r="K379" t="str">
        <f t="shared" si="11"/>
        <v/>
      </c>
    </row>
    <row r="380" spans="5:11" x14ac:dyDescent="0.2">
      <c r="E380" t="str" cm="1">
        <f t="array" ref="E380">IFERROR(INDEX(Merchant_Lookup!$C$2:$C$27,MATCH(TRUE,ISNUMBER(SEARCH(Merchant_Lookup!$A$2:$A$26,UPPER(B380))),0)),"NEEDS REVIEW")</f>
        <v>NEEDS REVIEW</v>
      </c>
      <c r="F380" t="str">
        <f>IF(E380="NEEDS REVIEW","",INDEX(Merchant_Lookup!$D$2:$D$27,MATCH(E380,Merchant_Lookup!$C$2:$C$27,0)))</f>
        <v/>
      </c>
      <c r="G380" t="str">
        <f>IF(E380="NEEDS REVIEW","",INDEX(Merchant_Lookup!$E$2:$E$27,MATCH(E380,Merchant_Lookup!$C$2:$C$27,0)))</f>
        <v/>
      </c>
      <c r="J380" t="str">
        <f t="shared" si="10"/>
        <v>NEEDS REVIEW</v>
      </c>
      <c r="K380" t="str">
        <f t="shared" si="11"/>
        <v/>
      </c>
    </row>
    <row r="381" spans="5:11" x14ac:dyDescent="0.2">
      <c r="E381" t="str" cm="1">
        <f t="array" ref="E381">IFERROR(INDEX(Merchant_Lookup!$C$2:$C$27,MATCH(TRUE,ISNUMBER(SEARCH(Merchant_Lookup!$A$2:$A$26,UPPER(B381))),0)),"NEEDS REVIEW")</f>
        <v>NEEDS REVIEW</v>
      </c>
      <c r="F381" t="str">
        <f>IF(E381="NEEDS REVIEW","",INDEX(Merchant_Lookup!$D$2:$D$27,MATCH(E381,Merchant_Lookup!$C$2:$C$27,0)))</f>
        <v/>
      </c>
      <c r="G381" t="str">
        <f>IF(E381="NEEDS REVIEW","",INDEX(Merchant_Lookup!$E$2:$E$27,MATCH(E381,Merchant_Lookup!$C$2:$C$27,0)))</f>
        <v/>
      </c>
      <c r="J381" t="str">
        <f t="shared" si="10"/>
        <v>NEEDS REVIEW</v>
      </c>
      <c r="K381" t="str">
        <f t="shared" si="11"/>
        <v/>
      </c>
    </row>
    <row r="382" spans="5:11" x14ac:dyDescent="0.2">
      <c r="E382" t="str" cm="1">
        <f t="array" ref="E382">IFERROR(INDEX(Merchant_Lookup!$C$2:$C$27,MATCH(TRUE,ISNUMBER(SEARCH(Merchant_Lookup!$A$2:$A$26,UPPER(B382))),0)),"NEEDS REVIEW")</f>
        <v>NEEDS REVIEW</v>
      </c>
      <c r="F382" t="str">
        <f>IF(E382="NEEDS REVIEW","",INDEX(Merchant_Lookup!$D$2:$D$27,MATCH(E382,Merchant_Lookup!$C$2:$C$27,0)))</f>
        <v/>
      </c>
      <c r="G382" t="str">
        <f>IF(E382="NEEDS REVIEW","",INDEX(Merchant_Lookup!$E$2:$E$27,MATCH(E382,Merchant_Lookup!$C$2:$C$27,0)))</f>
        <v/>
      </c>
      <c r="J382" t="str">
        <f t="shared" si="10"/>
        <v>NEEDS REVIEW</v>
      </c>
      <c r="K382" t="str">
        <f t="shared" si="11"/>
        <v/>
      </c>
    </row>
    <row r="383" spans="5:11" x14ac:dyDescent="0.2">
      <c r="E383" t="str" cm="1">
        <f t="array" ref="E383">IFERROR(INDEX(Merchant_Lookup!$C$2:$C$27,MATCH(TRUE,ISNUMBER(SEARCH(Merchant_Lookup!$A$2:$A$26,UPPER(B383))),0)),"NEEDS REVIEW")</f>
        <v>NEEDS REVIEW</v>
      </c>
      <c r="F383" t="str">
        <f>IF(E383="NEEDS REVIEW","",INDEX(Merchant_Lookup!$D$2:$D$27,MATCH(E383,Merchant_Lookup!$C$2:$C$27,0)))</f>
        <v/>
      </c>
      <c r="G383" t="str">
        <f>IF(E383="NEEDS REVIEW","",INDEX(Merchant_Lookup!$E$2:$E$27,MATCH(E383,Merchant_Lookup!$C$2:$C$27,0)))</f>
        <v/>
      </c>
      <c r="J383" t="str">
        <f t="shared" si="10"/>
        <v>NEEDS REVIEW</v>
      </c>
      <c r="K383" t="str">
        <f t="shared" si="11"/>
        <v/>
      </c>
    </row>
    <row r="384" spans="5:11" x14ac:dyDescent="0.2">
      <c r="E384" t="str" cm="1">
        <f t="array" ref="E384">IFERROR(INDEX(Merchant_Lookup!$C$2:$C$27,MATCH(TRUE,ISNUMBER(SEARCH(Merchant_Lookup!$A$2:$A$26,UPPER(B384))),0)),"NEEDS REVIEW")</f>
        <v>NEEDS REVIEW</v>
      </c>
      <c r="F384" t="str">
        <f>IF(E384="NEEDS REVIEW","",INDEX(Merchant_Lookup!$D$2:$D$27,MATCH(E384,Merchant_Lookup!$C$2:$C$27,0)))</f>
        <v/>
      </c>
      <c r="G384" t="str">
        <f>IF(E384="NEEDS REVIEW","",INDEX(Merchant_Lookup!$E$2:$E$27,MATCH(E384,Merchant_Lookup!$C$2:$C$27,0)))</f>
        <v/>
      </c>
      <c r="J384" t="str">
        <f t="shared" si="10"/>
        <v>NEEDS REVIEW</v>
      </c>
      <c r="K384" t="str">
        <f t="shared" si="11"/>
        <v/>
      </c>
    </row>
    <row r="385" spans="5:11" x14ac:dyDescent="0.2">
      <c r="E385" t="str" cm="1">
        <f t="array" ref="E385">IFERROR(INDEX(Merchant_Lookup!$C$2:$C$27,MATCH(TRUE,ISNUMBER(SEARCH(Merchant_Lookup!$A$2:$A$26,UPPER(B385))),0)),"NEEDS REVIEW")</f>
        <v>NEEDS REVIEW</v>
      </c>
      <c r="F385" t="str">
        <f>IF(E385="NEEDS REVIEW","",INDEX(Merchant_Lookup!$D$2:$D$27,MATCH(E385,Merchant_Lookup!$C$2:$C$27,0)))</f>
        <v/>
      </c>
      <c r="G385" t="str">
        <f>IF(E385="NEEDS REVIEW","",INDEX(Merchant_Lookup!$E$2:$E$27,MATCH(E385,Merchant_Lookup!$C$2:$C$27,0)))</f>
        <v/>
      </c>
      <c r="J385" t="str">
        <f t="shared" si="10"/>
        <v>NEEDS REVIEW</v>
      </c>
      <c r="K385" t="str">
        <f t="shared" si="11"/>
        <v/>
      </c>
    </row>
    <row r="386" spans="5:11" x14ac:dyDescent="0.2">
      <c r="E386" t="str" cm="1">
        <f t="array" ref="E386">IFERROR(INDEX(Merchant_Lookup!$C$2:$C$27,MATCH(TRUE,ISNUMBER(SEARCH(Merchant_Lookup!$A$2:$A$26,UPPER(B386))),0)),"NEEDS REVIEW")</f>
        <v>NEEDS REVIEW</v>
      </c>
      <c r="F386" t="str">
        <f>IF(E386="NEEDS REVIEW","",INDEX(Merchant_Lookup!$D$2:$D$27,MATCH(E386,Merchant_Lookup!$C$2:$C$27,0)))</f>
        <v/>
      </c>
      <c r="G386" t="str">
        <f>IF(E386="NEEDS REVIEW","",INDEX(Merchant_Lookup!$E$2:$E$27,MATCH(E386,Merchant_Lookup!$C$2:$C$27,0)))</f>
        <v/>
      </c>
      <c r="J386" t="str">
        <f t="shared" si="10"/>
        <v>NEEDS REVIEW</v>
      </c>
      <c r="K386" t="str">
        <f t="shared" si="11"/>
        <v/>
      </c>
    </row>
    <row r="387" spans="5:11" x14ac:dyDescent="0.2">
      <c r="E387" t="str" cm="1">
        <f t="array" ref="E387">IFERROR(INDEX(Merchant_Lookup!$C$2:$C$27,MATCH(TRUE,ISNUMBER(SEARCH(Merchant_Lookup!$A$2:$A$26,UPPER(B387))),0)),"NEEDS REVIEW")</f>
        <v>NEEDS REVIEW</v>
      </c>
      <c r="F387" t="str">
        <f>IF(E387="NEEDS REVIEW","",INDEX(Merchant_Lookup!$D$2:$D$27,MATCH(E387,Merchant_Lookup!$C$2:$C$27,0)))</f>
        <v/>
      </c>
      <c r="G387" t="str">
        <f>IF(E387="NEEDS REVIEW","",INDEX(Merchant_Lookup!$E$2:$E$27,MATCH(E387,Merchant_Lookup!$C$2:$C$27,0)))</f>
        <v/>
      </c>
      <c r="J387" t="str">
        <f t="shared" ref="J387:J450" si="12">IF(H387&lt;&gt;"",H387,E387)</f>
        <v>NEEDS REVIEW</v>
      </c>
      <c r="K387" t="str">
        <f t="shared" ref="K387:K450" si="13">IF(I387&lt;&gt;"",I387,F387)</f>
        <v/>
      </c>
    </row>
    <row r="388" spans="5:11" x14ac:dyDescent="0.2">
      <c r="E388" t="str" cm="1">
        <f t="array" ref="E388">IFERROR(INDEX(Merchant_Lookup!$C$2:$C$27,MATCH(TRUE,ISNUMBER(SEARCH(Merchant_Lookup!$A$2:$A$26,UPPER(B388))),0)),"NEEDS REVIEW")</f>
        <v>NEEDS REVIEW</v>
      </c>
      <c r="F388" t="str">
        <f>IF(E388="NEEDS REVIEW","",INDEX(Merchant_Lookup!$D$2:$D$27,MATCH(E388,Merchant_Lookup!$C$2:$C$27,0)))</f>
        <v/>
      </c>
      <c r="G388" t="str">
        <f>IF(E388="NEEDS REVIEW","",INDEX(Merchant_Lookup!$E$2:$E$27,MATCH(E388,Merchant_Lookup!$C$2:$C$27,0)))</f>
        <v/>
      </c>
      <c r="J388" t="str">
        <f t="shared" si="12"/>
        <v>NEEDS REVIEW</v>
      </c>
      <c r="K388" t="str">
        <f t="shared" si="13"/>
        <v/>
      </c>
    </row>
    <row r="389" spans="5:11" x14ac:dyDescent="0.2">
      <c r="E389" t="str" cm="1">
        <f t="array" ref="E389">IFERROR(INDEX(Merchant_Lookup!$C$2:$C$27,MATCH(TRUE,ISNUMBER(SEARCH(Merchant_Lookup!$A$2:$A$26,UPPER(B389))),0)),"NEEDS REVIEW")</f>
        <v>NEEDS REVIEW</v>
      </c>
      <c r="F389" t="str">
        <f>IF(E389="NEEDS REVIEW","",INDEX(Merchant_Lookup!$D$2:$D$27,MATCH(E389,Merchant_Lookup!$C$2:$C$27,0)))</f>
        <v/>
      </c>
      <c r="G389" t="str">
        <f>IF(E389="NEEDS REVIEW","",INDEX(Merchant_Lookup!$E$2:$E$27,MATCH(E389,Merchant_Lookup!$C$2:$C$27,0)))</f>
        <v/>
      </c>
      <c r="J389" t="str">
        <f t="shared" si="12"/>
        <v>NEEDS REVIEW</v>
      </c>
      <c r="K389" t="str">
        <f t="shared" si="13"/>
        <v/>
      </c>
    </row>
    <row r="390" spans="5:11" x14ac:dyDescent="0.2">
      <c r="E390" t="str" cm="1">
        <f t="array" ref="E390">IFERROR(INDEX(Merchant_Lookup!$C$2:$C$27,MATCH(TRUE,ISNUMBER(SEARCH(Merchant_Lookup!$A$2:$A$26,UPPER(B390))),0)),"NEEDS REVIEW")</f>
        <v>NEEDS REVIEW</v>
      </c>
      <c r="F390" t="str">
        <f>IF(E390="NEEDS REVIEW","",INDEX(Merchant_Lookup!$D$2:$D$27,MATCH(E390,Merchant_Lookup!$C$2:$C$27,0)))</f>
        <v/>
      </c>
      <c r="G390" t="str">
        <f>IF(E390="NEEDS REVIEW","",INDEX(Merchant_Lookup!$E$2:$E$27,MATCH(E390,Merchant_Lookup!$C$2:$C$27,0)))</f>
        <v/>
      </c>
      <c r="J390" t="str">
        <f t="shared" si="12"/>
        <v>NEEDS REVIEW</v>
      </c>
      <c r="K390" t="str">
        <f t="shared" si="13"/>
        <v/>
      </c>
    </row>
    <row r="391" spans="5:11" x14ac:dyDescent="0.2">
      <c r="E391" t="str" cm="1">
        <f t="array" ref="E391">IFERROR(INDEX(Merchant_Lookup!$C$2:$C$27,MATCH(TRUE,ISNUMBER(SEARCH(Merchant_Lookup!$A$2:$A$26,UPPER(B391))),0)),"NEEDS REVIEW")</f>
        <v>NEEDS REVIEW</v>
      </c>
      <c r="F391" t="str">
        <f>IF(E391="NEEDS REVIEW","",INDEX(Merchant_Lookup!$D$2:$D$27,MATCH(E391,Merchant_Lookup!$C$2:$C$27,0)))</f>
        <v/>
      </c>
      <c r="G391" t="str">
        <f>IF(E391="NEEDS REVIEW","",INDEX(Merchant_Lookup!$E$2:$E$27,MATCH(E391,Merchant_Lookup!$C$2:$C$27,0)))</f>
        <v/>
      </c>
      <c r="J391" t="str">
        <f t="shared" si="12"/>
        <v>NEEDS REVIEW</v>
      </c>
      <c r="K391" t="str">
        <f t="shared" si="13"/>
        <v/>
      </c>
    </row>
    <row r="392" spans="5:11" x14ac:dyDescent="0.2">
      <c r="E392" t="str" cm="1">
        <f t="array" ref="E392">IFERROR(INDEX(Merchant_Lookup!$C$2:$C$27,MATCH(TRUE,ISNUMBER(SEARCH(Merchant_Lookup!$A$2:$A$26,UPPER(B392))),0)),"NEEDS REVIEW")</f>
        <v>NEEDS REVIEW</v>
      </c>
      <c r="F392" t="str">
        <f>IF(E392="NEEDS REVIEW","",INDEX(Merchant_Lookup!$D$2:$D$27,MATCH(E392,Merchant_Lookup!$C$2:$C$27,0)))</f>
        <v/>
      </c>
      <c r="G392" t="str">
        <f>IF(E392="NEEDS REVIEW","",INDEX(Merchant_Lookup!$E$2:$E$27,MATCH(E392,Merchant_Lookup!$C$2:$C$27,0)))</f>
        <v/>
      </c>
      <c r="J392" t="str">
        <f t="shared" si="12"/>
        <v>NEEDS REVIEW</v>
      </c>
      <c r="K392" t="str">
        <f t="shared" si="13"/>
        <v/>
      </c>
    </row>
    <row r="393" spans="5:11" x14ac:dyDescent="0.2">
      <c r="E393" t="str" cm="1">
        <f t="array" ref="E393">IFERROR(INDEX(Merchant_Lookup!$C$2:$C$27,MATCH(TRUE,ISNUMBER(SEARCH(Merchant_Lookup!$A$2:$A$26,UPPER(B393))),0)),"NEEDS REVIEW")</f>
        <v>NEEDS REVIEW</v>
      </c>
      <c r="F393" t="str">
        <f>IF(E393="NEEDS REVIEW","",INDEX(Merchant_Lookup!$D$2:$D$27,MATCH(E393,Merchant_Lookup!$C$2:$C$27,0)))</f>
        <v/>
      </c>
      <c r="G393" t="str">
        <f>IF(E393="NEEDS REVIEW","",INDEX(Merchant_Lookup!$E$2:$E$27,MATCH(E393,Merchant_Lookup!$C$2:$C$27,0)))</f>
        <v/>
      </c>
      <c r="J393" t="str">
        <f t="shared" si="12"/>
        <v>NEEDS REVIEW</v>
      </c>
      <c r="K393" t="str">
        <f t="shared" si="13"/>
        <v/>
      </c>
    </row>
    <row r="394" spans="5:11" x14ac:dyDescent="0.2">
      <c r="E394" t="str" cm="1">
        <f t="array" ref="E394">IFERROR(INDEX(Merchant_Lookup!$C$2:$C$27,MATCH(TRUE,ISNUMBER(SEARCH(Merchant_Lookup!$A$2:$A$26,UPPER(B394))),0)),"NEEDS REVIEW")</f>
        <v>NEEDS REVIEW</v>
      </c>
      <c r="F394" t="str">
        <f>IF(E394="NEEDS REVIEW","",INDEX(Merchant_Lookup!$D$2:$D$27,MATCH(E394,Merchant_Lookup!$C$2:$C$27,0)))</f>
        <v/>
      </c>
      <c r="G394" t="str">
        <f>IF(E394="NEEDS REVIEW","",INDEX(Merchant_Lookup!$E$2:$E$27,MATCH(E394,Merchant_Lookup!$C$2:$C$27,0)))</f>
        <v/>
      </c>
      <c r="J394" t="str">
        <f t="shared" si="12"/>
        <v>NEEDS REVIEW</v>
      </c>
      <c r="K394" t="str">
        <f t="shared" si="13"/>
        <v/>
      </c>
    </row>
    <row r="395" spans="5:11" x14ac:dyDescent="0.2">
      <c r="E395" t="str" cm="1">
        <f t="array" ref="E395">IFERROR(INDEX(Merchant_Lookup!$C$2:$C$27,MATCH(TRUE,ISNUMBER(SEARCH(Merchant_Lookup!$A$2:$A$26,UPPER(B395))),0)),"NEEDS REVIEW")</f>
        <v>NEEDS REVIEW</v>
      </c>
      <c r="F395" t="str">
        <f>IF(E395="NEEDS REVIEW","",INDEX(Merchant_Lookup!$D$2:$D$27,MATCH(E395,Merchant_Lookup!$C$2:$C$27,0)))</f>
        <v/>
      </c>
      <c r="G395" t="str">
        <f>IF(E395="NEEDS REVIEW","",INDEX(Merchant_Lookup!$E$2:$E$27,MATCH(E395,Merchant_Lookup!$C$2:$C$27,0)))</f>
        <v/>
      </c>
      <c r="J395" t="str">
        <f t="shared" si="12"/>
        <v>NEEDS REVIEW</v>
      </c>
      <c r="K395" t="str">
        <f t="shared" si="13"/>
        <v/>
      </c>
    </row>
    <row r="396" spans="5:11" x14ac:dyDescent="0.2">
      <c r="E396" t="str" cm="1">
        <f t="array" ref="E396">IFERROR(INDEX(Merchant_Lookup!$C$2:$C$27,MATCH(TRUE,ISNUMBER(SEARCH(Merchant_Lookup!$A$2:$A$26,UPPER(B396))),0)),"NEEDS REVIEW")</f>
        <v>NEEDS REVIEW</v>
      </c>
      <c r="F396" t="str">
        <f>IF(E396="NEEDS REVIEW","",INDEX(Merchant_Lookup!$D$2:$D$27,MATCH(E396,Merchant_Lookup!$C$2:$C$27,0)))</f>
        <v/>
      </c>
      <c r="G396" t="str">
        <f>IF(E396="NEEDS REVIEW","",INDEX(Merchant_Lookup!$E$2:$E$27,MATCH(E396,Merchant_Lookup!$C$2:$C$27,0)))</f>
        <v/>
      </c>
      <c r="J396" t="str">
        <f t="shared" si="12"/>
        <v>NEEDS REVIEW</v>
      </c>
      <c r="K396" t="str">
        <f t="shared" si="13"/>
        <v/>
      </c>
    </row>
    <row r="397" spans="5:11" x14ac:dyDescent="0.2">
      <c r="E397" t="str" cm="1">
        <f t="array" ref="E397">IFERROR(INDEX(Merchant_Lookup!$C$2:$C$27,MATCH(TRUE,ISNUMBER(SEARCH(Merchant_Lookup!$A$2:$A$26,UPPER(B397))),0)),"NEEDS REVIEW")</f>
        <v>NEEDS REVIEW</v>
      </c>
      <c r="F397" t="str">
        <f>IF(E397="NEEDS REVIEW","",INDEX(Merchant_Lookup!$D$2:$D$27,MATCH(E397,Merchant_Lookup!$C$2:$C$27,0)))</f>
        <v/>
      </c>
      <c r="G397" t="str">
        <f>IF(E397="NEEDS REVIEW","",INDEX(Merchant_Lookup!$E$2:$E$27,MATCH(E397,Merchant_Lookup!$C$2:$C$27,0)))</f>
        <v/>
      </c>
      <c r="J397" t="str">
        <f t="shared" si="12"/>
        <v>NEEDS REVIEW</v>
      </c>
      <c r="K397" t="str">
        <f t="shared" si="13"/>
        <v/>
      </c>
    </row>
    <row r="398" spans="5:11" x14ac:dyDescent="0.2">
      <c r="E398" t="str" cm="1">
        <f t="array" ref="E398">IFERROR(INDEX(Merchant_Lookup!$C$2:$C$27,MATCH(TRUE,ISNUMBER(SEARCH(Merchant_Lookup!$A$2:$A$26,UPPER(B398))),0)),"NEEDS REVIEW")</f>
        <v>NEEDS REVIEW</v>
      </c>
      <c r="F398" t="str">
        <f>IF(E398="NEEDS REVIEW","",INDEX(Merchant_Lookup!$D$2:$D$27,MATCH(E398,Merchant_Lookup!$C$2:$C$27,0)))</f>
        <v/>
      </c>
      <c r="G398" t="str">
        <f>IF(E398="NEEDS REVIEW","",INDEX(Merchant_Lookup!$E$2:$E$27,MATCH(E398,Merchant_Lookup!$C$2:$C$27,0)))</f>
        <v/>
      </c>
      <c r="J398" t="str">
        <f t="shared" si="12"/>
        <v>NEEDS REVIEW</v>
      </c>
      <c r="K398" t="str">
        <f t="shared" si="13"/>
        <v/>
      </c>
    </row>
    <row r="399" spans="5:11" x14ac:dyDescent="0.2">
      <c r="E399" t="str" cm="1">
        <f t="array" ref="E399">IFERROR(INDEX(Merchant_Lookup!$C$2:$C$27,MATCH(TRUE,ISNUMBER(SEARCH(Merchant_Lookup!$A$2:$A$26,UPPER(B399))),0)),"NEEDS REVIEW")</f>
        <v>NEEDS REVIEW</v>
      </c>
      <c r="F399" t="str">
        <f>IF(E399="NEEDS REVIEW","",INDEX(Merchant_Lookup!$D$2:$D$27,MATCH(E399,Merchant_Lookup!$C$2:$C$27,0)))</f>
        <v/>
      </c>
      <c r="G399" t="str">
        <f>IF(E399="NEEDS REVIEW","",INDEX(Merchant_Lookup!$E$2:$E$27,MATCH(E399,Merchant_Lookup!$C$2:$C$27,0)))</f>
        <v/>
      </c>
      <c r="J399" t="str">
        <f t="shared" si="12"/>
        <v>NEEDS REVIEW</v>
      </c>
      <c r="K399" t="str">
        <f t="shared" si="13"/>
        <v/>
      </c>
    </row>
    <row r="400" spans="5:11" x14ac:dyDescent="0.2">
      <c r="E400" t="str" cm="1">
        <f t="array" ref="E400">IFERROR(INDEX(Merchant_Lookup!$C$2:$C$27,MATCH(TRUE,ISNUMBER(SEARCH(Merchant_Lookup!$A$2:$A$26,UPPER(B400))),0)),"NEEDS REVIEW")</f>
        <v>NEEDS REVIEW</v>
      </c>
      <c r="F400" t="str">
        <f>IF(E400="NEEDS REVIEW","",INDEX(Merchant_Lookup!$D$2:$D$27,MATCH(E400,Merchant_Lookup!$C$2:$C$27,0)))</f>
        <v/>
      </c>
      <c r="G400" t="str">
        <f>IF(E400="NEEDS REVIEW","",INDEX(Merchant_Lookup!$E$2:$E$27,MATCH(E400,Merchant_Lookup!$C$2:$C$27,0)))</f>
        <v/>
      </c>
      <c r="J400" t="str">
        <f t="shared" si="12"/>
        <v>NEEDS REVIEW</v>
      </c>
      <c r="K400" t="str">
        <f t="shared" si="13"/>
        <v/>
      </c>
    </row>
    <row r="401" spans="5:11" x14ac:dyDescent="0.2">
      <c r="E401" t="str" cm="1">
        <f t="array" ref="E401">IFERROR(INDEX(Merchant_Lookup!$C$2:$C$27,MATCH(TRUE,ISNUMBER(SEARCH(Merchant_Lookup!$A$2:$A$26,UPPER(B401))),0)),"NEEDS REVIEW")</f>
        <v>NEEDS REVIEW</v>
      </c>
      <c r="F401" t="str">
        <f>IF(E401="NEEDS REVIEW","",INDEX(Merchant_Lookup!$D$2:$D$27,MATCH(E401,Merchant_Lookup!$C$2:$C$27,0)))</f>
        <v/>
      </c>
      <c r="G401" t="str">
        <f>IF(E401="NEEDS REVIEW","",INDEX(Merchant_Lookup!$E$2:$E$27,MATCH(E401,Merchant_Lookup!$C$2:$C$27,0)))</f>
        <v/>
      </c>
      <c r="J401" t="str">
        <f t="shared" si="12"/>
        <v>NEEDS REVIEW</v>
      </c>
      <c r="K401" t="str">
        <f t="shared" si="13"/>
        <v/>
      </c>
    </row>
    <row r="402" spans="5:11" x14ac:dyDescent="0.2">
      <c r="E402" t="str" cm="1">
        <f t="array" ref="E402">IFERROR(INDEX(Merchant_Lookup!$C$2:$C$27,MATCH(TRUE,ISNUMBER(SEARCH(Merchant_Lookup!$A$2:$A$26,UPPER(B402))),0)),"NEEDS REVIEW")</f>
        <v>NEEDS REVIEW</v>
      </c>
      <c r="F402" t="str">
        <f>IF(E402="NEEDS REVIEW","",INDEX(Merchant_Lookup!$D$2:$D$27,MATCH(E402,Merchant_Lookup!$C$2:$C$27,0)))</f>
        <v/>
      </c>
      <c r="G402" t="str">
        <f>IF(E402="NEEDS REVIEW","",INDEX(Merchant_Lookup!$E$2:$E$27,MATCH(E402,Merchant_Lookup!$C$2:$C$27,0)))</f>
        <v/>
      </c>
      <c r="J402" t="str">
        <f t="shared" si="12"/>
        <v>NEEDS REVIEW</v>
      </c>
      <c r="K402" t="str">
        <f t="shared" si="13"/>
        <v/>
      </c>
    </row>
    <row r="403" spans="5:11" x14ac:dyDescent="0.2">
      <c r="E403" t="str" cm="1">
        <f t="array" ref="E403">IFERROR(INDEX(Merchant_Lookup!$C$2:$C$27,MATCH(TRUE,ISNUMBER(SEARCH(Merchant_Lookup!$A$2:$A$26,UPPER(B403))),0)),"NEEDS REVIEW")</f>
        <v>NEEDS REVIEW</v>
      </c>
      <c r="F403" t="str">
        <f>IF(E403="NEEDS REVIEW","",INDEX(Merchant_Lookup!$D$2:$D$27,MATCH(E403,Merchant_Lookup!$C$2:$C$27,0)))</f>
        <v/>
      </c>
      <c r="G403" t="str">
        <f>IF(E403="NEEDS REVIEW","",INDEX(Merchant_Lookup!$E$2:$E$27,MATCH(E403,Merchant_Lookup!$C$2:$C$27,0)))</f>
        <v/>
      </c>
      <c r="J403" t="str">
        <f t="shared" si="12"/>
        <v>NEEDS REVIEW</v>
      </c>
      <c r="K403" t="str">
        <f t="shared" si="13"/>
        <v/>
      </c>
    </row>
    <row r="404" spans="5:11" x14ac:dyDescent="0.2">
      <c r="E404" t="str" cm="1">
        <f t="array" ref="E404">IFERROR(INDEX(Merchant_Lookup!$C$2:$C$27,MATCH(TRUE,ISNUMBER(SEARCH(Merchant_Lookup!$A$2:$A$26,UPPER(B404))),0)),"NEEDS REVIEW")</f>
        <v>NEEDS REVIEW</v>
      </c>
      <c r="F404" t="str">
        <f>IF(E404="NEEDS REVIEW","",INDEX(Merchant_Lookup!$D$2:$D$27,MATCH(E404,Merchant_Lookup!$C$2:$C$27,0)))</f>
        <v/>
      </c>
      <c r="G404" t="str">
        <f>IF(E404="NEEDS REVIEW","",INDEX(Merchant_Lookup!$E$2:$E$27,MATCH(E404,Merchant_Lookup!$C$2:$C$27,0)))</f>
        <v/>
      </c>
      <c r="J404" t="str">
        <f t="shared" si="12"/>
        <v>NEEDS REVIEW</v>
      </c>
      <c r="K404" t="str">
        <f t="shared" si="13"/>
        <v/>
      </c>
    </row>
    <row r="405" spans="5:11" x14ac:dyDescent="0.2">
      <c r="E405" t="str" cm="1">
        <f t="array" ref="E405">IFERROR(INDEX(Merchant_Lookup!$C$2:$C$27,MATCH(TRUE,ISNUMBER(SEARCH(Merchant_Lookup!$A$2:$A$26,UPPER(B405))),0)),"NEEDS REVIEW")</f>
        <v>NEEDS REVIEW</v>
      </c>
      <c r="F405" t="str">
        <f>IF(E405="NEEDS REVIEW","",INDEX(Merchant_Lookup!$D$2:$D$27,MATCH(E405,Merchant_Lookup!$C$2:$C$27,0)))</f>
        <v/>
      </c>
      <c r="G405" t="str">
        <f>IF(E405="NEEDS REVIEW","",INDEX(Merchant_Lookup!$E$2:$E$27,MATCH(E405,Merchant_Lookup!$C$2:$C$27,0)))</f>
        <v/>
      </c>
      <c r="J405" t="str">
        <f t="shared" si="12"/>
        <v>NEEDS REVIEW</v>
      </c>
      <c r="K405" t="str">
        <f t="shared" si="13"/>
        <v/>
      </c>
    </row>
    <row r="406" spans="5:11" x14ac:dyDescent="0.2">
      <c r="E406" t="str" cm="1">
        <f t="array" ref="E406">IFERROR(INDEX(Merchant_Lookup!$C$2:$C$27,MATCH(TRUE,ISNUMBER(SEARCH(Merchant_Lookup!$A$2:$A$26,UPPER(B406))),0)),"NEEDS REVIEW")</f>
        <v>NEEDS REVIEW</v>
      </c>
      <c r="F406" t="str">
        <f>IF(E406="NEEDS REVIEW","",INDEX(Merchant_Lookup!$D$2:$D$27,MATCH(E406,Merchant_Lookup!$C$2:$C$27,0)))</f>
        <v/>
      </c>
      <c r="G406" t="str">
        <f>IF(E406="NEEDS REVIEW","",INDEX(Merchant_Lookup!$E$2:$E$27,MATCH(E406,Merchant_Lookup!$C$2:$C$27,0)))</f>
        <v/>
      </c>
      <c r="J406" t="str">
        <f t="shared" si="12"/>
        <v>NEEDS REVIEW</v>
      </c>
      <c r="K406" t="str">
        <f t="shared" si="13"/>
        <v/>
      </c>
    </row>
    <row r="407" spans="5:11" x14ac:dyDescent="0.2">
      <c r="E407" t="str" cm="1">
        <f t="array" ref="E407">IFERROR(INDEX(Merchant_Lookup!$C$2:$C$27,MATCH(TRUE,ISNUMBER(SEARCH(Merchant_Lookup!$A$2:$A$26,UPPER(B407))),0)),"NEEDS REVIEW")</f>
        <v>NEEDS REVIEW</v>
      </c>
      <c r="F407" t="str">
        <f>IF(E407="NEEDS REVIEW","",INDEX(Merchant_Lookup!$D$2:$D$27,MATCH(E407,Merchant_Lookup!$C$2:$C$27,0)))</f>
        <v/>
      </c>
      <c r="G407" t="str">
        <f>IF(E407="NEEDS REVIEW","",INDEX(Merchant_Lookup!$E$2:$E$27,MATCH(E407,Merchant_Lookup!$C$2:$C$27,0)))</f>
        <v/>
      </c>
      <c r="J407" t="str">
        <f t="shared" si="12"/>
        <v>NEEDS REVIEW</v>
      </c>
      <c r="K407" t="str">
        <f t="shared" si="13"/>
        <v/>
      </c>
    </row>
    <row r="408" spans="5:11" x14ac:dyDescent="0.2">
      <c r="E408" t="str" cm="1">
        <f t="array" ref="E408">IFERROR(INDEX(Merchant_Lookup!$C$2:$C$27,MATCH(TRUE,ISNUMBER(SEARCH(Merchant_Lookup!$A$2:$A$26,UPPER(B408))),0)),"NEEDS REVIEW")</f>
        <v>NEEDS REVIEW</v>
      </c>
      <c r="F408" t="str">
        <f>IF(E408="NEEDS REVIEW","",INDEX(Merchant_Lookup!$D$2:$D$27,MATCH(E408,Merchant_Lookup!$C$2:$C$27,0)))</f>
        <v/>
      </c>
      <c r="G408" t="str">
        <f>IF(E408="NEEDS REVIEW","",INDEX(Merchant_Lookup!$E$2:$E$27,MATCH(E408,Merchant_Lookup!$C$2:$C$27,0)))</f>
        <v/>
      </c>
      <c r="J408" t="str">
        <f t="shared" si="12"/>
        <v>NEEDS REVIEW</v>
      </c>
      <c r="K408" t="str">
        <f t="shared" si="13"/>
        <v/>
      </c>
    </row>
    <row r="409" spans="5:11" x14ac:dyDescent="0.2">
      <c r="E409" t="str" cm="1">
        <f t="array" ref="E409">IFERROR(INDEX(Merchant_Lookup!$C$2:$C$27,MATCH(TRUE,ISNUMBER(SEARCH(Merchant_Lookup!$A$2:$A$26,UPPER(B409))),0)),"NEEDS REVIEW")</f>
        <v>NEEDS REVIEW</v>
      </c>
      <c r="F409" t="str">
        <f>IF(E409="NEEDS REVIEW","",INDEX(Merchant_Lookup!$D$2:$D$27,MATCH(E409,Merchant_Lookup!$C$2:$C$27,0)))</f>
        <v/>
      </c>
      <c r="G409" t="str">
        <f>IF(E409="NEEDS REVIEW","",INDEX(Merchant_Lookup!$E$2:$E$27,MATCH(E409,Merchant_Lookup!$C$2:$C$27,0)))</f>
        <v/>
      </c>
      <c r="J409" t="str">
        <f t="shared" si="12"/>
        <v>NEEDS REVIEW</v>
      </c>
      <c r="K409" t="str">
        <f t="shared" si="13"/>
        <v/>
      </c>
    </row>
    <row r="410" spans="5:11" x14ac:dyDescent="0.2">
      <c r="E410" t="str" cm="1">
        <f t="array" ref="E410">IFERROR(INDEX(Merchant_Lookup!$C$2:$C$27,MATCH(TRUE,ISNUMBER(SEARCH(Merchant_Lookup!$A$2:$A$26,UPPER(B410))),0)),"NEEDS REVIEW")</f>
        <v>NEEDS REVIEW</v>
      </c>
      <c r="F410" t="str">
        <f>IF(E410="NEEDS REVIEW","",INDEX(Merchant_Lookup!$D$2:$D$27,MATCH(E410,Merchant_Lookup!$C$2:$C$27,0)))</f>
        <v/>
      </c>
      <c r="G410" t="str">
        <f>IF(E410="NEEDS REVIEW","",INDEX(Merchant_Lookup!$E$2:$E$27,MATCH(E410,Merchant_Lookup!$C$2:$C$27,0)))</f>
        <v/>
      </c>
      <c r="J410" t="str">
        <f t="shared" si="12"/>
        <v>NEEDS REVIEW</v>
      </c>
      <c r="K410" t="str">
        <f t="shared" si="13"/>
        <v/>
      </c>
    </row>
    <row r="411" spans="5:11" x14ac:dyDescent="0.2">
      <c r="E411" t="str" cm="1">
        <f t="array" ref="E411">IFERROR(INDEX(Merchant_Lookup!$C$2:$C$27,MATCH(TRUE,ISNUMBER(SEARCH(Merchant_Lookup!$A$2:$A$26,UPPER(B411))),0)),"NEEDS REVIEW")</f>
        <v>NEEDS REVIEW</v>
      </c>
      <c r="F411" t="str">
        <f>IF(E411="NEEDS REVIEW","",INDEX(Merchant_Lookup!$D$2:$D$27,MATCH(E411,Merchant_Lookup!$C$2:$C$27,0)))</f>
        <v/>
      </c>
      <c r="G411" t="str">
        <f>IF(E411="NEEDS REVIEW","",INDEX(Merchant_Lookup!$E$2:$E$27,MATCH(E411,Merchant_Lookup!$C$2:$C$27,0)))</f>
        <v/>
      </c>
      <c r="J411" t="str">
        <f t="shared" si="12"/>
        <v>NEEDS REVIEW</v>
      </c>
      <c r="K411" t="str">
        <f t="shared" si="13"/>
        <v/>
      </c>
    </row>
    <row r="412" spans="5:11" x14ac:dyDescent="0.2">
      <c r="E412" t="str" cm="1">
        <f t="array" ref="E412">IFERROR(INDEX(Merchant_Lookup!$C$2:$C$27,MATCH(TRUE,ISNUMBER(SEARCH(Merchant_Lookup!$A$2:$A$26,UPPER(B412))),0)),"NEEDS REVIEW")</f>
        <v>NEEDS REVIEW</v>
      </c>
      <c r="F412" t="str">
        <f>IF(E412="NEEDS REVIEW","",INDEX(Merchant_Lookup!$D$2:$D$27,MATCH(E412,Merchant_Lookup!$C$2:$C$27,0)))</f>
        <v/>
      </c>
      <c r="G412" t="str">
        <f>IF(E412="NEEDS REVIEW","",INDEX(Merchant_Lookup!$E$2:$E$27,MATCH(E412,Merchant_Lookup!$C$2:$C$27,0)))</f>
        <v/>
      </c>
      <c r="J412" t="str">
        <f t="shared" si="12"/>
        <v>NEEDS REVIEW</v>
      </c>
      <c r="K412" t="str">
        <f t="shared" si="13"/>
        <v/>
      </c>
    </row>
    <row r="413" spans="5:11" x14ac:dyDescent="0.2">
      <c r="E413" t="str" cm="1">
        <f t="array" ref="E413">IFERROR(INDEX(Merchant_Lookup!$C$2:$C$27,MATCH(TRUE,ISNUMBER(SEARCH(Merchant_Lookup!$A$2:$A$26,UPPER(B413))),0)),"NEEDS REVIEW")</f>
        <v>NEEDS REVIEW</v>
      </c>
      <c r="F413" t="str">
        <f>IF(E413="NEEDS REVIEW","",INDEX(Merchant_Lookup!$D$2:$D$27,MATCH(E413,Merchant_Lookup!$C$2:$C$27,0)))</f>
        <v/>
      </c>
      <c r="G413" t="str">
        <f>IF(E413="NEEDS REVIEW","",INDEX(Merchant_Lookup!$E$2:$E$27,MATCH(E413,Merchant_Lookup!$C$2:$C$27,0)))</f>
        <v/>
      </c>
      <c r="J413" t="str">
        <f t="shared" si="12"/>
        <v>NEEDS REVIEW</v>
      </c>
      <c r="K413" t="str">
        <f t="shared" si="13"/>
        <v/>
      </c>
    </row>
    <row r="414" spans="5:11" x14ac:dyDescent="0.2">
      <c r="E414" t="str" cm="1">
        <f t="array" ref="E414">IFERROR(INDEX(Merchant_Lookup!$C$2:$C$27,MATCH(TRUE,ISNUMBER(SEARCH(Merchant_Lookup!$A$2:$A$26,UPPER(B414))),0)),"NEEDS REVIEW")</f>
        <v>NEEDS REVIEW</v>
      </c>
      <c r="F414" t="str">
        <f>IF(E414="NEEDS REVIEW","",INDEX(Merchant_Lookup!$D$2:$D$27,MATCH(E414,Merchant_Lookup!$C$2:$C$27,0)))</f>
        <v/>
      </c>
      <c r="G414" t="str">
        <f>IF(E414="NEEDS REVIEW","",INDEX(Merchant_Lookup!$E$2:$E$27,MATCH(E414,Merchant_Lookup!$C$2:$C$27,0)))</f>
        <v/>
      </c>
      <c r="J414" t="str">
        <f t="shared" si="12"/>
        <v>NEEDS REVIEW</v>
      </c>
      <c r="K414" t="str">
        <f t="shared" si="13"/>
        <v/>
      </c>
    </row>
    <row r="415" spans="5:11" x14ac:dyDescent="0.2">
      <c r="E415" t="str" cm="1">
        <f t="array" ref="E415">IFERROR(INDEX(Merchant_Lookup!$C$2:$C$27,MATCH(TRUE,ISNUMBER(SEARCH(Merchant_Lookup!$A$2:$A$26,UPPER(B415))),0)),"NEEDS REVIEW")</f>
        <v>NEEDS REVIEW</v>
      </c>
      <c r="F415" t="str">
        <f>IF(E415="NEEDS REVIEW","",INDEX(Merchant_Lookup!$D$2:$D$27,MATCH(E415,Merchant_Lookup!$C$2:$C$27,0)))</f>
        <v/>
      </c>
      <c r="G415" t="str">
        <f>IF(E415="NEEDS REVIEW","",INDEX(Merchant_Lookup!$E$2:$E$27,MATCH(E415,Merchant_Lookup!$C$2:$C$27,0)))</f>
        <v/>
      </c>
      <c r="J415" t="str">
        <f t="shared" si="12"/>
        <v>NEEDS REVIEW</v>
      </c>
      <c r="K415" t="str">
        <f t="shared" si="13"/>
        <v/>
      </c>
    </row>
    <row r="416" spans="5:11" x14ac:dyDescent="0.2">
      <c r="E416" t="str" cm="1">
        <f t="array" ref="E416">IFERROR(INDEX(Merchant_Lookup!$C$2:$C$27,MATCH(TRUE,ISNUMBER(SEARCH(Merchant_Lookup!$A$2:$A$26,UPPER(B416))),0)),"NEEDS REVIEW")</f>
        <v>NEEDS REVIEW</v>
      </c>
      <c r="F416" t="str">
        <f>IF(E416="NEEDS REVIEW","",INDEX(Merchant_Lookup!$D$2:$D$27,MATCH(E416,Merchant_Lookup!$C$2:$C$27,0)))</f>
        <v/>
      </c>
      <c r="G416" t="str">
        <f>IF(E416="NEEDS REVIEW","",INDEX(Merchant_Lookup!$E$2:$E$27,MATCH(E416,Merchant_Lookup!$C$2:$C$27,0)))</f>
        <v/>
      </c>
      <c r="J416" t="str">
        <f t="shared" si="12"/>
        <v>NEEDS REVIEW</v>
      </c>
      <c r="K416" t="str">
        <f t="shared" si="13"/>
        <v/>
      </c>
    </row>
    <row r="417" spans="5:11" x14ac:dyDescent="0.2">
      <c r="E417" t="str" cm="1">
        <f t="array" ref="E417">IFERROR(INDEX(Merchant_Lookup!$C$2:$C$27,MATCH(TRUE,ISNUMBER(SEARCH(Merchant_Lookup!$A$2:$A$26,UPPER(B417))),0)),"NEEDS REVIEW")</f>
        <v>NEEDS REVIEW</v>
      </c>
      <c r="F417" t="str">
        <f>IF(E417="NEEDS REVIEW","",INDEX(Merchant_Lookup!$D$2:$D$27,MATCH(E417,Merchant_Lookup!$C$2:$C$27,0)))</f>
        <v/>
      </c>
      <c r="G417" t="str">
        <f>IF(E417="NEEDS REVIEW","",INDEX(Merchant_Lookup!$E$2:$E$27,MATCH(E417,Merchant_Lookup!$C$2:$C$27,0)))</f>
        <v/>
      </c>
      <c r="J417" t="str">
        <f t="shared" si="12"/>
        <v>NEEDS REVIEW</v>
      </c>
      <c r="K417" t="str">
        <f t="shared" si="13"/>
        <v/>
      </c>
    </row>
    <row r="418" spans="5:11" x14ac:dyDescent="0.2">
      <c r="E418" t="str" cm="1">
        <f t="array" ref="E418">IFERROR(INDEX(Merchant_Lookup!$C$2:$C$27,MATCH(TRUE,ISNUMBER(SEARCH(Merchant_Lookup!$A$2:$A$26,UPPER(B418))),0)),"NEEDS REVIEW")</f>
        <v>NEEDS REVIEW</v>
      </c>
      <c r="F418" t="str">
        <f>IF(E418="NEEDS REVIEW","",INDEX(Merchant_Lookup!$D$2:$D$27,MATCH(E418,Merchant_Lookup!$C$2:$C$27,0)))</f>
        <v/>
      </c>
      <c r="G418" t="str">
        <f>IF(E418="NEEDS REVIEW","",INDEX(Merchant_Lookup!$E$2:$E$27,MATCH(E418,Merchant_Lookup!$C$2:$C$27,0)))</f>
        <v/>
      </c>
      <c r="J418" t="str">
        <f t="shared" si="12"/>
        <v>NEEDS REVIEW</v>
      </c>
      <c r="K418" t="str">
        <f t="shared" si="13"/>
        <v/>
      </c>
    </row>
    <row r="419" spans="5:11" x14ac:dyDescent="0.2">
      <c r="E419" t="str" cm="1">
        <f t="array" ref="E419">IFERROR(INDEX(Merchant_Lookup!$C$2:$C$27,MATCH(TRUE,ISNUMBER(SEARCH(Merchant_Lookup!$A$2:$A$26,UPPER(B419))),0)),"NEEDS REVIEW")</f>
        <v>NEEDS REVIEW</v>
      </c>
      <c r="F419" t="str">
        <f>IF(E419="NEEDS REVIEW","",INDEX(Merchant_Lookup!$D$2:$D$27,MATCH(E419,Merchant_Lookup!$C$2:$C$27,0)))</f>
        <v/>
      </c>
      <c r="G419" t="str">
        <f>IF(E419="NEEDS REVIEW","",INDEX(Merchant_Lookup!$E$2:$E$27,MATCH(E419,Merchant_Lookup!$C$2:$C$27,0)))</f>
        <v/>
      </c>
      <c r="J419" t="str">
        <f t="shared" si="12"/>
        <v>NEEDS REVIEW</v>
      </c>
      <c r="K419" t="str">
        <f t="shared" si="13"/>
        <v/>
      </c>
    </row>
    <row r="420" spans="5:11" x14ac:dyDescent="0.2">
      <c r="E420" t="str" cm="1">
        <f t="array" ref="E420">IFERROR(INDEX(Merchant_Lookup!$C$2:$C$27,MATCH(TRUE,ISNUMBER(SEARCH(Merchant_Lookup!$A$2:$A$26,UPPER(B420))),0)),"NEEDS REVIEW")</f>
        <v>NEEDS REVIEW</v>
      </c>
      <c r="F420" t="str">
        <f>IF(E420="NEEDS REVIEW","",INDEX(Merchant_Lookup!$D$2:$D$27,MATCH(E420,Merchant_Lookup!$C$2:$C$27,0)))</f>
        <v/>
      </c>
      <c r="G420" t="str">
        <f>IF(E420="NEEDS REVIEW","",INDEX(Merchant_Lookup!$E$2:$E$27,MATCH(E420,Merchant_Lookup!$C$2:$C$27,0)))</f>
        <v/>
      </c>
      <c r="J420" t="str">
        <f t="shared" si="12"/>
        <v>NEEDS REVIEW</v>
      </c>
      <c r="K420" t="str">
        <f t="shared" si="13"/>
        <v/>
      </c>
    </row>
    <row r="421" spans="5:11" x14ac:dyDescent="0.2">
      <c r="E421" t="str" cm="1">
        <f t="array" ref="E421">IFERROR(INDEX(Merchant_Lookup!$C$2:$C$27,MATCH(TRUE,ISNUMBER(SEARCH(Merchant_Lookup!$A$2:$A$26,UPPER(B421))),0)),"NEEDS REVIEW")</f>
        <v>NEEDS REVIEW</v>
      </c>
      <c r="F421" t="str">
        <f>IF(E421="NEEDS REVIEW","",INDEX(Merchant_Lookup!$D$2:$D$27,MATCH(E421,Merchant_Lookup!$C$2:$C$27,0)))</f>
        <v/>
      </c>
      <c r="G421" t="str">
        <f>IF(E421="NEEDS REVIEW","",INDEX(Merchant_Lookup!$E$2:$E$27,MATCH(E421,Merchant_Lookup!$C$2:$C$27,0)))</f>
        <v/>
      </c>
      <c r="J421" t="str">
        <f t="shared" si="12"/>
        <v>NEEDS REVIEW</v>
      </c>
      <c r="K421" t="str">
        <f t="shared" si="13"/>
        <v/>
      </c>
    </row>
    <row r="422" spans="5:11" x14ac:dyDescent="0.2">
      <c r="E422" t="str" cm="1">
        <f t="array" ref="E422">IFERROR(INDEX(Merchant_Lookup!$C$2:$C$27,MATCH(TRUE,ISNUMBER(SEARCH(Merchant_Lookup!$A$2:$A$26,UPPER(B422))),0)),"NEEDS REVIEW")</f>
        <v>NEEDS REVIEW</v>
      </c>
      <c r="F422" t="str">
        <f>IF(E422="NEEDS REVIEW","",INDEX(Merchant_Lookup!$D$2:$D$27,MATCH(E422,Merchant_Lookup!$C$2:$C$27,0)))</f>
        <v/>
      </c>
      <c r="G422" t="str">
        <f>IF(E422="NEEDS REVIEW","",INDEX(Merchant_Lookup!$E$2:$E$27,MATCH(E422,Merchant_Lookup!$C$2:$C$27,0)))</f>
        <v/>
      </c>
      <c r="J422" t="str">
        <f t="shared" si="12"/>
        <v>NEEDS REVIEW</v>
      </c>
      <c r="K422" t="str">
        <f t="shared" si="13"/>
        <v/>
      </c>
    </row>
    <row r="423" spans="5:11" x14ac:dyDescent="0.2">
      <c r="E423" t="str" cm="1">
        <f t="array" ref="E423">IFERROR(INDEX(Merchant_Lookup!$C$2:$C$27,MATCH(TRUE,ISNUMBER(SEARCH(Merchant_Lookup!$A$2:$A$26,UPPER(B423))),0)),"NEEDS REVIEW")</f>
        <v>NEEDS REVIEW</v>
      </c>
      <c r="F423" t="str">
        <f>IF(E423="NEEDS REVIEW","",INDEX(Merchant_Lookup!$D$2:$D$27,MATCH(E423,Merchant_Lookup!$C$2:$C$27,0)))</f>
        <v/>
      </c>
      <c r="G423" t="str">
        <f>IF(E423="NEEDS REVIEW","",INDEX(Merchant_Lookup!$E$2:$E$27,MATCH(E423,Merchant_Lookup!$C$2:$C$27,0)))</f>
        <v/>
      </c>
      <c r="J423" t="str">
        <f t="shared" si="12"/>
        <v>NEEDS REVIEW</v>
      </c>
      <c r="K423" t="str">
        <f t="shared" si="13"/>
        <v/>
      </c>
    </row>
    <row r="424" spans="5:11" x14ac:dyDescent="0.2">
      <c r="E424" t="str" cm="1">
        <f t="array" ref="E424">IFERROR(INDEX(Merchant_Lookup!$C$2:$C$27,MATCH(TRUE,ISNUMBER(SEARCH(Merchant_Lookup!$A$2:$A$26,UPPER(B424))),0)),"NEEDS REVIEW")</f>
        <v>NEEDS REVIEW</v>
      </c>
      <c r="F424" t="str">
        <f>IF(E424="NEEDS REVIEW","",INDEX(Merchant_Lookup!$D$2:$D$27,MATCH(E424,Merchant_Lookup!$C$2:$C$27,0)))</f>
        <v/>
      </c>
      <c r="G424" t="str">
        <f>IF(E424="NEEDS REVIEW","",INDEX(Merchant_Lookup!$E$2:$E$27,MATCH(E424,Merchant_Lookup!$C$2:$C$27,0)))</f>
        <v/>
      </c>
      <c r="J424" t="str">
        <f t="shared" si="12"/>
        <v>NEEDS REVIEW</v>
      </c>
      <c r="K424" t="str">
        <f t="shared" si="13"/>
        <v/>
      </c>
    </row>
    <row r="425" spans="5:11" x14ac:dyDescent="0.2">
      <c r="E425" t="str" cm="1">
        <f t="array" ref="E425">IFERROR(INDEX(Merchant_Lookup!$C$2:$C$27,MATCH(TRUE,ISNUMBER(SEARCH(Merchant_Lookup!$A$2:$A$26,UPPER(B425))),0)),"NEEDS REVIEW")</f>
        <v>NEEDS REVIEW</v>
      </c>
      <c r="F425" t="str">
        <f>IF(E425="NEEDS REVIEW","",INDEX(Merchant_Lookup!$D$2:$D$27,MATCH(E425,Merchant_Lookup!$C$2:$C$27,0)))</f>
        <v/>
      </c>
      <c r="G425" t="str">
        <f>IF(E425="NEEDS REVIEW","",INDEX(Merchant_Lookup!$E$2:$E$27,MATCH(E425,Merchant_Lookup!$C$2:$C$27,0)))</f>
        <v/>
      </c>
      <c r="J425" t="str">
        <f t="shared" si="12"/>
        <v>NEEDS REVIEW</v>
      </c>
      <c r="K425" t="str">
        <f t="shared" si="13"/>
        <v/>
      </c>
    </row>
    <row r="426" spans="5:11" x14ac:dyDescent="0.2">
      <c r="E426" t="str" cm="1">
        <f t="array" ref="E426">IFERROR(INDEX(Merchant_Lookup!$C$2:$C$27,MATCH(TRUE,ISNUMBER(SEARCH(Merchant_Lookup!$A$2:$A$26,UPPER(B426))),0)),"NEEDS REVIEW")</f>
        <v>NEEDS REVIEW</v>
      </c>
      <c r="F426" t="str">
        <f>IF(E426="NEEDS REVIEW","",INDEX(Merchant_Lookup!$D$2:$D$27,MATCH(E426,Merchant_Lookup!$C$2:$C$27,0)))</f>
        <v/>
      </c>
      <c r="G426" t="str">
        <f>IF(E426="NEEDS REVIEW","",INDEX(Merchant_Lookup!$E$2:$E$27,MATCH(E426,Merchant_Lookup!$C$2:$C$27,0)))</f>
        <v/>
      </c>
      <c r="J426" t="str">
        <f t="shared" si="12"/>
        <v>NEEDS REVIEW</v>
      </c>
      <c r="K426" t="str">
        <f t="shared" si="13"/>
        <v/>
      </c>
    </row>
    <row r="427" spans="5:11" x14ac:dyDescent="0.2">
      <c r="E427" t="str" cm="1">
        <f t="array" ref="E427">IFERROR(INDEX(Merchant_Lookup!$C$2:$C$27,MATCH(TRUE,ISNUMBER(SEARCH(Merchant_Lookup!$A$2:$A$26,UPPER(B427))),0)),"NEEDS REVIEW")</f>
        <v>NEEDS REVIEW</v>
      </c>
      <c r="F427" t="str">
        <f>IF(E427="NEEDS REVIEW","",INDEX(Merchant_Lookup!$D$2:$D$27,MATCH(E427,Merchant_Lookup!$C$2:$C$27,0)))</f>
        <v/>
      </c>
      <c r="G427" t="str">
        <f>IF(E427="NEEDS REVIEW","",INDEX(Merchant_Lookup!$E$2:$E$27,MATCH(E427,Merchant_Lookup!$C$2:$C$27,0)))</f>
        <v/>
      </c>
      <c r="J427" t="str">
        <f t="shared" si="12"/>
        <v>NEEDS REVIEW</v>
      </c>
      <c r="K427" t="str">
        <f t="shared" si="13"/>
        <v/>
      </c>
    </row>
    <row r="428" spans="5:11" x14ac:dyDescent="0.2">
      <c r="E428" t="str" cm="1">
        <f t="array" ref="E428">IFERROR(INDEX(Merchant_Lookup!$C$2:$C$27,MATCH(TRUE,ISNUMBER(SEARCH(Merchant_Lookup!$A$2:$A$26,UPPER(B428))),0)),"NEEDS REVIEW")</f>
        <v>NEEDS REVIEW</v>
      </c>
      <c r="F428" t="str">
        <f>IF(E428="NEEDS REVIEW","",INDEX(Merchant_Lookup!$D$2:$D$27,MATCH(E428,Merchant_Lookup!$C$2:$C$27,0)))</f>
        <v/>
      </c>
      <c r="G428" t="str">
        <f>IF(E428="NEEDS REVIEW","",INDEX(Merchant_Lookup!$E$2:$E$27,MATCH(E428,Merchant_Lookup!$C$2:$C$27,0)))</f>
        <v/>
      </c>
      <c r="J428" t="str">
        <f t="shared" si="12"/>
        <v>NEEDS REVIEW</v>
      </c>
      <c r="K428" t="str">
        <f t="shared" si="13"/>
        <v/>
      </c>
    </row>
    <row r="429" spans="5:11" x14ac:dyDescent="0.2">
      <c r="E429" t="str" cm="1">
        <f t="array" ref="E429">IFERROR(INDEX(Merchant_Lookup!$C$2:$C$27,MATCH(TRUE,ISNUMBER(SEARCH(Merchant_Lookup!$A$2:$A$26,UPPER(B429))),0)),"NEEDS REVIEW")</f>
        <v>NEEDS REVIEW</v>
      </c>
      <c r="F429" t="str">
        <f>IF(E429="NEEDS REVIEW","",INDEX(Merchant_Lookup!$D$2:$D$27,MATCH(E429,Merchant_Lookup!$C$2:$C$27,0)))</f>
        <v/>
      </c>
      <c r="G429" t="str">
        <f>IF(E429="NEEDS REVIEW","",INDEX(Merchant_Lookup!$E$2:$E$27,MATCH(E429,Merchant_Lookup!$C$2:$C$27,0)))</f>
        <v/>
      </c>
      <c r="J429" t="str">
        <f t="shared" si="12"/>
        <v>NEEDS REVIEW</v>
      </c>
      <c r="K429" t="str">
        <f t="shared" si="13"/>
        <v/>
      </c>
    </row>
    <row r="430" spans="5:11" x14ac:dyDescent="0.2">
      <c r="E430" t="str" cm="1">
        <f t="array" ref="E430">IFERROR(INDEX(Merchant_Lookup!$C$2:$C$27,MATCH(TRUE,ISNUMBER(SEARCH(Merchant_Lookup!$A$2:$A$26,UPPER(B430))),0)),"NEEDS REVIEW")</f>
        <v>NEEDS REVIEW</v>
      </c>
      <c r="F430" t="str">
        <f>IF(E430="NEEDS REVIEW","",INDEX(Merchant_Lookup!$D$2:$D$27,MATCH(E430,Merchant_Lookup!$C$2:$C$27,0)))</f>
        <v/>
      </c>
      <c r="G430" t="str">
        <f>IF(E430="NEEDS REVIEW","",INDEX(Merchant_Lookup!$E$2:$E$27,MATCH(E430,Merchant_Lookup!$C$2:$C$27,0)))</f>
        <v/>
      </c>
      <c r="J430" t="str">
        <f t="shared" si="12"/>
        <v>NEEDS REVIEW</v>
      </c>
      <c r="K430" t="str">
        <f t="shared" si="13"/>
        <v/>
      </c>
    </row>
    <row r="431" spans="5:11" x14ac:dyDescent="0.2">
      <c r="E431" t="str" cm="1">
        <f t="array" ref="E431">IFERROR(INDEX(Merchant_Lookup!$C$2:$C$27,MATCH(TRUE,ISNUMBER(SEARCH(Merchant_Lookup!$A$2:$A$26,UPPER(B431))),0)),"NEEDS REVIEW")</f>
        <v>NEEDS REVIEW</v>
      </c>
      <c r="F431" t="str">
        <f>IF(E431="NEEDS REVIEW","",INDEX(Merchant_Lookup!$D$2:$D$27,MATCH(E431,Merchant_Lookup!$C$2:$C$27,0)))</f>
        <v/>
      </c>
      <c r="G431" t="str">
        <f>IF(E431="NEEDS REVIEW","",INDEX(Merchant_Lookup!$E$2:$E$27,MATCH(E431,Merchant_Lookup!$C$2:$C$27,0)))</f>
        <v/>
      </c>
      <c r="J431" t="str">
        <f t="shared" si="12"/>
        <v>NEEDS REVIEW</v>
      </c>
      <c r="K431" t="str">
        <f t="shared" si="13"/>
        <v/>
      </c>
    </row>
    <row r="432" spans="5:11" x14ac:dyDescent="0.2">
      <c r="E432" t="str" cm="1">
        <f t="array" ref="E432">IFERROR(INDEX(Merchant_Lookup!$C$2:$C$27,MATCH(TRUE,ISNUMBER(SEARCH(Merchant_Lookup!$A$2:$A$26,UPPER(B432))),0)),"NEEDS REVIEW")</f>
        <v>NEEDS REVIEW</v>
      </c>
      <c r="F432" t="str">
        <f>IF(E432="NEEDS REVIEW","",INDEX(Merchant_Lookup!$D$2:$D$27,MATCH(E432,Merchant_Lookup!$C$2:$C$27,0)))</f>
        <v/>
      </c>
      <c r="G432" t="str">
        <f>IF(E432="NEEDS REVIEW","",INDEX(Merchant_Lookup!$E$2:$E$27,MATCH(E432,Merchant_Lookup!$C$2:$C$27,0)))</f>
        <v/>
      </c>
      <c r="J432" t="str">
        <f t="shared" si="12"/>
        <v>NEEDS REVIEW</v>
      </c>
      <c r="K432" t="str">
        <f t="shared" si="13"/>
        <v/>
      </c>
    </row>
    <row r="433" spans="5:11" x14ac:dyDescent="0.2">
      <c r="E433" t="str" cm="1">
        <f t="array" ref="E433">IFERROR(INDEX(Merchant_Lookup!$C$2:$C$27,MATCH(TRUE,ISNUMBER(SEARCH(Merchant_Lookup!$A$2:$A$26,UPPER(B433))),0)),"NEEDS REVIEW")</f>
        <v>NEEDS REVIEW</v>
      </c>
      <c r="F433" t="str">
        <f>IF(E433="NEEDS REVIEW","",INDEX(Merchant_Lookup!$D$2:$D$27,MATCH(E433,Merchant_Lookup!$C$2:$C$27,0)))</f>
        <v/>
      </c>
      <c r="G433" t="str">
        <f>IF(E433="NEEDS REVIEW","",INDEX(Merchant_Lookup!$E$2:$E$27,MATCH(E433,Merchant_Lookup!$C$2:$C$27,0)))</f>
        <v/>
      </c>
      <c r="J433" t="str">
        <f t="shared" si="12"/>
        <v>NEEDS REVIEW</v>
      </c>
      <c r="K433" t="str">
        <f t="shared" si="13"/>
        <v/>
      </c>
    </row>
    <row r="434" spans="5:11" x14ac:dyDescent="0.2">
      <c r="E434" t="str" cm="1">
        <f t="array" ref="E434">IFERROR(INDEX(Merchant_Lookup!$C$2:$C$27,MATCH(TRUE,ISNUMBER(SEARCH(Merchant_Lookup!$A$2:$A$26,UPPER(B434))),0)),"NEEDS REVIEW")</f>
        <v>NEEDS REVIEW</v>
      </c>
      <c r="F434" t="str">
        <f>IF(E434="NEEDS REVIEW","",INDEX(Merchant_Lookup!$D$2:$D$27,MATCH(E434,Merchant_Lookup!$C$2:$C$27,0)))</f>
        <v/>
      </c>
      <c r="G434" t="str">
        <f>IF(E434="NEEDS REVIEW","",INDEX(Merchant_Lookup!$E$2:$E$27,MATCH(E434,Merchant_Lookup!$C$2:$C$27,0)))</f>
        <v/>
      </c>
      <c r="J434" t="str">
        <f t="shared" si="12"/>
        <v>NEEDS REVIEW</v>
      </c>
      <c r="K434" t="str">
        <f t="shared" si="13"/>
        <v/>
      </c>
    </row>
    <row r="435" spans="5:11" x14ac:dyDescent="0.2">
      <c r="E435" t="str" cm="1">
        <f t="array" ref="E435">IFERROR(INDEX(Merchant_Lookup!$C$2:$C$27,MATCH(TRUE,ISNUMBER(SEARCH(Merchant_Lookup!$A$2:$A$26,UPPER(B435))),0)),"NEEDS REVIEW")</f>
        <v>NEEDS REVIEW</v>
      </c>
      <c r="F435" t="str">
        <f>IF(E435="NEEDS REVIEW","",INDEX(Merchant_Lookup!$D$2:$D$27,MATCH(E435,Merchant_Lookup!$C$2:$C$27,0)))</f>
        <v/>
      </c>
      <c r="G435" t="str">
        <f>IF(E435="NEEDS REVIEW","",INDEX(Merchant_Lookup!$E$2:$E$27,MATCH(E435,Merchant_Lookup!$C$2:$C$27,0)))</f>
        <v/>
      </c>
      <c r="J435" t="str">
        <f t="shared" si="12"/>
        <v>NEEDS REVIEW</v>
      </c>
      <c r="K435" t="str">
        <f t="shared" si="13"/>
        <v/>
      </c>
    </row>
    <row r="436" spans="5:11" x14ac:dyDescent="0.2">
      <c r="E436" t="str" cm="1">
        <f t="array" ref="E436">IFERROR(INDEX(Merchant_Lookup!$C$2:$C$27,MATCH(TRUE,ISNUMBER(SEARCH(Merchant_Lookup!$A$2:$A$26,UPPER(B436))),0)),"NEEDS REVIEW")</f>
        <v>NEEDS REVIEW</v>
      </c>
      <c r="F436" t="str">
        <f>IF(E436="NEEDS REVIEW","",INDEX(Merchant_Lookup!$D$2:$D$27,MATCH(E436,Merchant_Lookup!$C$2:$C$27,0)))</f>
        <v/>
      </c>
      <c r="G436" t="str">
        <f>IF(E436="NEEDS REVIEW","",INDEX(Merchant_Lookup!$E$2:$E$27,MATCH(E436,Merchant_Lookup!$C$2:$C$27,0)))</f>
        <v/>
      </c>
      <c r="J436" t="str">
        <f t="shared" si="12"/>
        <v>NEEDS REVIEW</v>
      </c>
      <c r="K436" t="str">
        <f t="shared" si="13"/>
        <v/>
      </c>
    </row>
    <row r="437" spans="5:11" x14ac:dyDescent="0.2">
      <c r="E437" t="str" cm="1">
        <f t="array" ref="E437">IFERROR(INDEX(Merchant_Lookup!$C$2:$C$27,MATCH(TRUE,ISNUMBER(SEARCH(Merchant_Lookup!$A$2:$A$26,UPPER(B437))),0)),"NEEDS REVIEW")</f>
        <v>NEEDS REVIEW</v>
      </c>
      <c r="F437" t="str">
        <f>IF(E437="NEEDS REVIEW","",INDEX(Merchant_Lookup!$D$2:$D$27,MATCH(E437,Merchant_Lookup!$C$2:$C$27,0)))</f>
        <v/>
      </c>
      <c r="G437" t="str">
        <f>IF(E437="NEEDS REVIEW","",INDEX(Merchant_Lookup!$E$2:$E$27,MATCH(E437,Merchant_Lookup!$C$2:$C$27,0)))</f>
        <v/>
      </c>
      <c r="J437" t="str">
        <f t="shared" si="12"/>
        <v>NEEDS REVIEW</v>
      </c>
      <c r="K437" t="str">
        <f t="shared" si="13"/>
        <v/>
      </c>
    </row>
    <row r="438" spans="5:11" x14ac:dyDescent="0.2">
      <c r="E438" t="str" cm="1">
        <f t="array" ref="E438">IFERROR(INDEX(Merchant_Lookup!$C$2:$C$27,MATCH(TRUE,ISNUMBER(SEARCH(Merchant_Lookup!$A$2:$A$26,UPPER(B438))),0)),"NEEDS REVIEW")</f>
        <v>NEEDS REVIEW</v>
      </c>
      <c r="F438" t="str">
        <f>IF(E438="NEEDS REVIEW","",INDEX(Merchant_Lookup!$D$2:$D$27,MATCH(E438,Merchant_Lookup!$C$2:$C$27,0)))</f>
        <v/>
      </c>
      <c r="G438" t="str">
        <f>IF(E438="NEEDS REVIEW","",INDEX(Merchant_Lookup!$E$2:$E$27,MATCH(E438,Merchant_Lookup!$C$2:$C$27,0)))</f>
        <v/>
      </c>
      <c r="J438" t="str">
        <f t="shared" si="12"/>
        <v>NEEDS REVIEW</v>
      </c>
      <c r="K438" t="str">
        <f t="shared" si="13"/>
        <v/>
      </c>
    </row>
    <row r="439" spans="5:11" x14ac:dyDescent="0.2">
      <c r="E439" t="str" cm="1">
        <f t="array" ref="E439">IFERROR(INDEX(Merchant_Lookup!$C$2:$C$27,MATCH(TRUE,ISNUMBER(SEARCH(Merchant_Lookup!$A$2:$A$26,UPPER(B439))),0)),"NEEDS REVIEW")</f>
        <v>NEEDS REVIEW</v>
      </c>
      <c r="F439" t="str">
        <f>IF(E439="NEEDS REVIEW","",INDEX(Merchant_Lookup!$D$2:$D$27,MATCH(E439,Merchant_Lookup!$C$2:$C$27,0)))</f>
        <v/>
      </c>
      <c r="G439" t="str">
        <f>IF(E439="NEEDS REVIEW","",INDEX(Merchant_Lookup!$E$2:$E$27,MATCH(E439,Merchant_Lookup!$C$2:$C$27,0)))</f>
        <v/>
      </c>
      <c r="J439" t="str">
        <f t="shared" si="12"/>
        <v>NEEDS REVIEW</v>
      </c>
      <c r="K439" t="str">
        <f t="shared" si="13"/>
        <v/>
      </c>
    </row>
    <row r="440" spans="5:11" x14ac:dyDescent="0.2">
      <c r="E440" t="str" cm="1">
        <f t="array" ref="E440">IFERROR(INDEX(Merchant_Lookup!$C$2:$C$27,MATCH(TRUE,ISNUMBER(SEARCH(Merchant_Lookup!$A$2:$A$26,UPPER(B440))),0)),"NEEDS REVIEW")</f>
        <v>NEEDS REVIEW</v>
      </c>
      <c r="F440" t="str">
        <f>IF(E440="NEEDS REVIEW","",INDEX(Merchant_Lookup!$D$2:$D$27,MATCH(E440,Merchant_Lookup!$C$2:$C$27,0)))</f>
        <v/>
      </c>
      <c r="G440" t="str">
        <f>IF(E440="NEEDS REVIEW","",INDEX(Merchant_Lookup!$E$2:$E$27,MATCH(E440,Merchant_Lookup!$C$2:$C$27,0)))</f>
        <v/>
      </c>
      <c r="J440" t="str">
        <f t="shared" si="12"/>
        <v>NEEDS REVIEW</v>
      </c>
      <c r="K440" t="str">
        <f t="shared" si="13"/>
        <v/>
      </c>
    </row>
    <row r="441" spans="5:11" x14ac:dyDescent="0.2">
      <c r="E441" t="str" cm="1">
        <f t="array" ref="E441">IFERROR(INDEX(Merchant_Lookup!$C$2:$C$27,MATCH(TRUE,ISNUMBER(SEARCH(Merchant_Lookup!$A$2:$A$26,UPPER(B441))),0)),"NEEDS REVIEW")</f>
        <v>NEEDS REVIEW</v>
      </c>
      <c r="F441" t="str">
        <f>IF(E441="NEEDS REVIEW","",INDEX(Merchant_Lookup!$D$2:$D$27,MATCH(E441,Merchant_Lookup!$C$2:$C$27,0)))</f>
        <v/>
      </c>
      <c r="G441" t="str">
        <f>IF(E441="NEEDS REVIEW","",INDEX(Merchant_Lookup!$E$2:$E$27,MATCH(E441,Merchant_Lookup!$C$2:$C$27,0)))</f>
        <v/>
      </c>
      <c r="J441" t="str">
        <f t="shared" si="12"/>
        <v>NEEDS REVIEW</v>
      </c>
      <c r="K441" t="str">
        <f t="shared" si="13"/>
        <v/>
      </c>
    </row>
    <row r="442" spans="5:11" x14ac:dyDescent="0.2">
      <c r="E442" t="str" cm="1">
        <f t="array" ref="E442">IFERROR(INDEX(Merchant_Lookup!$C$2:$C$27,MATCH(TRUE,ISNUMBER(SEARCH(Merchant_Lookup!$A$2:$A$26,UPPER(B442))),0)),"NEEDS REVIEW")</f>
        <v>NEEDS REVIEW</v>
      </c>
      <c r="F442" t="str">
        <f>IF(E442="NEEDS REVIEW","",INDEX(Merchant_Lookup!$D$2:$D$27,MATCH(E442,Merchant_Lookup!$C$2:$C$27,0)))</f>
        <v/>
      </c>
      <c r="G442" t="str">
        <f>IF(E442="NEEDS REVIEW","",INDEX(Merchant_Lookup!$E$2:$E$27,MATCH(E442,Merchant_Lookup!$C$2:$C$27,0)))</f>
        <v/>
      </c>
      <c r="J442" t="str">
        <f t="shared" si="12"/>
        <v>NEEDS REVIEW</v>
      </c>
      <c r="K442" t="str">
        <f t="shared" si="13"/>
        <v/>
      </c>
    </row>
    <row r="443" spans="5:11" x14ac:dyDescent="0.2">
      <c r="E443" t="str" cm="1">
        <f t="array" ref="E443">IFERROR(INDEX(Merchant_Lookup!$C$2:$C$27,MATCH(TRUE,ISNUMBER(SEARCH(Merchant_Lookup!$A$2:$A$26,UPPER(B443))),0)),"NEEDS REVIEW")</f>
        <v>NEEDS REVIEW</v>
      </c>
      <c r="F443" t="str">
        <f>IF(E443="NEEDS REVIEW","",INDEX(Merchant_Lookup!$D$2:$D$27,MATCH(E443,Merchant_Lookup!$C$2:$C$27,0)))</f>
        <v/>
      </c>
      <c r="G443" t="str">
        <f>IF(E443="NEEDS REVIEW","",INDEX(Merchant_Lookup!$E$2:$E$27,MATCH(E443,Merchant_Lookup!$C$2:$C$27,0)))</f>
        <v/>
      </c>
      <c r="J443" t="str">
        <f t="shared" si="12"/>
        <v>NEEDS REVIEW</v>
      </c>
      <c r="K443" t="str">
        <f t="shared" si="13"/>
        <v/>
      </c>
    </row>
    <row r="444" spans="5:11" x14ac:dyDescent="0.2">
      <c r="E444" t="str" cm="1">
        <f t="array" ref="E444">IFERROR(INDEX(Merchant_Lookup!$C$2:$C$27,MATCH(TRUE,ISNUMBER(SEARCH(Merchant_Lookup!$A$2:$A$26,UPPER(B444))),0)),"NEEDS REVIEW")</f>
        <v>NEEDS REVIEW</v>
      </c>
      <c r="F444" t="str">
        <f>IF(E444="NEEDS REVIEW","",INDEX(Merchant_Lookup!$D$2:$D$27,MATCH(E444,Merchant_Lookup!$C$2:$C$27,0)))</f>
        <v/>
      </c>
      <c r="G444" t="str">
        <f>IF(E444="NEEDS REVIEW","",INDEX(Merchant_Lookup!$E$2:$E$27,MATCH(E444,Merchant_Lookup!$C$2:$C$27,0)))</f>
        <v/>
      </c>
      <c r="J444" t="str">
        <f t="shared" si="12"/>
        <v>NEEDS REVIEW</v>
      </c>
      <c r="K444" t="str">
        <f t="shared" si="13"/>
        <v/>
      </c>
    </row>
    <row r="445" spans="5:11" x14ac:dyDescent="0.2">
      <c r="E445" t="str" cm="1">
        <f t="array" ref="E445">IFERROR(INDEX(Merchant_Lookup!$C$2:$C$27,MATCH(TRUE,ISNUMBER(SEARCH(Merchant_Lookup!$A$2:$A$26,UPPER(B445))),0)),"NEEDS REVIEW")</f>
        <v>NEEDS REVIEW</v>
      </c>
      <c r="F445" t="str">
        <f>IF(E445="NEEDS REVIEW","",INDEX(Merchant_Lookup!$D$2:$D$27,MATCH(E445,Merchant_Lookup!$C$2:$C$27,0)))</f>
        <v/>
      </c>
      <c r="G445" t="str">
        <f>IF(E445="NEEDS REVIEW","",INDEX(Merchant_Lookup!$E$2:$E$27,MATCH(E445,Merchant_Lookup!$C$2:$C$27,0)))</f>
        <v/>
      </c>
      <c r="J445" t="str">
        <f t="shared" si="12"/>
        <v>NEEDS REVIEW</v>
      </c>
      <c r="K445" t="str">
        <f t="shared" si="13"/>
        <v/>
      </c>
    </row>
    <row r="446" spans="5:11" x14ac:dyDescent="0.2">
      <c r="E446" t="str" cm="1">
        <f t="array" ref="E446">IFERROR(INDEX(Merchant_Lookup!$C$2:$C$27,MATCH(TRUE,ISNUMBER(SEARCH(Merchant_Lookup!$A$2:$A$26,UPPER(B446))),0)),"NEEDS REVIEW")</f>
        <v>NEEDS REVIEW</v>
      </c>
      <c r="F446" t="str">
        <f>IF(E446="NEEDS REVIEW","",INDEX(Merchant_Lookup!$D$2:$D$27,MATCH(E446,Merchant_Lookup!$C$2:$C$27,0)))</f>
        <v/>
      </c>
      <c r="G446" t="str">
        <f>IF(E446="NEEDS REVIEW","",INDEX(Merchant_Lookup!$E$2:$E$27,MATCH(E446,Merchant_Lookup!$C$2:$C$27,0)))</f>
        <v/>
      </c>
      <c r="J446" t="str">
        <f t="shared" si="12"/>
        <v>NEEDS REVIEW</v>
      </c>
      <c r="K446" t="str">
        <f t="shared" si="13"/>
        <v/>
      </c>
    </row>
    <row r="447" spans="5:11" x14ac:dyDescent="0.2">
      <c r="E447" t="str" cm="1">
        <f t="array" ref="E447">IFERROR(INDEX(Merchant_Lookup!$C$2:$C$27,MATCH(TRUE,ISNUMBER(SEARCH(Merchant_Lookup!$A$2:$A$26,UPPER(B447))),0)),"NEEDS REVIEW")</f>
        <v>NEEDS REVIEW</v>
      </c>
      <c r="F447" t="str">
        <f>IF(E447="NEEDS REVIEW","",INDEX(Merchant_Lookup!$D$2:$D$27,MATCH(E447,Merchant_Lookup!$C$2:$C$27,0)))</f>
        <v/>
      </c>
      <c r="G447" t="str">
        <f>IF(E447="NEEDS REVIEW","",INDEX(Merchant_Lookup!$E$2:$E$27,MATCH(E447,Merchant_Lookup!$C$2:$C$27,0)))</f>
        <v/>
      </c>
      <c r="J447" t="str">
        <f t="shared" si="12"/>
        <v>NEEDS REVIEW</v>
      </c>
      <c r="K447" t="str">
        <f t="shared" si="13"/>
        <v/>
      </c>
    </row>
    <row r="448" spans="5:11" x14ac:dyDescent="0.2">
      <c r="E448" t="str" cm="1">
        <f t="array" ref="E448">IFERROR(INDEX(Merchant_Lookup!$C$2:$C$27,MATCH(TRUE,ISNUMBER(SEARCH(Merchant_Lookup!$A$2:$A$26,UPPER(B448))),0)),"NEEDS REVIEW")</f>
        <v>NEEDS REVIEW</v>
      </c>
      <c r="F448" t="str">
        <f>IF(E448="NEEDS REVIEW","",INDEX(Merchant_Lookup!$D$2:$D$27,MATCH(E448,Merchant_Lookup!$C$2:$C$27,0)))</f>
        <v/>
      </c>
      <c r="G448" t="str">
        <f>IF(E448="NEEDS REVIEW","",INDEX(Merchant_Lookup!$E$2:$E$27,MATCH(E448,Merchant_Lookup!$C$2:$C$27,0)))</f>
        <v/>
      </c>
      <c r="J448" t="str">
        <f t="shared" si="12"/>
        <v>NEEDS REVIEW</v>
      </c>
      <c r="K448" t="str">
        <f t="shared" si="13"/>
        <v/>
      </c>
    </row>
    <row r="449" spans="5:11" x14ac:dyDescent="0.2">
      <c r="E449" t="str" cm="1">
        <f t="array" ref="E449">IFERROR(INDEX(Merchant_Lookup!$C$2:$C$27,MATCH(TRUE,ISNUMBER(SEARCH(Merchant_Lookup!$A$2:$A$26,UPPER(B449))),0)),"NEEDS REVIEW")</f>
        <v>NEEDS REVIEW</v>
      </c>
      <c r="F449" t="str">
        <f>IF(E449="NEEDS REVIEW","",INDEX(Merchant_Lookup!$D$2:$D$27,MATCH(E449,Merchant_Lookup!$C$2:$C$27,0)))</f>
        <v/>
      </c>
      <c r="G449" t="str">
        <f>IF(E449="NEEDS REVIEW","",INDEX(Merchant_Lookup!$E$2:$E$27,MATCH(E449,Merchant_Lookup!$C$2:$C$27,0)))</f>
        <v/>
      </c>
      <c r="J449" t="str">
        <f t="shared" si="12"/>
        <v>NEEDS REVIEW</v>
      </c>
      <c r="K449" t="str">
        <f t="shared" si="13"/>
        <v/>
      </c>
    </row>
    <row r="450" spans="5:11" x14ac:dyDescent="0.2">
      <c r="E450" t="str" cm="1">
        <f t="array" ref="E450">IFERROR(INDEX(Merchant_Lookup!$C$2:$C$27,MATCH(TRUE,ISNUMBER(SEARCH(Merchant_Lookup!$A$2:$A$26,UPPER(B450))),0)),"NEEDS REVIEW")</f>
        <v>NEEDS REVIEW</v>
      </c>
      <c r="F450" t="str">
        <f>IF(E450="NEEDS REVIEW","",INDEX(Merchant_Lookup!$D$2:$D$27,MATCH(E450,Merchant_Lookup!$C$2:$C$27,0)))</f>
        <v/>
      </c>
      <c r="G450" t="str">
        <f>IF(E450="NEEDS REVIEW","",INDEX(Merchant_Lookup!$E$2:$E$27,MATCH(E450,Merchant_Lookup!$C$2:$C$27,0)))</f>
        <v/>
      </c>
      <c r="J450" t="str">
        <f t="shared" si="12"/>
        <v>NEEDS REVIEW</v>
      </c>
      <c r="K450" t="str">
        <f t="shared" si="13"/>
        <v/>
      </c>
    </row>
    <row r="451" spans="5:11" x14ac:dyDescent="0.2">
      <c r="E451" t="str" cm="1">
        <f t="array" ref="E451">IFERROR(INDEX(Merchant_Lookup!$C$2:$C$27,MATCH(TRUE,ISNUMBER(SEARCH(Merchant_Lookup!$A$2:$A$26,UPPER(B451))),0)),"NEEDS REVIEW")</f>
        <v>NEEDS REVIEW</v>
      </c>
      <c r="F451" t="str">
        <f>IF(E451="NEEDS REVIEW","",INDEX(Merchant_Lookup!$D$2:$D$27,MATCH(E451,Merchant_Lookup!$C$2:$C$27,0)))</f>
        <v/>
      </c>
      <c r="G451" t="str">
        <f>IF(E451="NEEDS REVIEW","",INDEX(Merchant_Lookup!$E$2:$E$27,MATCH(E451,Merchant_Lookup!$C$2:$C$27,0)))</f>
        <v/>
      </c>
      <c r="J451" t="str">
        <f t="shared" ref="J451:J514" si="14">IF(H451&lt;&gt;"",H451,E451)</f>
        <v>NEEDS REVIEW</v>
      </c>
      <c r="K451" t="str">
        <f t="shared" ref="K451:K514" si="15">IF(I451&lt;&gt;"",I451,F451)</f>
        <v/>
      </c>
    </row>
    <row r="452" spans="5:11" x14ac:dyDescent="0.2">
      <c r="E452" t="str" cm="1">
        <f t="array" ref="E452">IFERROR(INDEX(Merchant_Lookup!$C$2:$C$27,MATCH(TRUE,ISNUMBER(SEARCH(Merchant_Lookup!$A$2:$A$26,UPPER(B452))),0)),"NEEDS REVIEW")</f>
        <v>NEEDS REVIEW</v>
      </c>
      <c r="F452" t="str">
        <f>IF(E452="NEEDS REVIEW","",INDEX(Merchant_Lookup!$D$2:$D$27,MATCH(E452,Merchant_Lookup!$C$2:$C$27,0)))</f>
        <v/>
      </c>
      <c r="G452" t="str">
        <f>IF(E452="NEEDS REVIEW","",INDEX(Merchant_Lookup!$E$2:$E$27,MATCH(E452,Merchant_Lookup!$C$2:$C$27,0)))</f>
        <v/>
      </c>
      <c r="J452" t="str">
        <f t="shared" si="14"/>
        <v>NEEDS REVIEW</v>
      </c>
      <c r="K452" t="str">
        <f t="shared" si="15"/>
        <v/>
      </c>
    </row>
    <row r="453" spans="5:11" x14ac:dyDescent="0.2">
      <c r="E453" t="str" cm="1">
        <f t="array" ref="E453">IFERROR(INDEX(Merchant_Lookup!$C$2:$C$27,MATCH(TRUE,ISNUMBER(SEARCH(Merchant_Lookup!$A$2:$A$26,UPPER(B453))),0)),"NEEDS REVIEW")</f>
        <v>NEEDS REVIEW</v>
      </c>
      <c r="F453" t="str">
        <f>IF(E453="NEEDS REVIEW","",INDEX(Merchant_Lookup!$D$2:$D$27,MATCH(E453,Merchant_Lookup!$C$2:$C$27,0)))</f>
        <v/>
      </c>
      <c r="G453" t="str">
        <f>IF(E453="NEEDS REVIEW","",INDEX(Merchant_Lookup!$E$2:$E$27,MATCH(E453,Merchant_Lookup!$C$2:$C$27,0)))</f>
        <v/>
      </c>
      <c r="J453" t="str">
        <f t="shared" si="14"/>
        <v>NEEDS REVIEW</v>
      </c>
      <c r="K453" t="str">
        <f t="shared" si="15"/>
        <v/>
      </c>
    </row>
    <row r="454" spans="5:11" x14ac:dyDescent="0.2">
      <c r="E454" t="str" cm="1">
        <f t="array" ref="E454">IFERROR(INDEX(Merchant_Lookup!$C$2:$C$27,MATCH(TRUE,ISNUMBER(SEARCH(Merchant_Lookup!$A$2:$A$26,UPPER(B454))),0)),"NEEDS REVIEW")</f>
        <v>NEEDS REVIEW</v>
      </c>
      <c r="F454" t="str">
        <f>IF(E454="NEEDS REVIEW","",INDEX(Merchant_Lookup!$D$2:$D$27,MATCH(E454,Merchant_Lookup!$C$2:$C$27,0)))</f>
        <v/>
      </c>
      <c r="G454" t="str">
        <f>IF(E454="NEEDS REVIEW","",INDEX(Merchant_Lookup!$E$2:$E$27,MATCH(E454,Merchant_Lookup!$C$2:$C$27,0)))</f>
        <v/>
      </c>
      <c r="J454" t="str">
        <f t="shared" si="14"/>
        <v>NEEDS REVIEW</v>
      </c>
      <c r="K454" t="str">
        <f t="shared" si="15"/>
        <v/>
      </c>
    </row>
    <row r="455" spans="5:11" x14ac:dyDescent="0.2">
      <c r="E455" t="str" cm="1">
        <f t="array" ref="E455">IFERROR(INDEX(Merchant_Lookup!$C$2:$C$27,MATCH(TRUE,ISNUMBER(SEARCH(Merchant_Lookup!$A$2:$A$26,UPPER(B455))),0)),"NEEDS REVIEW")</f>
        <v>NEEDS REVIEW</v>
      </c>
      <c r="F455" t="str">
        <f>IF(E455="NEEDS REVIEW","",INDEX(Merchant_Lookup!$D$2:$D$27,MATCH(E455,Merchant_Lookup!$C$2:$C$27,0)))</f>
        <v/>
      </c>
      <c r="G455" t="str">
        <f>IF(E455="NEEDS REVIEW","",INDEX(Merchant_Lookup!$E$2:$E$27,MATCH(E455,Merchant_Lookup!$C$2:$C$27,0)))</f>
        <v/>
      </c>
      <c r="J455" t="str">
        <f t="shared" si="14"/>
        <v>NEEDS REVIEW</v>
      </c>
      <c r="K455" t="str">
        <f t="shared" si="15"/>
        <v/>
      </c>
    </row>
    <row r="456" spans="5:11" x14ac:dyDescent="0.2">
      <c r="E456" t="str" cm="1">
        <f t="array" ref="E456">IFERROR(INDEX(Merchant_Lookup!$C$2:$C$27,MATCH(TRUE,ISNUMBER(SEARCH(Merchant_Lookup!$A$2:$A$26,UPPER(B456))),0)),"NEEDS REVIEW")</f>
        <v>NEEDS REVIEW</v>
      </c>
      <c r="F456" t="str">
        <f>IF(E456="NEEDS REVIEW","",INDEX(Merchant_Lookup!$D$2:$D$27,MATCH(E456,Merchant_Lookup!$C$2:$C$27,0)))</f>
        <v/>
      </c>
      <c r="G456" t="str">
        <f>IF(E456="NEEDS REVIEW","",INDEX(Merchant_Lookup!$E$2:$E$27,MATCH(E456,Merchant_Lookup!$C$2:$C$27,0)))</f>
        <v/>
      </c>
      <c r="J456" t="str">
        <f t="shared" si="14"/>
        <v>NEEDS REVIEW</v>
      </c>
      <c r="K456" t="str">
        <f t="shared" si="15"/>
        <v/>
      </c>
    </row>
    <row r="457" spans="5:11" x14ac:dyDescent="0.2">
      <c r="E457" t="str" cm="1">
        <f t="array" ref="E457">IFERROR(INDEX(Merchant_Lookup!$C$2:$C$27,MATCH(TRUE,ISNUMBER(SEARCH(Merchant_Lookup!$A$2:$A$26,UPPER(B457))),0)),"NEEDS REVIEW")</f>
        <v>NEEDS REVIEW</v>
      </c>
      <c r="F457" t="str">
        <f>IF(E457="NEEDS REVIEW","",INDEX(Merchant_Lookup!$D$2:$D$27,MATCH(E457,Merchant_Lookup!$C$2:$C$27,0)))</f>
        <v/>
      </c>
      <c r="G457" t="str">
        <f>IF(E457="NEEDS REVIEW","",INDEX(Merchant_Lookup!$E$2:$E$27,MATCH(E457,Merchant_Lookup!$C$2:$C$27,0)))</f>
        <v/>
      </c>
      <c r="J457" t="str">
        <f t="shared" si="14"/>
        <v>NEEDS REVIEW</v>
      </c>
      <c r="K457" t="str">
        <f t="shared" si="15"/>
        <v/>
      </c>
    </row>
    <row r="458" spans="5:11" x14ac:dyDescent="0.2">
      <c r="E458" t="str" cm="1">
        <f t="array" ref="E458">IFERROR(INDEX(Merchant_Lookup!$C$2:$C$27,MATCH(TRUE,ISNUMBER(SEARCH(Merchant_Lookup!$A$2:$A$26,UPPER(B458))),0)),"NEEDS REVIEW")</f>
        <v>NEEDS REVIEW</v>
      </c>
      <c r="F458" t="str">
        <f>IF(E458="NEEDS REVIEW","",INDEX(Merchant_Lookup!$D$2:$D$27,MATCH(E458,Merchant_Lookup!$C$2:$C$27,0)))</f>
        <v/>
      </c>
      <c r="G458" t="str">
        <f>IF(E458="NEEDS REVIEW","",INDEX(Merchant_Lookup!$E$2:$E$27,MATCH(E458,Merchant_Lookup!$C$2:$C$27,0)))</f>
        <v/>
      </c>
      <c r="J458" t="str">
        <f t="shared" si="14"/>
        <v>NEEDS REVIEW</v>
      </c>
      <c r="K458" t="str">
        <f t="shared" si="15"/>
        <v/>
      </c>
    </row>
    <row r="459" spans="5:11" x14ac:dyDescent="0.2">
      <c r="E459" t="str" cm="1">
        <f t="array" ref="E459">IFERROR(INDEX(Merchant_Lookup!$C$2:$C$27,MATCH(TRUE,ISNUMBER(SEARCH(Merchant_Lookup!$A$2:$A$26,UPPER(B459))),0)),"NEEDS REVIEW")</f>
        <v>NEEDS REVIEW</v>
      </c>
      <c r="F459" t="str">
        <f>IF(E459="NEEDS REVIEW","",INDEX(Merchant_Lookup!$D$2:$D$27,MATCH(E459,Merchant_Lookup!$C$2:$C$27,0)))</f>
        <v/>
      </c>
      <c r="G459" t="str">
        <f>IF(E459="NEEDS REVIEW","",INDEX(Merchant_Lookup!$E$2:$E$27,MATCH(E459,Merchant_Lookup!$C$2:$C$27,0)))</f>
        <v/>
      </c>
      <c r="J459" t="str">
        <f t="shared" si="14"/>
        <v>NEEDS REVIEW</v>
      </c>
      <c r="K459" t="str">
        <f t="shared" si="15"/>
        <v/>
      </c>
    </row>
    <row r="460" spans="5:11" x14ac:dyDescent="0.2">
      <c r="E460" t="str" cm="1">
        <f t="array" ref="E460">IFERROR(INDEX(Merchant_Lookup!$C$2:$C$27,MATCH(TRUE,ISNUMBER(SEARCH(Merchant_Lookup!$A$2:$A$26,UPPER(B460))),0)),"NEEDS REVIEW")</f>
        <v>NEEDS REVIEW</v>
      </c>
      <c r="F460" t="str">
        <f>IF(E460="NEEDS REVIEW","",INDEX(Merchant_Lookup!$D$2:$D$27,MATCH(E460,Merchant_Lookup!$C$2:$C$27,0)))</f>
        <v/>
      </c>
      <c r="G460" t="str">
        <f>IF(E460="NEEDS REVIEW","",INDEX(Merchant_Lookup!$E$2:$E$27,MATCH(E460,Merchant_Lookup!$C$2:$C$27,0)))</f>
        <v/>
      </c>
      <c r="J460" t="str">
        <f t="shared" si="14"/>
        <v>NEEDS REVIEW</v>
      </c>
      <c r="K460" t="str">
        <f t="shared" si="15"/>
        <v/>
      </c>
    </row>
    <row r="461" spans="5:11" x14ac:dyDescent="0.2">
      <c r="E461" t="str" cm="1">
        <f t="array" ref="E461">IFERROR(INDEX(Merchant_Lookup!$C$2:$C$27,MATCH(TRUE,ISNUMBER(SEARCH(Merchant_Lookup!$A$2:$A$26,UPPER(B461))),0)),"NEEDS REVIEW")</f>
        <v>NEEDS REVIEW</v>
      </c>
      <c r="F461" t="str">
        <f>IF(E461="NEEDS REVIEW","",INDEX(Merchant_Lookup!$D$2:$D$27,MATCH(E461,Merchant_Lookup!$C$2:$C$27,0)))</f>
        <v/>
      </c>
      <c r="G461" t="str">
        <f>IF(E461="NEEDS REVIEW","",INDEX(Merchant_Lookup!$E$2:$E$27,MATCH(E461,Merchant_Lookup!$C$2:$C$27,0)))</f>
        <v/>
      </c>
      <c r="J461" t="str">
        <f t="shared" si="14"/>
        <v>NEEDS REVIEW</v>
      </c>
      <c r="K461" t="str">
        <f t="shared" si="15"/>
        <v/>
      </c>
    </row>
    <row r="462" spans="5:11" x14ac:dyDescent="0.2">
      <c r="E462" t="str" cm="1">
        <f t="array" ref="E462">IFERROR(INDEX(Merchant_Lookup!$C$2:$C$27,MATCH(TRUE,ISNUMBER(SEARCH(Merchant_Lookup!$A$2:$A$26,UPPER(B462))),0)),"NEEDS REVIEW")</f>
        <v>NEEDS REVIEW</v>
      </c>
      <c r="F462" t="str">
        <f>IF(E462="NEEDS REVIEW","",INDEX(Merchant_Lookup!$D$2:$D$27,MATCH(E462,Merchant_Lookup!$C$2:$C$27,0)))</f>
        <v/>
      </c>
      <c r="G462" t="str">
        <f>IF(E462="NEEDS REVIEW","",INDEX(Merchant_Lookup!$E$2:$E$27,MATCH(E462,Merchant_Lookup!$C$2:$C$27,0)))</f>
        <v/>
      </c>
      <c r="J462" t="str">
        <f t="shared" si="14"/>
        <v>NEEDS REVIEW</v>
      </c>
      <c r="K462" t="str">
        <f t="shared" si="15"/>
        <v/>
      </c>
    </row>
    <row r="463" spans="5:11" x14ac:dyDescent="0.2">
      <c r="E463" t="str" cm="1">
        <f t="array" ref="E463">IFERROR(INDEX(Merchant_Lookup!$C$2:$C$27,MATCH(TRUE,ISNUMBER(SEARCH(Merchant_Lookup!$A$2:$A$26,UPPER(B463))),0)),"NEEDS REVIEW")</f>
        <v>NEEDS REVIEW</v>
      </c>
      <c r="F463" t="str">
        <f>IF(E463="NEEDS REVIEW","",INDEX(Merchant_Lookup!$D$2:$D$27,MATCH(E463,Merchant_Lookup!$C$2:$C$27,0)))</f>
        <v/>
      </c>
      <c r="G463" t="str">
        <f>IF(E463="NEEDS REVIEW","",INDEX(Merchant_Lookup!$E$2:$E$27,MATCH(E463,Merchant_Lookup!$C$2:$C$27,0)))</f>
        <v/>
      </c>
      <c r="J463" t="str">
        <f t="shared" si="14"/>
        <v>NEEDS REVIEW</v>
      </c>
      <c r="K463" t="str">
        <f t="shared" si="15"/>
        <v/>
      </c>
    </row>
    <row r="464" spans="5:11" x14ac:dyDescent="0.2">
      <c r="E464" t="str" cm="1">
        <f t="array" ref="E464">IFERROR(INDEX(Merchant_Lookup!$C$2:$C$27,MATCH(TRUE,ISNUMBER(SEARCH(Merchant_Lookup!$A$2:$A$26,UPPER(B464))),0)),"NEEDS REVIEW")</f>
        <v>NEEDS REVIEW</v>
      </c>
      <c r="F464" t="str">
        <f>IF(E464="NEEDS REVIEW","",INDEX(Merchant_Lookup!$D$2:$D$27,MATCH(E464,Merchant_Lookup!$C$2:$C$27,0)))</f>
        <v/>
      </c>
      <c r="G464" t="str">
        <f>IF(E464="NEEDS REVIEW","",INDEX(Merchant_Lookup!$E$2:$E$27,MATCH(E464,Merchant_Lookup!$C$2:$C$27,0)))</f>
        <v/>
      </c>
      <c r="J464" t="str">
        <f t="shared" si="14"/>
        <v>NEEDS REVIEW</v>
      </c>
      <c r="K464" t="str">
        <f t="shared" si="15"/>
        <v/>
      </c>
    </row>
    <row r="465" spans="5:11" x14ac:dyDescent="0.2">
      <c r="E465" t="str" cm="1">
        <f t="array" ref="E465">IFERROR(INDEX(Merchant_Lookup!$C$2:$C$27,MATCH(TRUE,ISNUMBER(SEARCH(Merchant_Lookup!$A$2:$A$26,UPPER(B465))),0)),"NEEDS REVIEW")</f>
        <v>NEEDS REVIEW</v>
      </c>
      <c r="F465" t="str">
        <f>IF(E465="NEEDS REVIEW","",INDEX(Merchant_Lookup!$D$2:$D$27,MATCH(E465,Merchant_Lookup!$C$2:$C$27,0)))</f>
        <v/>
      </c>
      <c r="G465" t="str">
        <f>IF(E465="NEEDS REVIEW","",INDEX(Merchant_Lookup!$E$2:$E$27,MATCH(E465,Merchant_Lookup!$C$2:$C$27,0)))</f>
        <v/>
      </c>
      <c r="J465" t="str">
        <f t="shared" si="14"/>
        <v>NEEDS REVIEW</v>
      </c>
      <c r="K465" t="str">
        <f t="shared" si="15"/>
        <v/>
      </c>
    </row>
    <row r="466" spans="5:11" x14ac:dyDescent="0.2">
      <c r="E466" t="str" cm="1">
        <f t="array" ref="E466">IFERROR(INDEX(Merchant_Lookup!$C$2:$C$27,MATCH(TRUE,ISNUMBER(SEARCH(Merchant_Lookup!$A$2:$A$26,UPPER(B466))),0)),"NEEDS REVIEW")</f>
        <v>NEEDS REVIEW</v>
      </c>
      <c r="F466" t="str">
        <f>IF(E466="NEEDS REVIEW","",INDEX(Merchant_Lookup!$D$2:$D$27,MATCH(E466,Merchant_Lookup!$C$2:$C$27,0)))</f>
        <v/>
      </c>
      <c r="G466" t="str">
        <f>IF(E466="NEEDS REVIEW","",INDEX(Merchant_Lookup!$E$2:$E$27,MATCH(E466,Merchant_Lookup!$C$2:$C$27,0)))</f>
        <v/>
      </c>
      <c r="J466" t="str">
        <f t="shared" si="14"/>
        <v>NEEDS REVIEW</v>
      </c>
      <c r="K466" t="str">
        <f t="shared" si="15"/>
        <v/>
      </c>
    </row>
    <row r="467" spans="5:11" x14ac:dyDescent="0.2">
      <c r="E467" t="str" cm="1">
        <f t="array" ref="E467">IFERROR(INDEX(Merchant_Lookup!$C$2:$C$27,MATCH(TRUE,ISNUMBER(SEARCH(Merchant_Lookup!$A$2:$A$26,UPPER(B467))),0)),"NEEDS REVIEW")</f>
        <v>NEEDS REVIEW</v>
      </c>
      <c r="F467" t="str">
        <f>IF(E467="NEEDS REVIEW","",INDEX(Merchant_Lookup!$D$2:$D$27,MATCH(E467,Merchant_Lookup!$C$2:$C$27,0)))</f>
        <v/>
      </c>
      <c r="G467" t="str">
        <f>IF(E467="NEEDS REVIEW","",INDEX(Merchant_Lookup!$E$2:$E$27,MATCH(E467,Merchant_Lookup!$C$2:$C$27,0)))</f>
        <v/>
      </c>
      <c r="J467" t="str">
        <f t="shared" si="14"/>
        <v>NEEDS REVIEW</v>
      </c>
      <c r="K467" t="str">
        <f t="shared" si="15"/>
        <v/>
      </c>
    </row>
    <row r="468" spans="5:11" x14ac:dyDescent="0.2">
      <c r="E468" t="str" cm="1">
        <f t="array" ref="E468">IFERROR(INDEX(Merchant_Lookup!$C$2:$C$27,MATCH(TRUE,ISNUMBER(SEARCH(Merchant_Lookup!$A$2:$A$26,UPPER(B468))),0)),"NEEDS REVIEW")</f>
        <v>NEEDS REVIEW</v>
      </c>
      <c r="F468" t="str">
        <f>IF(E468="NEEDS REVIEW","",INDEX(Merchant_Lookup!$D$2:$D$27,MATCH(E468,Merchant_Lookup!$C$2:$C$27,0)))</f>
        <v/>
      </c>
      <c r="G468" t="str">
        <f>IF(E468="NEEDS REVIEW","",INDEX(Merchant_Lookup!$E$2:$E$27,MATCH(E468,Merchant_Lookup!$C$2:$C$27,0)))</f>
        <v/>
      </c>
      <c r="J468" t="str">
        <f t="shared" si="14"/>
        <v>NEEDS REVIEW</v>
      </c>
      <c r="K468" t="str">
        <f t="shared" si="15"/>
        <v/>
      </c>
    </row>
    <row r="469" spans="5:11" x14ac:dyDescent="0.2">
      <c r="E469" t="str" cm="1">
        <f t="array" ref="E469">IFERROR(INDEX(Merchant_Lookup!$C$2:$C$27,MATCH(TRUE,ISNUMBER(SEARCH(Merchant_Lookup!$A$2:$A$26,UPPER(B469))),0)),"NEEDS REVIEW")</f>
        <v>NEEDS REVIEW</v>
      </c>
      <c r="F469" t="str">
        <f>IF(E469="NEEDS REVIEW","",INDEX(Merchant_Lookup!$D$2:$D$27,MATCH(E469,Merchant_Lookup!$C$2:$C$27,0)))</f>
        <v/>
      </c>
      <c r="G469" t="str">
        <f>IF(E469="NEEDS REVIEW","",INDEX(Merchant_Lookup!$E$2:$E$27,MATCH(E469,Merchant_Lookup!$C$2:$C$27,0)))</f>
        <v/>
      </c>
      <c r="J469" t="str">
        <f t="shared" si="14"/>
        <v>NEEDS REVIEW</v>
      </c>
      <c r="K469" t="str">
        <f t="shared" si="15"/>
        <v/>
      </c>
    </row>
    <row r="470" spans="5:11" x14ac:dyDescent="0.2">
      <c r="E470" t="str" cm="1">
        <f t="array" ref="E470">IFERROR(INDEX(Merchant_Lookup!$C$2:$C$27,MATCH(TRUE,ISNUMBER(SEARCH(Merchant_Lookup!$A$2:$A$26,UPPER(B470))),0)),"NEEDS REVIEW")</f>
        <v>NEEDS REVIEW</v>
      </c>
      <c r="F470" t="str">
        <f>IF(E470="NEEDS REVIEW","",INDEX(Merchant_Lookup!$D$2:$D$27,MATCH(E470,Merchant_Lookup!$C$2:$C$27,0)))</f>
        <v/>
      </c>
      <c r="G470" t="str">
        <f>IF(E470="NEEDS REVIEW","",INDEX(Merchant_Lookup!$E$2:$E$27,MATCH(E470,Merchant_Lookup!$C$2:$C$27,0)))</f>
        <v/>
      </c>
      <c r="J470" t="str">
        <f t="shared" si="14"/>
        <v>NEEDS REVIEW</v>
      </c>
      <c r="K470" t="str">
        <f t="shared" si="15"/>
        <v/>
      </c>
    </row>
    <row r="471" spans="5:11" x14ac:dyDescent="0.2">
      <c r="E471" t="str" cm="1">
        <f t="array" ref="E471">IFERROR(INDEX(Merchant_Lookup!$C$2:$C$27,MATCH(TRUE,ISNUMBER(SEARCH(Merchant_Lookup!$A$2:$A$26,UPPER(B471))),0)),"NEEDS REVIEW")</f>
        <v>NEEDS REVIEW</v>
      </c>
      <c r="F471" t="str">
        <f>IF(E471="NEEDS REVIEW","",INDEX(Merchant_Lookup!$D$2:$D$27,MATCH(E471,Merchant_Lookup!$C$2:$C$27,0)))</f>
        <v/>
      </c>
      <c r="G471" t="str">
        <f>IF(E471="NEEDS REVIEW","",INDEX(Merchant_Lookup!$E$2:$E$27,MATCH(E471,Merchant_Lookup!$C$2:$C$27,0)))</f>
        <v/>
      </c>
      <c r="J471" t="str">
        <f t="shared" si="14"/>
        <v>NEEDS REVIEW</v>
      </c>
      <c r="K471" t="str">
        <f t="shared" si="15"/>
        <v/>
      </c>
    </row>
    <row r="472" spans="5:11" x14ac:dyDescent="0.2">
      <c r="E472" t="str" cm="1">
        <f t="array" ref="E472">IFERROR(INDEX(Merchant_Lookup!$C$2:$C$27,MATCH(TRUE,ISNUMBER(SEARCH(Merchant_Lookup!$A$2:$A$26,UPPER(B472))),0)),"NEEDS REVIEW")</f>
        <v>NEEDS REVIEW</v>
      </c>
      <c r="F472" t="str">
        <f>IF(E472="NEEDS REVIEW","",INDEX(Merchant_Lookup!$D$2:$D$27,MATCH(E472,Merchant_Lookup!$C$2:$C$27,0)))</f>
        <v/>
      </c>
      <c r="G472" t="str">
        <f>IF(E472="NEEDS REVIEW","",INDEX(Merchant_Lookup!$E$2:$E$27,MATCH(E472,Merchant_Lookup!$C$2:$C$27,0)))</f>
        <v/>
      </c>
      <c r="J472" t="str">
        <f t="shared" si="14"/>
        <v>NEEDS REVIEW</v>
      </c>
      <c r="K472" t="str">
        <f t="shared" si="15"/>
        <v/>
      </c>
    </row>
    <row r="473" spans="5:11" x14ac:dyDescent="0.2">
      <c r="E473" t="str" cm="1">
        <f t="array" ref="E473">IFERROR(INDEX(Merchant_Lookup!$C$2:$C$27,MATCH(TRUE,ISNUMBER(SEARCH(Merchant_Lookup!$A$2:$A$26,UPPER(B473))),0)),"NEEDS REVIEW")</f>
        <v>NEEDS REVIEW</v>
      </c>
      <c r="F473" t="str">
        <f>IF(E473="NEEDS REVIEW","",INDEX(Merchant_Lookup!$D$2:$D$27,MATCH(E473,Merchant_Lookup!$C$2:$C$27,0)))</f>
        <v/>
      </c>
      <c r="G473" t="str">
        <f>IF(E473="NEEDS REVIEW","",INDEX(Merchant_Lookup!$E$2:$E$27,MATCH(E473,Merchant_Lookup!$C$2:$C$27,0)))</f>
        <v/>
      </c>
      <c r="J473" t="str">
        <f t="shared" si="14"/>
        <v>NEEDS REVIEW</v>
      </c>
      <c r="K473" t="str">
        <f t="shared" si="15"/>
        <v/>
      </c>
    </row>
    <row r="474" spans="5:11" x14ac:dyDescent="0.2">
      <c r="E474" t="str" cm="1">
        <f t="array" ref="E474">IFERROR(INDEX(Merchant_Lookup!$C$2:$C$27,MATCH(TRUE,ISNUMBER(SEARCH(Merchant_Lookup!$A$2:$A$26,UPPER(B474))),0)),"NEEDS REVIEW")</f>
        <v>NEEDS REVIEW</v>
      </c>
      <c r="F474" t="str">
        <f>IF(E474="NEEDS REVIEW","",INDEX(Merchant_Lookup!$D$2:$D$27,MATCH(E474,Merchant_Lookup!$C$2:$C$27,0)))</f>
        <v/>
      </c>
      <c r="G474" t="str">
        <f>IF(E474="NEEDS REVIEW","",INDEX(Merchant_Lookup!$E$2:$E$27,MATCH(E474,Merchant_Lookup!$C$2:$C$27,0)))</f>
        <v/>
      </c>
      <c r="J474" t="str">
        <f t="shared" si="14"/>
        <v>NEEDS REVIEW</v>
      </c>
      <c r="K474" t="str">
        <f t="shared" si="15"/>
        <v/>
      </c>
    </row>
    <row r="475" spans="5:11" x14ac:dyDescent="0.2">
      <c r="E475" t="str" cm="1">
        <f t="array" ref="E475">IFERROR(INDEX(Merchant_Lookup!$C$2:$C$27,MATCH(TRUE,ISNUMBER(SEARCH(Merchant_Lookup!$A$2:$A$26,UPPER(B475))),0)),"NEEDS REVIEW")</f>
        <v>NEEDS REVIEW</v>
      </c>
      <c r="F475" t="str">
        <f>IF(E475="NEEDS REVIEW","",INDEX(Merchant_Lookup!$D$2:$D$27,MATCH(E475,Merchant_Lookup!$C$2:$C$27,0)))</f>
        <v/>
      </c>
      <c r="G475" t="str">
        <f>IF(E475="NEEDS REVIEW","",INDEX(Merchant_Lookup!$E$2:$E$27,MATCH(E475,Merchant_Lookup!$C$2:$C$27,0)))</f>
        <v/>
      </c>
      <c r="J475" t="str">
        <f t="shared" si="14"/>
        <v>NEEDS REVIEW</v>
      </c>
      <c r="K475" t="str">
        <f t="shared" si="15"/>
        <v/>
      </c>
    </row>
    <row r="476" spans="5:11" x14ac:dyDescent="0.2">
      <c r="E476" t="str" cm="1">
        <f t="array" ref="E476">IFERROR(INDEX(Merchant_Lookup!$C$2:$C$27,MATCH(TRUE,ISNUMBER(SEARCH(Merchant_Lookup!$A$2:$A$26,UPPER(B476))),0)),"NEEDS REVIEW")</f>
        <v>NEEDS REVIEW</v>
      </c>
      <c r="F476" t="str">
        <f>IF(E476="NEEDS REVIEW","",INDEX(Merchant_Lookup!$D$2:$D$27,MATCH(E476,Merchant_Lookup!$C$2:$C$27,0)))</f>
        <v/>
      </c>
      <c r="G476" t="str">
        <f>IF(E476="NEEDS REVIEW","",INDEX(Merchant_Lookup!$E$2:$E$27,MATCH(E476,Merchant_Lookup!$C$2:$C$27,0)))</f>
        <v/>
      </c>
      <c r="J476" t="str">
        <f t="shared" si="14"/>
        <v>NEEDS REVIEW</v>
      </c>
      <c r="K476" t="str">
        <f t="shared" si="15"/>
        <v/>
      </c>
    </row>
    <row r="477" spans="5:11" x14ac:dyDescent="0.2">
      <c r="E477" t="str" cm="1">
        <f t="array" ref="E477">IFERROR(INDEX(Merchant_Lookup!$C$2:$C$27,MATCH(TRUE,ISNUMBER(SEARCH(Merchant_Lookup!$A$2:$A$26,UPPER(B477))),0)),"NEEDS REVIEW")</f>
        <v>NEEDS REVIEW</v>
      </c>
      <c r="F477" t="str">
        <f>IF(E477="NEEDS REVIEW","",INDEX(Merchant_Lookup!$D$2:$D$27,MATCH(E477,Merchant_Lookup!$C$2:$C$27,0)))</f>
        <v/>
      </c>
      <c r="G477" t="str">
        <f>IF(E477="NEEDS REVIEW","",INDEX(Merchant_Lookup!$E$2:$E$27,MATCH(E477,Merchant_Lookup!$C$2:$C$27,0)))</f>
        <v/>
      </c>
      <c r="J477" t="str">
        <f t="shared" si="14"/>
        <v>NEEDS REVIEW</v>
      </c>
      <c r="K477" t="str">
        <f t="shared" si="15"/>
        <v/>
      </c>
    </row>
    <row r="478" spans="5:11" x14ac:dyDescent="0.2">
      <c r="E478" t="str" cm="1">
        <f t="array" ref="E478">IFERROR(INDEX(Merchant_Lookup!$C$2:$C$27,MATCH(TRUE,ISNUMBER(SEARCH(Merchant_Lookup!$A$2:$A$26,UPPER(B478))),0)),"NEEDS REVIEW")</f>
        <v>NEEDS REVIEW</v>
      </c>
      <c r="F478" t="str">
        <f>IF(E478="NEEDS REVIEW","",INDEX(Merchant_Lookup!$D$2:$D$27,MATCH(E478,Merchant_Lookup!$C$2:$C$27,0)))</f>
        <v/>
      </c>
      <c r="G478" t="str">
        <f>IF(E478="NEEDS REVIEW","",INDEX(Merchant_Lookup!$E$2:$E$27,MATCH(E478,Merchant_Lookup!$C$2:$C$27,0)))</f>
        <v/>
      </c>
      <c r="J478" t="str">
        <f t="shared" si="14"/>
        <v>NEEDS REVIEW</v>
      </c>
      <c r="K478" t="str">
        <f t="shared" si="15"/>
        <v/>
      </c>
    </row>
    <row r="479" spans="5:11" x14ac:dyDescent="0.2">
      <c r="E479" t="str" cm="1">
        <f t="array" ref="E479">IFERROR(INDEX(Merchant_Lookup!$C$2:$C$27,MATCH(TRUE,ISNUMBER(SEARCH(Merchant_Lookup!$A$2:$A$26,UPPER(B479))),0)),"NEEDS REVIEW")</f>
        <v>NEEDS REVIEW</v>
      </c>
      <c r="F479" t="str">
        <f>IF(E479="NEEDS REVIEW","",INDEX(Merchant_Lookup!$D$2:$D$27,MATCH(E479,Merchant_Lookup!$C$2:$C$27,0)))</f>
        <v/>
      </c>
      <c r="G479" t="str">
        <f>IF(E479="NEEDS REVIEW","",INDEX(Merchant_Lookup!$E$2:$E$27,MATCH(E479,Merchant_Lookup!$C$2:$C$27,0)))</f>
        <v/>
      </c>
      <c r="J479" t="str">
        <f t="shared" si="14"/>
        <v>NEEDS REVIEW</v>
      </c>
      <c r="K479" t="str">
        <f t="shared" si="15"/>
        <v/>
      </c>
    </row>
    <row r="480" spans="5:11" x14ac:dyDescent="0.2">
      <c r="E480" t="str" cm="1">
        <f t="array" ref="E480">IFERROR(INDEX(Merchant_Lookup!$C$2:$C$27,MATCH(TRUE,ISNUMBER(SEARCH(Merchant_Lookup!$A$2:$A$26,UPPER(B480))),0)),"NEEDS REVIEW")</f>
        <v>NEEDS REVIEW</v>
      </c>
      <c r="F480" t="str">
        <f>IF(E480="NEEDS REVIEW","",INDEX(Merchant_Lookup!$D$2:$D$27,MATCH(E480,Merchant_Lookup!$C$2:$C$27,0)))</f>
        <v/>
      </c>
      <c r="G480" t="str">
        <f>IF(E480="NEEDS REVIEW","",INDEX(Merchant_Lookup!$E$2:$E$27,MATCH(E480,Merchant_Lookup!$C$2:$C$27,0)))</f>
        <v/>
      </c>
      <c r="J480" t="str">
        <f t="shared" si="14"/>
        <v>NEEDS REVIEW</v>
      </c>
      <c r="K480" t="str">
        <f t="shared" si="15"/>
        <v/>
      </c>
    </row>
    <row r="481" spans="5:11" x14ac:dyDescent="0.2">
      <c r="E481" t="str" cm="1">
        <f t="array" ref="E481">IFERROR(INDEX(Merchant_Lookup!$C$2:$C$27,MATCH(TRUE,ISNUMBER(SEARCH(Merchant_Lookup!$A$2:$A$26,UPPER(B481))),0)),"NEEDS REVIEW")</f>
        <v>NEEDS REVIEW</v>
      </c>
      <c r="F481" t="str">
        <f>IF(E481="NEEDS REVIEW","",INDEX(Merchant_Lookup!$D$2:$D$27,MATCH(E481,Merchant_Lookup!$C$2:$C$27,0)))</f>
        <v/>
      </c>
      <c r="G481" t="str">
        <f>IF(E481="NEEDS REVIEW","",INDEX(Merchant_Lookup!$E$2:$E$27,MATCH(E481,Merchant_Lookup!$C$2:$C$27,0)))</f>
        <v/>
      </c>
      <c r="J481" t="str">
        <f t="shared" si="14"/>
        <v>NEEDS REVIEW</v>
      </c>
      <c r="K481" t="str">
        <f t="shared" si="15"/>
        <v/>
      </c>
    </row>
    <row r="482" spans="5:11" x14ac:dyDescent="0.2">
      <c r="E482" t="str" cm="1">
        <f t="array" ref="E482">IFERROR(INDEX(Merchant_Lookup!$C$2:$C$27,MATCH(TRUE,ISNUMBER(SEARCH(Merchant_Lookup!$A$2:$A$26,UPPER(B482))),0)),"NEEDS REVIEW")</f>
        <v>NEEDS REVIEW</v>
      </c>
      <c r="F482" t="str">
        <f>IF(E482="NEEDS REVIEW","",INDEX(Merchant_Lookup!$D$2:$D$27,MATCH(E482,Merchant_Lookup!$C$2:$C$27,0)))</f>
        <v/>
      </c>
      <c r="G482" t="str">
        <f>IF(E482="NEEDS REVIEW","",INDEX(Merchant_Lookup!$E$2:$E$27,MATCH(E482,Merchant_Lookup!$C$2:$C$27,0)))</f>
        <v/>
      </c>
      <c r="J482" t="str">
        <f t="shared" si="14"/>
        <v>NEEDS REVIEW</v>
      </c>
      <c r="K482" t="str">
        <f t="shared" si="15"/>
        <v/>
      </c>
    </row>
    <row r="483" spans="5:11" x14ac:dyDescent="0.2">
      <c r="E483" t="str" cm="1">
        <f t="array" ref="E483">IFERROR(INDEX(Merchant_Lookup!$C$2:$C$27,MATCH(TRUE,ISNUMBER(SEARCH(Merchant_Lookup!$A$2:$A$26,UPPER(B483))),0)),"NEEDS REVIEW")</f>
        <v>NEEDS REVIEW</v>
      </c>
      <c r="F483" t="str">
        <f>IF(E483="NEEDS REVIEW","",INDEX(Merchant_Lookup!$D$2:$D$27,MATCH(E483,Merchant_Lookup!$C$2:$C$27,0)))</f>
        <v/>
      </c>
      <c r="G483" t="str">
        <f>IF(E483="NEEDS REVIEW","",INDEX(Merchant_Lookup!$E$2:$E$27,MATCH(E483,Merchant_Lookup!$C$2:$C$27,0)))</f>
        <v/>
      </c>
      <c r="J483" t="str">
        <f t="shared" si="14"/>
        <v>NEEDS REVIEW</v>
      </c>
      <c r="K483" t="str">
        <f t="shared" si="15"/>
        <v/>
      </c>
    </row>
    <row r="484" spans="5:11" x14ac:dyDescent="0.2">
      <c r="E484" t="str" cm="1">
        <f t="array" ref="E484">IFERROR(INDEX(Merchant_Lookup!$C$2:$C$27,MATCH(TRUE,ISNUMBER(SEARCH(Merchant_Lookup!$A$2:$A$26,UPPER(B484))),0)),"NEEDS REVIEW")</f>
        <v>NEEDS REVIEW</v>
      </c>
      <c r="F484" t="str">
        <f>IF(E484="NEEDS REVIEW","",INDEX(Merchant_Lookup!$D$2:$D$27,MATCH(E484,Merchant_Lookup!$C$2:$C$27,0)))</f>
        <v/>
      </c>
      <c r="G484" t="str">
        <f>IF(E484="NEEDS REVIEW","",INDEX(Merchant_Lookup!$E$2:$E$27,MATCH(E484,Merchant_Lookup!$C$2:$C$27,0)))</f>
        <v/>
      </c>
      <c r="J484" t="str">
        <f t="shared" si="14"/>
        <v>NEEDS REVIEW</v>
      </c>
      <c r="K484" t="str">
        <f t="shared" si="15"/>
        <v/>
      </c>
    </row>
    <row r="485" spans="5:11" x14ac:dyDescent="0.2">
      <c r="E485" t="str" cm="1">
        <f t="array" ref="E485">IFERROR(INDEX(Merchant_Lookup!$C$2:$C$27,MATCH(TRUE,ISNUMBER(SEARCH(Merchant_Lookup!$A$2:$A$26,UPPER(B485))),0)),"NEEDS REVIEW")</f>
        <v>NEEDS REVIEW</v>
      </c>
      <c r="F485" t="str">
        <f>IF(E485="NEEDS REVIEW","",INDEX(Merchant_Lookup!$D$2:$D$27,MATCH(E485,Merchant_Lookup!$C$2:$C$27,0)))</f>
        <v/>
      </c>
      <c r="G485" t="str">
        <f>IF(E485="NEEDS REVIEW","",INDEX(Merchant_Lookup!$E$2:$E$27,MATCH(E485,Merchant_Lookup!$C$2:$C$27,0)))</f>
        <v/>
      </c>
      <c r="J485" t="str">
        <f t="shared" si="14"/>
        <v>NEEDS REVIEW</v>
      </c>
      <c r="K485" t="str">
        <f t="shared" si="15"/>
        <v/>
      </c>
    </row>
    <row r="486" spans="5:11" x14ac:dyDescent="0.2">
      <c r="E486" t="str" cm="1">
        <f t="array" ref="E486">IFERROR(INDEX(Merchant_Lookup!$C$2:$C$27,MATCH(TRUE,ISNUMBER(SEARCH(Merchant_Lookup!$A$2:$A$26,UPPER(B486))),0)),"NEEDS REVIEW")</f>
        <v>NEEDS REVIEW</v>
      </c>
      <c r="F486" t="str">
        <f>IF(E486="NEEDS REVIEW","",INDEX(Merchant_Lookup!$D$2:$D$27,MATCH(E486,Merchant_Lookup!$C$2:$C$27,0)))</f>
        <v/>
      </c>
      <c r="G486" t="str">
        <f>IF(E486="NEEDS REVIEW","",INDEX(Merchant_Lookup!$E$2:$E$27,MATCH(E486,Merchant_Lookup!$C$2:$C$27,0)))</f>
        <v/>
      </c>
      <c r="J486" t="str">
        <f t="shared" si="14"/>
        <v>NEEDS REVIEW</v>
      </c>
      <c r="K486" t="str">
        <f t="shared" si="15"/>
        <v/>
      </c>
    </row>
    <row r="487" spans="5:11" x14ac:dyDescent="0.2">
      <c r="E487" t="str" cm="1">
        <f t="array" ref="E487">IFERROR(INDEX(Merchant_Lookup!$C$2:$C$27,MATCH(TRUE,ISNUMBER(SEARCH(Merchant_Lookup!$A$2:$A$26,UPPER(B487))),0)),"NEEDS REVIEW")</f>
        <v>NEEDS REVIEW</v>
      </c>
      <c r="F487" t="str">
        <f>IF(E487="NEEDS REVIEW","",INDEX(Merchant_Lookup!$D$2:$D$27,MATCH(E487,Merchant_Lookup!$C$2:$C$27,0)))</f>
        <v/>
      </c>
      <c r="G487" t="str">
        <f>IF(E487="NEEDS REVIEW","",INDEX(Merchant_Lookup!$E$2:$E$27,MATCH(E487,Merchant_Lookup!$C$2:$C$27,0)))</f>
        <v/>
      </c>
      <c r="J487" t="str">
        <f t="shared" si="14"/>
        <v>NEEDS REVIEW</v>
      </c>
      <c r="K487" t="str">
        <f t="shared" si="15"/>
        <v/>
      </c>
    </row>
    <row r="488" spans="5:11" x14ac:dyDescent="0.2">
      <c r="E488" t="str" cm="1">
        <f t="array" ref="E488">IFERROR(INDEX(Merchant_Lookup!$C$2:$C$27,MATCH(TRUE,ISNUMBER(SEARCH(Merchant_Lookup!$A$2:$A$26,UPPER(B488))),0)),"NEEDS REVIEW")</f>
        <v>NEEDS REVIEW</v>
      </c>
      <c r="F488" t="str">
        <f>IF(E488="NEEDS REVIEW","",INDEX(Merchant_Lookup!$D$2:$D$27,MATCH(E488,Merchant_Lookup!$C$2:$C$27,0)))</f>
        <v/>
      </c>
      <c r="G488" t="str">
        <f>IF(E488="NEEDS REVIEW","",INDEX(Merchant_Lookup!$E$2:$E$27,MATCH(E488,Merchant_Lookup!$C$2:$C$27,0)))</f>
        <v/>
      </c>
      <c r="J488" t="str">
        <f t="shared" si="14"/>
        <v>NEEDS REVIEW</v>
      </c>
      <c r="K488" t="str">
        <f t="shared" si="15"/>
        <v/>
      </c>
    </row>
    <row r="489" spans="5:11" x14ac:dyDescent="0.2">
      <c r="E489" t="str" cm="1">
        <f t="array" ref="E489">IFERROR(INDEX(Merchant_Lookup!$C$2:$C$27,MATCH(TRUE,ISNUMBER(SEARCH(Merchant_Lookup!$A$2:$A$26,UPPER(B489))),0)),"NEEDS REVIEW")</f>
        <v>NEEDS REVIEW</v>
      </c>
      <c r="F489" t="str">
        <f>IF(E489="NEEDS REVIEW","",INDEX(Merchant_Lookup!$D$2:$D$27,MATCH(E489,Merchant_Lookup!$C$2:$C$27,0)))</f>
        <v/>
      </c>
      <c r="G489" t="str">
        <f>IF(E489="NEEDS REVIEW","",INDEX(Merchant_Lookup!$E$2:$E$27,MATCH(E489,Merchant_Lookup!$C$2:$C$27,0)))</f>
        <v/>
      </c>
      <c r="J489" t="str">
        <f t="shared" si="14"/>
        <v>NEEDS REVIEW</v>
      </c>
      <c r="K489" t="str">
        <f t="shared" si="15"/>
        <v/>
      </c>
    </row>
    <row r="490" spans="5:11" x14ac:dyDescent="0.2">
      <c r="E490" t="str" cm="1">
        <f t="array" ref="E490">IFERROR(INDEX(Merchant_Lookup!$C$2:$C$27,MATCH(TRUE,ISNUMBER(SEARCH(Merchant_Lookup!$A$2:$A$26,UPPER(B490))),0)),"NEEDS REVIEW")</f>
        <v>NEEDS REVIEW</v>
      </c>
      <c r="F490" t="str">
        <f>IF(E490="NEEDS REVIEW","",INDEX(Merchant_Lookup!$D$2:$D$27,MATCH(E490,Merchant_Lookup!$C$2:$C$27,0)))</f>
        <v/>
      </c>
      <c r="G490" t="str">
        <f>IF(E490="NEEDS REVIEW","",INDEX(Merchant_Lookup!$E$2:$E$27,MATCH(E490,Merchant_Lookup!$C$2:$C$27,0)))</f>
        <v/>
      </c>
      <c r="J490" t="str">
        <f t="shared" si="14"/>
        <v>NEEDS REVIEW</v>
      </c>
      <c r="K490" t="str">
        <f t="shared" si="15"/>
        <v/>
      </c>
    </row>
    <row r="491" spans="5:11" x14ac:dyDescent="0.2">
      <c r="E491" t="str" cm="1">
        <f t="array" ref="E491">IFERROR(INDEX(Merchant_Lookup!$C$2:$C$27,MATCH(TRUE,ISNUMBER(SEARCH(Merchant_Lookup!$A$2:$A$26,UPPER(B491))),0)),"NEEDS REVIEW")</f>
        <v>NEEDS REVIEW</v>
      </c>
      <c r="F491" t="str">
        <f>IF(E491="NEEDS REVIEW","",INDEX(Merchant_Lookup!$D$2:$D$27,MATCH(E491,Merchant_Lookup!$C$2:$C$27,0)))</f>
        <v/>
      </c>
      <c r="G491" t="str">
        <f>IF(E491="NEEDS REVIEW","",INDEX(Merchant_Lookup!$E$2:$E$27,MATCH(E491,Merchant_Lookup!$C$2:$C$27,0)))</f>
        <v/>
      </c>
      <c r="J491" t="str">
        <f t="shared" si="14"/>
        <v>NEEDS REVIEW</v>
      </c>
      <c r="K491" t="str">
        <f t="shared" si="15"/>
        <v/>
      </c>
    </row>
    <row r="492" spans="5:11" x14ac:dyDescent="0.2">
      <c r="E492" t="str" cm="1">
        <f t="array" ref="E492">IFERROR(INDEX(Merchant_Lookup!$C$2:$C$27,MATCH(TRUE,ISNUMBER(SEARCH(Merchant_Lookup!$A$2:$A$26,UPPER(B492))),0)),"NEEDS REVIEW")</f>
        <v>NEEDS REVIEW</v>
      </c>
      <c r="F492" t="str">
        <f>IF(E492="NEEDS REVIEW","",INDEX(Merchant_Lookup!$D$2:$D$27,MATCH(E492,Merchant_Lookup!$C$2:$C$27,0)))</f>
        <v/>
      </c>
      <c r="G492" t="str">
        <f>IF(E492="NEEDS REVIEW","",INDEX(Merchant_Lookup!$E$2:$E$27,MATCH(E492,Merchant_Lookup!$C$2:$C$27,0)))</f>
        <v/>
      </c>
      <c r="J492" t="str">
        <f t="shared" si="14"/>
        <v>NEEDS REVIEW</v>
      </c>
      <c r="K492" t="str">
        <f t="shared" si="15"/>
        <v/>
      </c>
    </row>
    <row r="493" spans="5:11" x14ac:dyDescent="0.2">
      <c r="E493" t="str" cm="1">
        <f t="array" ref="E493">IFERROR(INDEX(Merchant_Lookup!$C$2:$C$27,MATCH(TRUE,ISNUMBER(SEARCH(Merchant_Lookup!$A$2:$A$26,UPPER(B493))),0)),"NEEDS REVIEW")</f>
        <v>NEEDS REVIEW</v>
      </c>
      <c r="F493" t="str">
        <f>IF(E493="NEEDS REVIEW","",INDEX(Merchant_Lookup!$D$2:$D$27,MATCH(E493,Merchant_Lookup!$C$2:$C$27,0)))</f>
        <v/>
      </c>
      <c r="G493" t="str">
        <f>IF(E493="NEEDS REVIEW","",INDEX(Merchant_Lookup!$E$2:$E$27,MATCH(E493,Merchant_Lookup!$C$2:$C$27,0)))</f>
        <v/>
      </c>
      <c r="J493" t="str">
        <f t="shared" si="14"/>
        <v>NEEDS REVIEW</v>
      </c>
      <c r="K493" t="str">
        <f t="shared" si="15"/>
        <v/>
      </c>
    </row>
    <row r="494" spans="5:11" x14ac:dyDescent="0.2">
      <c r="E494" t="str" cm="1">
        <f t="array" ref="E494">IFERROR(INDEX(Merchant_Lookup!$C$2:$C$27,MATCH(TRUE,ISNUMBER(SEARCH(Merchant_Lookup!$A$2:$A$26,UPPER(B494))),0)),"NEEDS REVIEW")</f>
        <v>NEEDS REVIEW</v>
      </c>
      <c r="F494" t="str">
        <f>IF(E494="NEEDS REVIEW","",INDEX(Merchant_Lookup!$D$2:$D$27,MATCH(E494,Merchant_Lookup!$C$2:$C$27,0)))</f>
        <v/>
      </c>
      <c r="G494" t="str">
        <f>IF(E494="NEEDS REVIEW","",INDEX(Merchant_Lookup!$E$2:$E$27,MATCH(E494,Merchant_Lookup!$C$2:$C$27,0)))</f>
        <v/>
      </c>
      <c r="J494" t="str">
        <f t="shared" si="14"/>
        <v>NEEDS REVIEW</v>
      </c>
      <c r="K494" t="str">
        <f t="shared" si="15"/>
        <v/>
      </c>
    </row>
    <row r="495" spans="5:11" x14ac:dyDescent="0.2">
      <c r="E495" t="str" cm="1">
        <f t="array" ref="E495">IFERROR(INDEX(Merchant_Lookup!$C$2:$C$27,MATCH(TRUE,ISNUMBER(SEARCH(Merchant_Lookup!$A$2:$A$26,UPPER(B495))),0)),"NEEDS REVIEW")</f>
        <v>NEEDS REVIEW</v>
      </c>
      <c r="F495" t="str">
        <f>IF(E495="NEEDS REVIEW","",INDEX(Merchant_Lookup!$D$2:$D$27,MATCH(E495,Merchant_Lookup!$C$2:$C$27,0)))</f>
        <v/>
      </c>
      <c r="G495" t="str">
        <f>IF(E495="NEEDS REVIEW","",INDEX(Merchant_Lookup!$E$2:$E$27,MATCH(E495,Merchant_Lookup!$C$2:$C$27,0)))</f>
        <v/>
      </c>
      <c r="J495" t="str">
        <f t="shared" si="14"/>
        <v>NEEDS REVIEW</v>
      </c>
      <c r="K495" t="str">
        <f t="shared" si="15"/>
        <v/>
      </c>
    </row>
    <row r="496" spans="5:11" x14ac:dyDescent="0.2">
      <c r="E496" t="str" cm="1">
        <f t="array" ref="E496">IFERROR(INDEX(Merchant_Lookup!$C$2:$C$27,MATCH(TRUE,ISNUMBER(SEARCH(Merchant_Lookup!$A$2:$A$26,UPPER(B496))),0)),"NEEDS REVIEW")</f>
        <v>NEEDS REVIEW</v>
      </c>
      <c r="F496" t="str">
        <f>IF(E496="NEEDS REVIEW","",INDEX(Merchant_Lookup!$D$2:$D$27,MATCH(E496,Merchant_Lookup!$C$2:$C$27,0)))</f>
        <v/>
      </c>
      <c r="G496" t="str">
        <f>IF(E496="NEEDS REVIEW","",INDEX(Merchant_Lookup!$E$2:$E$27,MATCH(E496,Merchant_Lookup!$C$2:$C$27,0)))</f>
        <v/>
      </c>
      <c r="J496" t="str">
        <f t="shared" si="14"/>
        <v>NEEDS REVIEW</v>
      </c>
      <c r="K496" t="str">
        <f t="shared" si="15"/>
        <v/>
      </c>
    </row>
    <row r="497" spans="5:11" x14ac:dyDescent="0.2">
      <c r="E497" t="str" cm="1">
        <f t="array" ref="E497">IFERROR(INDEX(Merchant_Lookup!$C$2:$C$27,MATCH(TRUE,ISNUMBER(SEARCH(Merchant_Lookup!$A$2:$A$26,UPPER(B497))),0)),"NEEDS REVIEW")</f>
        <v>NEEDS REVIEW</v>
      </c>
      <c r="F497" t="str">
        <f>IF(E497="NEEDS REVIEW","",INDEX(Merchant_Lookup!$D$2:$D$27,MATCH(E497,Merchant_Lookup!$C$2:$C$27,0)))</f>
        <v/>
      </c>
      <c r="G497" t="str">
        <f>IF(E497="NEEDS REVIEW","",INDEX(Merchant_Lookup!$E$2:$E$27,MATCH(E497,Merchant_Lookup!$C$2:$C$27,0)))</f>
        <v/>
      </c>
      <c r="J497" t="str">
        <f t="shared" si="14"/>
        <v>NEEDS REVIEW</v>
      </c>
      <c r="K497" t="str">
        <f t="shared" si="15"/>
        <v/>
      </c>
    </row>
    <row r="498" spans="5:11" x14ac:dyDescent="0.2">
      <c r="E498" t="str" cm="1">
        <f t="array" ref="E498">IFERROR(INDEX(Merchant_Lookup!$C$2:$C$27,MATCH(TRUE,ISNUMBER(SEARCH(Merchant_Lookup!$A$2:$A$26,UPPER(B498))),0)),"NEEDS REVIEW")</f>
        <v>NEEDS REVIEW</v>
      </c>
      <c r="F498" t="str">
        <f>IF(E498="NEEDS REVIEW","",INDEX(Merchant_Lookup!$D$2:$D$27,MATCH(E498,Merchant_Lookup!$C$2:$C$27,0)))</f>
        <v/>
      </c>
      <c r="G498" t="str">
        <f>IF(E498="NEEDS REVIEW","",INDEX(Merchant_Lookup!$E$2:$E$27,MATCH(E498,Merchant_Lookup!$C$2:$C$27,0)))</f>
        <v/>
      </c>
      <c r="J498" t="str">
        <f t="shared" si="14"/>
        <v>NEEDS REVIEW</v>
      </c>
      <c r="K498" t="str">
        <f t="shared" si="15"/>
        <v/>
      </c>
    </row>
    <row r="499" spans="5:11" x14ac:dyDescent="0.2">
      <c r="E499" t="str" cm="1">
        <f t="array" ref="E499">IFERROR(INDEX(Merchant_Lookup!$C$2:$C$27,MATCH(TRUE,ISNUMBER(SEARCH(Merchant_Lookup!$A$2:$A$26,UPPER(B499))),0)),"NEEDS REVIEW")</f>
        <v>NEEDS REVIEW</v>
      </c>
      <c r="F499" t="str">
        <f>IF(E499="NEEDS REVIEW","",INDEX(Merchant_Lookup!$D$2:$D$27,MATCH(E499,Merchant_Lookup!$C$2:$C$27,0)))</f>
        <v/>
      </c>
      <c r="G499" t="str">
        <f>IF(E499="NEEDS REVIEW","",INDEX(Merchant_Lookup!$E$2:$E$27,MATCH(E499,Merchant_Lookup!$C$2:$C$27,0)))</f>
        <v/>
      </c>
      <c r="J499" t="str">
        <f t="shared" si="14"/>
        <v>NEEDS REVIEW</v>
      </c>
      <c r="K499" t="str">
        <f t="shared" si="15"/>
        <v/>
      </c>
    </row>
    <row r="500" spans="5:11" x14ac:dyDescent="0.2">
      <c r="E500" t="str" cm="1">
        <f t="array" ref="E500">IFERROR(INDEX(Merchant_Lookup!$C$2:$C$27,MATCH(TRUE,ISNUMBER(SEARCH(Merchant_Lookup!$A$2:$A$26,UPPER(B500))),0)),"NEEDS REVIEW")</f>
        <v>NEEDS REVIEW</v>
      </c>
      <c r="F500" t="str">
        <f>IF(E500="NEEDS REVIEW","",INDEX(Merchant_Lookup!$D$2:$D$27,MATCH(E500,Merchant_Lookup!$C$2:$C$27,0)))</f>
        <v/>
      </c>
      <c r="G500" t="str">
        <f>IF(E500="NEEDS REVIEW","",INDEX(Merchant_Lookup!$E$2:$E$27,MATCH(E500,Merchant_Lookup!$C$2:$C$27,0)))</f>
        <v/>
      </c>
      <c r="J500" t="str">
        <f t="shared" si="14"/>
        <v>NEEDS REVIEW</v>
      </c>
      <c r="K500" t="str">
        <f t="shared" si="15"/>
        <v/>
      </c>
    </row>
    <row r="501" spans="5:11" x14ac:dyDescent="0.2">
      <c r="E501" t="str" cm="1">
        <f t="array" ref="E501">IFERROR(INDEX(Merchant_Lookup!$C$2:$C$27,MATCH(TRUE,ISNUMBER(SEARCH(Merchant_Lookup!$A$2:$A$26,UPPER(B501))),0)),"NEEDS REVIEW")</f>
        <v>NEEDS REVIEW</v>
      </c>
      <c r="F501" t="str">
        <f>IF(E501="NEEDS REVIEW","",INDEX(Merchant_Lookup!$D$2:$D$27,MATCH(E501,Merchant_Lookup!$C$2:$C$27,0)))</f>
        <v/>
      </c>
      <c r="G501" t="str">
        <f>IF(E501="NEEDS REVIEW","",INDEX(Merchant_Lookup!$E$2:$E$27,MATCH(E501,Merchant_Lookup!$C$2:$C$27,0)))</f>
        <v/>
      </c>
      <c r="J501" t="str">
        <f t="shared" si="14"/>
        <v>NEEDS REVIEW</v>
      </c>
      <c r="K501" t="str">
        <f t="shared" si="15"/>
        <v/>
      </c>
    </row>
    <row r="502" spans="5:11" x14ac:dyDescent="0.2">
      <c r="E502" t="str" cm="1">
        <f t="array" ref="E502">IFERROR(INDEX(Merchant_Lookup!$C$2:$C$27,MATCH(TRUE,ISNUMBER(SEARCH(Merchant_Lookup!$A$2:$A$26,UPPER(B502))),0)),"NEEDS REVIEW")</f>
        <v>NEEDS REVIEW</v>
      </c>
      <c r="F502" t="str">
        <f>IF(E502="NEEDS REVIEW","",INDEX(Merchant_Lookup!$D$2:$D$27,MATCH(E502,Merchant_Lookup!$C$2:$C$27,0)))</f>
        <v/>
      </c>
      <c r="G502" t="str">
        <f>IF(E502="NEEDS REVIEW","",INDEX(Merchant_Lookup!$E$2:$E$27,MATCH(E502,Merchant_Lookup!$C$2:$C$27,0)))</f>
        <v/>
      </c>
      <c r="J502" t="str">
        <f t="shared" si="14"/>
        <v>NEEDS REVIEW</v>
      </c>
      <c r="K502" t="str">
        <f t="shared" si="15"/>
        <v/>
      </c>
    </row>
    <row r="503" spans="5:11" x14ac:dyDescent="0.2">
      <c r="E503" t="str" cm="1">
        <f t="array" ref="E503">IFERROR(INDEX(Merchant_Lookup!$C$2:$C$27,MATCH(TRUE,ISNUMBER(SEARCH(Merchant_Lookup!$A$2:$A$26,UPPER(B503))),0)),"NEEDS REVIEW")</f>
        <v>NEEDS REVIEW</v>
      </c>
      <c r="F503" t="str">
        <f>IF(E503="NEEDS REVIEW","",INDEX(Merchant_Lookup!$D$2:$D$27,MATCH(E503,Merchant_Lookup!$C$2:$C$27,0)))</f>
        <v/>
      </c>
      <c r="G503" t="str">
        <f>IF(E503="NEEDS REVIEW","",INDEX(Merchant_Lookup!$E$2:$E$27,MATCH(E503,Merchant_Lookup!$C$2:$C$27,0)))</f>
        <v/>
      </c>
      <c r="J503" t="str">
        <f t="shared" si="14"/>
        <v>NEEDS REVIEW</v>
      </c>
      <c r="K503" t="str">
        <f t="shared" si="15"/>
        <v/>
      </c>
    </row>
    <row r="504" spans="5:11" x14ac:dyDescent="0.2">
      <c r="E504" t="str" cm="1">
        <f t="array" ref="E504">IFERROR(INDEX(Merchant_Lookup!$C$2:$C$27,MATCH(TRUE,ISNUMBER(SEARCH(Merchant_Lookup!$A$2:$A$26,UPPER(B504))),0)),"NEEDS REVIEW")</f>
        <v>NEEDS REVIEW</v>
      </c>
      <c r="F504" t="str">
        <f>IF(E504="NEEDS REVIEW","",INDEX(Merchant_Lookup!$D$2:$D$27,MATCH(E504,Merchant_Lookup!$C$2:$C$27,0)))</f>
        <v/>
      </c>
      <c r="G504" t="str">
        <f>IF(E504="NEEDS REVIEW","",INDEX(Merchant_Lookup!$E$2:$E$27,MATCH(E504,Merchant_Lookup!$C$2:$C$27,0)))</f>
        <v/>
      </c>
      <c r="J504" t="str">
        <f t="shared" si="14"/>
        <v>NEEDS REVIEW</v>
      </c>
      <c r="K504" t="str">
        <f t="shared" si="15"/>
        <v/>
      </c>
    </row>
    <row r="505" spans="5:11" x14ac:dyDescent="0.2">
      <c r="E505" t="str" cm="1">
        <f t="array" ref="E505">IFERROR(INDEX(Merchant_Lookup!$C$2:$C$27,MATCH(TRUE,ISNUMBER(SEARCH(Merchant_Lookup!$A$2:$A$26,UPPER(B505))),0)),"NEEDS REVIEW")</f>
        <v>NEEDS REVIEW</v>
      </c>
      <c r="F505" t="str">
        <f>IF(E505="NEEDS REVIEW","",INDEX(Merchant_Lookup!$D$2:$D$27,MATCH(E505,Merchant_Lookup!$C$2:$C$27,0)))</f>
        <v/>
      </c>
      <c r="G505" t="str">
        <f>IF(E505="NEEDS REVIEW","",INDEX(Merchant_Lookup!$E$2:$E$27,MATCH(E505,Merchant_Lookup!$C$2:$C$27,0)))</f>
        <v/>
      </c>
      <c r="J505" t="str">
        <f t="shared" si="14"/>
        <v>NEEDS REVIEW</v>
      </c>
      <c r="K505" t="str">
        <f t="shared" si="15"/>
        <v/>
      </c>
    </row>
    <row r="506" spans="5:11" x14ac:dyDescent="0.2">
      <c r="E506" t="str" cm="1">
        <f t="array" ref="E506">IFERROR(INDEX(Merchant_Lookup!$C$2:$C$27,MATCH(TRUE,ISNUMBER(SEARCH(Merchant_Lookup!$A$2:$A$26,UPPER(B506))),0)),"NEEDS REVIEW")</f>
        <v>NEEDS REVIEW</v>
      </c>
      <c r="F506" t="str">
        <f>IF(E506="NEEDS REVIEW","",INDEX(Merchant_Lookup!$D$2:$D$27,MATCH(E506,Merchant_Lookup!$C$2:$C$27,0)))</f>
        <v/>
      </c>
      <c r="G506" t="str">
        <f>IF(E506="NEEDS REVIEW","",INDEX(Merchant_Lookup!$E$2:$E$27,MATCH(E506,Merchant_Lookup!$C$2:$C$27,0)))</f>
        <v/>
      </c>
      <c r="J506" t="str">
        <f t="shared" si="14"/>
        <v>NEEDS REVIEW</v>
      </c>
      <c r="K506" t="str">
        <f t="shared" si="15"/>
        <v/>
      </c>
    </row>
    <row r="507" spans="5:11" x14ac:dyDescent="0.2">
      <c r="E507" t="str" cm="1">
        <f t="array" ref="E507">IFERROR(INDEX(Merchant_Lookup!$C$2:$C$27,MATCH(TRUE,ISNUMBER(SEARCH(Merchant_Lookup!$A$2:$A$26,UPPER(B507))),0)),"NEEDS REVIEW")</f>
        <v>NEEDS REVIEW</v>
      </c>
      <c r="F507" t="str">
        <f>IF(E507="NEEDS REVIEW","",INDEX(Merchant_Lookup!$D$2:$D$27,MATCH(E507,Merchant_Lookup!$C$2:$C$27,0)))</f>
        <v/>
      </c>
      <c r="G507" t="str">
        <f>IF(E507="NEEDS REVIEW","",INDEX(Merchant_Lookup!$E$2:$E$27,MATCH(E507,Merchant_Lookup!$C$2:$C$27,0)))</f>
        <v/>
      </c>
      <c r="J507" t="str">
        <f t="shared" si="14"/>
        <v>NEEDS REVIEW</v>
      </c>
      <c r="K507" t="str">
        <f t="shared" si="15"/>
        <v/>
      </c>
    </row>
    <row r="508" spans="5:11" x14ac:dyDescent="0.2">
      <c r="E508" t="str" cm="1">
        <f t="array" ref="E508">IFERROR(INDEX(Merchant_Lookup!$C$2:$C$27,MATCH(TRUE,ISNUMBER(SEARCH(Merchant_Lookup!$A$2:$A$26,UPPER(B508))),0)),"NEEDS REVIEW")</f>
        <v>NEEDS REVIEW</v>
      </c>
      <c r="F508" t="str">
        <f>IF(E508="NEEDS REVIEW","",INDEX(Merchant_Lookup!$D$2:$D$27,MATCH(E508,Merchant_Lookup!$C$2:$C$27,0)))</f>
        <v/>
      </c>
      <c r="G508" t="str">
        <f>IF(E508="NEEDS REVIEW","",INDEX(Merchant_Lookup!$E$2:$E$27,MATCH(E508,Merchant_Lookup!$C$2:$C$27,0)))</f>
        <v/>
      </c>
      <c r="J508" t="str">
        <f t="shared" si="14"/>
        <v>NEEDS REVIEW</v>
      </c>
      <c r="K508" t="str">
        <f t="shared" si="15"/>
        <v/>
      </c>
    </row>
    <row r="509" spans="5:11" x14ac:dyDescent="0.2">
      <c r="E509" t="str" cm="1">
        <f t="array" ref="E509">IFERROR(INDEX(Merchant_Lookup!$C$2:$C$27,MATCH(TRUE,ISNUMBER(SEARCH(Merchant_Lookup!$A$2:$A$26,UPPER(B509))),0)),"NEEDS REVIEW")</f>
        <v>NEEDS REVIEW</v>
      </c>
      <c r="F509" t="str">
        <f>IF(E509="NEEDS REVIEW","",INDEX(Merchant_Lookup!$D$2:$D$27,MATCH(E509,Merchant_Lookup!$C$2:$C$27,0)))</f>
        <v/>
      </c>
      <c r="G509" t="str">
        <f>IF(E509="NEEDS REVIEW","",INDEX(Merchant_Lookup!$E$2:$E$27,MATCH(E509,Merchant_Lookup!$C$2:$C$27,0)))</f>
        <v/>
      </c>
      <c r="J509" t="str">
        <f t="shared" si="14"/>
        <v>NEEDS REVIEW</v>
      </c>
      <c r="K509" t="str">
        <f t="shared" si="15"/>
        <v/>
      </c>
    </row>
    <row r="510" spans="5:11" x14ac:dyDescent="0.2">
      <c r="E510" t="str" cm="1">
        <f t="array" ref="E510">IFERROR(INDEX(Merchant_Lookup!$C$2:$C$27,MATCH(TRUE,ISNUMBER(SEARCH(Merchant_Lookup!$A$2:$A$26,UPPER(B510))),0)),"NEEDS REVIEW")</f>
        <v>NEEDS REVIEW</v>
      </c>
      <c r="F510" t="str">
        <f>IF(E510="NEEDS REVIEW","",INDEX(Merchant_Lookup!$D$2:$D$27,MATCH(E510,Merchant_Lookup!$C$2:$C$27,0)))</f>
        <v/>
      </c>
      <c r="G510" t="str">
        <f>IF(E510="NEEDS REVIEW","",INDEX(Merchant_Lookup!$E$2:$E$27,MATCH(E510,Merchant_Lookup!$C$2:$C$27,0)))</f>
        <v/>
      </c>
      <c r="J510" t="str">
        <f t="shared" si="14"/>
        <v>NEEDS REVIEW</v>
      </c>
      <c r="K510" t="str">
        <f t="shared" si="15"/>
        <v/>
      </c>
    </row>
    <row r="511" spans="5:11" x14ac:dyDescent="0.2">
      <c r="E511" t="str" cm="1">
        <f t="array" ref="E511">IFERROR(INDEX(Merchant_Lookup!$C$2:$C$27,MATCH(TRUE,ISNUMBER(SEARCH(Merchant_Lookup!$A$2:$A$26,UPPER(B511))),0)),"NEEDS REVIEW")</f>
        <v>NEEDS REVIEW</v>
      </c>
      <c r="F511" t="str">
        <f>IF(E511="NEEDS REVIEW","",INDEX(Merchant_Lookup!$D$2:$D$27,MATCH(E511,Merchant_Lookup!$C$2:$C$27,0)))</f>
        <v/>
      </c>
      <c r="G511" t="str">
        <f>IF(E511="NEEDS REVIEW","",INDEX(Merchant_Lookup!$E$2:$E$27,MATCH(E511,Merchant_Lookup!$C$2:$C$27,0)))</f>
        <v/>
      </c>
      <c r="J511" t="str">
        <f t="shared" si="14"/>
        <v>NEEDS REVIEW</v>
      </c>
      <c r="K511" t="str">
        <f t="shared" si="15"/>
        <v/>
      </c>
    </row>
    <row r="512" spans="5:11" x14ac:dyDescent="0.2">
      <c r="E512" t="str" cm="1">
        <f t="array" ref="E512">IFERROR(INDEX(Merchant_Lookup!$C$2:$C$27,MATCH(TRUE,ISNUMBER(SEARCH(Merchant_Lookup!$A$2:$A$26,UPPER(B512))),0)),"NEEDS REVIEW")</f>
        <v>NEEDS REVIEW</v>
      </c>
      <c r="F512" t="str">
        <f>IF(E512="NEEDS REVIEW","",INDEX(Merchant_Lookup!$D$2:$D$27,MATCH(E512,Merchant_Lookup!$C$2:$C$27,0)))</f>
        <v/>
      </c>
      <c r="G512" t="str">
        <f>IF(E512="NEEDS REVIEW","",INDEX(Merchant_Lookup!$E$2:$E$27,MATCH(E512,Merchant_Lookup!$C$2:$C$27,0)))</f>
        <v/>
      </c>
      <c r="J512" t="str">
        <f t="shared" si="14"/>
        <v>NEEDS REVIEW</v>
      </c>
      <c r="K512" t="str">
        <f t="shared" si="15"/>
        <v/>
      </c>
    </row>
    <row r="513" spans="5:11" x14ac:dyDescent="0.2">
      <c r="E513" t="str" cm="1">
        <f t="array" ref="E513">IFERROR(INDEX(Merchant_Lookup!$C$2:$C$27,MATCH(TRUE,ISNUMBER(SEARCH(Merchant_Lookup!$A$2:$A$26,UPPER(B513))),0)),"NEEDS REVIEW")</f>
        <v>NEEDS REVIEW</v>
      </c>
      <c r="F513" t="str">
        <f>IF(E513="NEEDS REVIEW","",INDEX(Merchant_Lookup!$D$2:$D$27,MATCH(E513,Merchant_Lookup!$C$2:$C$27,0)))</f>
        <v/>
      </c>
      <c r="G513" t="str">
        <f>IF(E513="NEEDS REVIEW","",INDEX(Merchant_Lookup!$E$2:$E$27,MATCH(E513,Merchant_Lookup!$C$2:$C$27,0)))</f>
        <v/>
      </c>
      <c r="J513" t="str">
        <f t="shared" si="14"/>
        <v>NEEDS REVIEW</v>
      </c>
      <c r="K513" t="str">
        <f t="shared" si="15"/>
        <v/>
      </c>
    </row>
    <row r="514" spans="5:11" x14ac:dyDescent="0.2">
      <c r="E514" t="str" cm="1">
        <f t="array" ref="E514">IFERROR(INDEX(Merchant_Lookup!$C$2:$C$27,MATCH(TRUE,ISNUMBER(SEARCH(Merchant_Lookup!$A$2:$A$26,UPPER(B514))),0)),"NEEDS REVIEW")</f>
        <v>NEEDS REVIEW</v>
      </c>
      <c r="F514" t="str">
        <f>IF(E514="NEEDS REVIEW","",INDEX(Merchant_Lookup!$D$2:$D$27,MATCH(E514,Merchant_Lookup!$C$2:$C$27,0)))</f>
        <v/>
      </c>
      <c r="G514" t="str">
        <f>IF(E514="NEEDS REVIEW","",INDEX(Merchant_Lookup!$E$2:$E$27,MATCH(E514,Merchant_Lookup!$C$2:$C$27,0)))</f>
        <v/>
      </c>
      <c r="J514" t="str">
        <f t="shared" si="14"/>
        <v>NEEDS REVIEW</v>
      </c>
      <c r="K514" t="str">
        <f t="shared" si="15"/>
        <v/>
      </c>
    </row>
    <row r="515" spans="5:11" x14ac:dyDescent="0.2">
      <c r="E515" t="str" cm="1">
        <f t="array" ref="E515">IFERROR(INDEX(Merchant_Lookup!$C$2:$C$27,MATCH(TRUE,ISNUMBER(SEARCH(Merchant_Lookup!$A$2:$A$26,UPPER(B515))),0)),"NEEDS REVIEW")</f>
        <v>NEEDS REVIEW</v>
      </c>
      <c r="F515" t="str">
        <f>IF(E515="NEEDS REVIEW","",INDEX(Merchant_Lookup!$D$2:$D$27,MATCH(E515,Merchant_Lookup!$C$2:$C$27,0)))</f>
        <v/>
      </c>
      <c r="G515" t="str">
        <f>IF(E515="NEEDS REVIEW","",INDEX(Merchant_Lookup!$E$2:$E$27,MATCH(E515,Merchant_Lookup!$C$2:$C$27,0)))</f>
        <v/>
      </c>
      <c r="J515" t="str">
        <f t="shared" ref="J515:J578" si="16">IF(H515&lt;&gt;"",H515,E515)</f>
        <v>NEEDS REVIEW</v>
      </c>
      <c r="K515" t="str">
        <f t="shared" ref="K515:K578" si="17">IF(I515&lt;&gt;"",I515,F515)</f>
        <v/>
      </c>
    </row>
    <row r="516" spans="5:11" x14ac:dyDescent="0.2">
      <c r="E516" t="str" cm="1">
        <f t="array" ref="E516">IFERROR(INDEX(Merchant_Lookup!$C$2:$C$27,MATCH(TRUE,ISNUMBER(SEARCH(Merchant_Lookup!$A$2:$A$26,UPPER(B516))),0)),"NEEDS REVIEW")</f>
        <v>NEEDS REVIEW</v>
      </c>
      <c r="F516" t="str">
        <f>IF(E516="NEEDS REVIEW","",INDEX(Merchant_Lookup!$D$2:$D$27,MATCH(E516,Merchant_Lookup!$C$2:$C$27,0)))</f>
        <v/>
      </c>
      <c r="G516" t="str">
        <f>IF(E516="NEEDS REVIEW","",INDEX(Merchant_Lookup!$E$2:$E$27,MATCH(E516,Merchant_Lookup!$C$2:$C$27,0)))</f>
        <v/>
      </c>
      <c r="J516" t="str">
        <f t="shared" si="16"/>
        <v>NEEDS REVIEW</v>
      </c>
      <c r="K516" t="str">
        <f t="shared" si="17"/>
        <v/>
      </c>
    </row>
    <row r="517" spans="5:11" x14ac:dyDescent="0.2">
      <c r="E517" t="str" cm="1">
        <f t="array" ref="E517">IFERROR(INDEX(Merchant_Lookup!$C$2:$C$27,MATCH(TRUE,ISNUMBER(SEARCH(Merchant_Lookup!$A$2:$A$26,UPPER(B517))),0)),"NEEDS REVIEW")</f>
        <v>NEEDS REVIEW</v>
      </c>
      <c r="F517" t="str">
        <f>IF(E517="NEEDS REVIEW","",INDEX(Merchant_Lookup!$D$2:$D$27,MATCH(E517,Merchant_Lookup!$C$2:$C$27,0)))</f>
        <v/>
      </c>
      <c r="G517" t="str">
        <f>IF(E517="NEEDS REVIEW","",INDEX(Merchant_Lookup!$E$2:$E$27,MATCH(E517,Merchant_Lookup!$C$2:$C$27,0)))</f>
        <v/>
      </c>
      <c r="J517" t="str">
        <f t="shared" si="16"/>
        <v>NEEDS REVIEW</v>
      </c>
      <c r="K517" t="str">
        <f t="shared" si="17"/>
        <v/>
      </c>
    </row>
    <row r="518" spans="5:11" x14ac:dyDescent="0.2">
      <c r="E518" t="str" cm="1">
        <f t="array" ref="E518">IFERROR(INDEX(Merchant_Lookup!$C$2:$C$27,MATCH(TRUE,ISNUMBER(SEARCH(Merchant_Lookup!$A$2:$A$26,UPPER(B518))),0)),"NEEDS REVIEW")</f>
        <v>NEEDS REVIEW</v>
      </c>
      <c r="F518" t="str">
        <f>IF(E518="NEEDS REVIEW","",INDEX(Merchant_Lookup!$D$2:$D$27,MATCH(E518,Merchant_Lookup!$C$2:$C$27,0)))</f>
        <v/>
      </c>
      <c r="G518" t="str">
        <f>IF(E518="NEEDS REVIEW","",INDEX(Merchant_Lookup!$E$2:$E$27,MATCH(E518,Merchant_Lookup!$C$2:$C$27,0)))</f>
        <v/>
      </c>
      <c r="J518" t="str">
        <f t="shared" si="16"/>
        <v>NEEDS REVIEW</v>
      </c>
      <c r="K518" t="str">
        <f t="shared" si="17"/>
        <v/>
      </c>
    </row>
    <row r="519" spans="5:11" x14ac:dyDescent="0.2">
      <c r="E519" t="str" cm="1">
        <f t="array" ref="E519">IFERROR(INDEX(Merchant_Lookup!$C$2:$C$27,MATCH(TRUE,ISNUMBER(SEARCH(Merchant_Lookup!$A$2:$A$26,UPPER(B519))),0)),"NEEDS REVIEW")</f>
        <v>NEEDS REVIEW</v>
      </c>
      <c r="F519" t="str">
        <f>IF(E519="NEEDS REVIEW","",INDEX(Merchant_Lookup!$D$2:$D$27,MATCH(E519,Merchant_Lookup!$C$2:$C$27,0)))</f>
        <v/>
      </c>
      <c r="G519" t="str">
        <f>IF(E519="NEEDS REVIEW","",INDEX(Merchant_Lookup!$E$2:$E$27,MATCH(E519,Merchant_Lookup!$C$2:$C$27,0)))</f>
        <v/>
      </c>
      <c r="J519" t="str">
        <f t="shared" si="16"/>
        <v>NEEDS REVIEW</v>
      </c>
      <c r="K519" t="str">
        <f t="shared" si="17"/>
        <v/>
      </c>
    </row>
    <row r="520" spans="5:11" x14ac:dyDescent="0.2">
      <c r="E520" t="str" cm="1">
        <f t="array" ref="E520">IFERROR(INDEX(Merchant_Lookup!$C$2:$C$27,MATCH(TRUE,ISNUMBER(SEARCH(Merchant_Lookup!$A$2:$A$26,UPPER(B520))),0)),"NEEDS REVIEW")</f>
        <v>NEEDS REVIEW</v>
      </c>
      <c r="F520" t="str">
        <f>IF(E520="NEEDS REVIEW","",INDEX(Merchant_Lookup!$D$2:$D$27,MATCH(E520,Merchant_Lookup!$C$2:$C$27,0)))</f>
        <v/>
      </c>
      <c r="G520" t="str">
        <f>IF(E520="NEEDS REVIEW","",INDEX(Merchant_Lookup!$E$2:$E$27,MATCH(E520,Merchant_Lookup!$C$2:$C$27,0)))</f>
        <v/>
      </c>
      <c r="J520" t="str">
        <f t="shared" si="16"/>
        <v>NEEDS REVIEW</v>
      </c>
      <c r="K520" t="str">
        <f t="shared" si="17"/>
        <v/>
      </c>
    </row>
    <row r="521" spans="5:11" x14ac:dyDescent="0.2">
      <c r="E521" t="str" cm="1">
        <f t="array" ref="E521">IFERROR(INDEX(Merchant_Lookup!$C$2:$C$27,MATCH(TRUE,ISNUMBER(SEARCH(Merchant_Lookup!$A$2:$A$26,UPPER(B521))),0)),"NEEDS REVIEW")</f>
        <v>NEEDS REVIEW</v>
      </c>
      <c r="F521" t="str">
        <f>IF(E521="NEEDS REVIEW","",INDEX(Merchant_Lookup!$D$2:$D$27,MATCH(E521,Merchant_Lookup!$C$2:$C$27,0)))</f>
        <v/>
      </c>
      <c r="G521" t="str">
        <f>IF(E521="NEEDS REVIEW","",INDEX(Merchant_Lookup!$E$2:$E$27,MATCH(E521,Merchant_Lookup!$C$2:$C$27,0)))</f>
        <v/>
      </c>
      <c r="J521" t="str">
        <f t="shared" si="16"/>
        <v>NEEDS REVIEW</v>
      </c>
      <c r="K521" t="str">
        <f t="shared" si="17"/>
        <v/>
      </c>
    </row>
    <row r="522" spans="5:11" x14ac:dyDescent="0.2">
      <c r="E522" t="str" cm="1">
        <f t="array" ref="E522">IFERROR(INDEX(Merchant_Lookup!$C$2:$C$27,MATCH(TRUE,ISNUMBER(SEARCH(Merchant_Lookup!$A$2:$A$26,UPPER(B522))),0)),"NEEDS REVIEW")</f>
        <v>NEEDS REVIEW</v>
      </c>
      <c r="F522" t="str">
        <f>IF(E522="NEEDS REVIEW","",INDEX(Merchant_Lookup!$D$2:$D$27,MATCH(E522,Merchant_Lookup!$C$2:$C$27,0)))</f>
        <v/>
      </c>
      <c r="G522" t="str">
        <f>IF(E522="NEEDS REVIEW","",INDEX(Merchant_Lookup!$E$2:$E$27,MATCH(E522,Merchant_Lookup!$C$2:$C$27,0)))</f>
        <v/>
      </c>
      <c r="J522" t="str">
        <f t="shared" si="16"/>
        <v>NEEDS REVIEW</v>
      </c>
      <c r="K522" t="str">
        <f t="shared" si="17"/>
        <v/>
      </c>
    </row>
    <row r="523" spans="5:11" x14ac:dyDescent="0.2">
      <c r="E523" t="str" cm="1">
        <f t="array" ref="E523">IFERROR(INDEX(Merchant_Lookup!$C$2:$C$27,MATCH(TRUE,ISNUMBER(SEARCH(Merchant_Lookup!$A$2:$A$26,UPPER(B523))),0)),"NEEDS REVIEW")</f>
        <v>NEEDS REVIEW</v>
      </c>
      <c r="F523" t="str">
        <f>IF(E523="NEEDS REVIEW","",INDEX(Merchant_Lookup!$D$2:$D$27,MATCH(E523,Merchant_Lookup!$C$2:$C$27,0)))</f>
        <v/>
      </c>
      <c r="G523" t="str">
        <f>IF(E523="NEEDS REVIEW","",INDEX(Merchant_Lookup!$E$2:$E$27,MATCH(E523,Merchant_Lookup!$C$2:$C$27,0)))</f>
        <v/>
      </c>
      <c r="J523" t="str">
        <f t="shared" si="16"/>
        <v>NEEDS REVIEW</v>
      </c>
      <c r="K523" t="str">
        <f t="shared" si="17"/>
        <v/>
      </c>
    </row>
    <row r="524" spans="5:11" x14ac:dyDescent="0.2">
      <c r="E524" t="str" cm="1">
        <f t="array" ref="E524">IFERROR(INDEX(Merchant_Lookup!$C$2:$C$27,MATCH(TRUE,ISNUMBER(SEARCH(Merchant_Lookup!$A$2:$A$26,UPPER(B524))),0)),"NEEDS REVIEW")</f>
        <v>NEEDS REVIEW</v>
      </c>
      <c r="F524" t="str">
        <f>IF(E524="NEEDS REVIEW","",INDEX(Merchant_Lookup!$D$2:$D$27,MATCH(E524,Merchant_Lookup!$C$2:$C$27,0)))</f>
        <v/>
      </c>
      <c r="G524" t="str">
        <f>IF(E524="NEEDS REVIEW","",INDEX(Merchant_Lookup!$E$2:$E$27,MATCH(E524,Merchant_Lookup!$C$2:$C$27,0)))</f>
        <v/>
      </c>
      <c r="J524" t="str">
        <f t="shared" si="16"/>
        <v>NEEDS REVIEW</v>
      </c>
      <c r="K524" t="str">
        <f t="shared" si="17"/>
        <v/>
      </c>
    </row>
    <row r="525" spans="5:11" x14ac:dyDescent="0.2">
      <c r="E525" t="str" cm="1">
        <f t="array" ref="E525">IFERROR(INDEX(Merchant_Lookup!$C$2:$C$27,MATCH(TRUE,ISNUMBER(SEARCH(Merchant_Lookup!$A$2:$A$26,UPPER(B525))),0)),"NEEDS REVIEW")</f>
        <v>NEEDS REVIEW</v>
      </c>
      <c r="F525" t="str">
        <f>IF(E525="NEEDS REVIEW","",INDEX(Merchant_Lookup!$D$2:$D$27,MATCH(E525,Merchant_Lookup!$C$2:$C$27,0)))</f>
        <v/>
      </c>
      <c r="G525" t="str">
        <f>IF(E525="NEEDS REVIEW","",INDEX(Merchant_Lookup!$E$2:$E$27,MATCH(E525,Merchant_Lookup!$C$2:$C$27,0)))</f>
        <v/>
      </c>
      <c r="J525" t="str">
        <f t="shared" si="16"/>
        <v>NEEDS REVIEW</v>
      </c>
      <c r="K525" t="str">
        <f t="shared" si="17"/>
        <v/>
      </c>
    </row>
    <row r="526" spans="5:11" x14ac:dyDescent="0.2">
      <c r="E526" t="str" cm="1">
        <f t="array" ref="E526">IFERROR(INDEX(Merchant_Lookup!$C$2:$C$27,MATCH(TRUE,ISNUMBER(SEARCH(Merchant_Lookup!$A$2:$A$26,UPPER(B526))),0)),"NEEDS REVIEW")</f>
        <v>NEEDS REVIEW</v>
      </c>
      <c r="F526" t="str">
        <f>IF(E526="NEEDS REVIEW","",INDEX(Merchant_Lookup!$D$2:$D$27,MATCH(E526,Merchant_Lookup!$C$2:$C$27,0)))</f>
        <v/>
      </c>
      <c r="G526" t="str">
        <f>IF(E526="NEEDS REVIEW","",INDEX(Merchant_Lookup!$E$2:$E$27,MATCH(E526,Merchant_Lookup!$C$2:$C$27,0)))</f>
        <v/>
      </c>
      <c r="J526" t="str">
        <f t="shared" si="16"/>
        <v>NEEDS REVIEW</v>
      </c>
      <c r="K526" t="str">
        <f t="shared" si="17"/>
        <v/>
      </c>
    </row>
    <row r="527" spans="5:11" x14ac:dyDescent="0.2">
      <c r="E527" t="str" cm="1">
        <f t="array" ref="E527">IFERROR(INDEX(Merchant_Lookup!$C$2:$C$27,MATCH(TRUE,ISNUMBER(SEARCH(Merchant_Lookup!$A$2:$A$26,UPPER(B527))),0)),"NEEDS REVIEW")</f>
        <v>NEEDS REVIEW</v>
      </c>
      <c r="F527" t="str">
        <f>IF(E527="NEEDS REVIEW","",INDEX(Merchant_Lookup!$D$2:$D$27,MATCH(E527,Merchant_Lookup!$C$2:$C$27,0)))</f>
        <v/>
      </c>
      <c r="G527" t="str">
        <f>IF(E527="NEEDS REVIEW","",INDEX(Merchant_Lookup!$E$2:$E$27,MATCH(E527,Merchant_Lookup!$C$2:$C$27,0)))</f>
        <v/>
      </c>
      <c r="J527" t="str">
        <f t="shared" si="16"/>
        <v>NEEDS REVIEW</v>
      </c>
      <c r="K527" t="str">
        <f t="shared" si="17"/>
        <v/>
      </c>
    </row>
    <row r="528" spans="5:11" x14ac:dyDescent="0.2">
      <c r="E528" t="str" cm="1">
        <f t="array" ref="E528">IFERROR(INDEX(Merchant_Lookup!$C$2:$C$27,MATCH(TRUE,ISNUMBER(SEARCH(Merchant_Lookup!$A$2:$A$26,UPPER(B528))),0)),"NEEDS REVIEW")</f>
        <v>NEEDS REVIEW</v>
      </c>
      <c r="F528" t="str">
        <f>IF(E528="NEEDS REVIEW","",INDEX(Merchant_Lookup!$D$2:$D$27,MATCH(E528,Merchant_Lookup!$C$2:$C$27,0)))</f>
        <v/>
      </c>
      <c r="G528" t="str">
        <f>IF(E528="NEEDS REVIEW","",INDEX(Merchant_Lookup!$E$2:$E$27,MATCH(E528,Merchant_Lookup!$C$2:$C$27,0)))</f>
        <v/>
      </c>
      <c r="J528" t="str">
        <f t="shared" si="16"/>
        <v>NEEDS REVIEW</v>
      </c>
      <c r="K528" t="str">
        <f t="shared" si="17"/>
        <v/>
      </c>
    </row>
    <row r="529" spans="5:11" x14ac:dyDescent="0.2">
      <c r="E529" t="str" cm="1">
        <f t="array" ref="E529">IFERROR(INDEX(Merchant_Lookup!$C$2:$C$27,MATCH(TRUE,ISNUMBER(SEARCH(Merchant_Lookup!$A$2:$A$26,UPPER(B529))),0)),"NEEDS REVIEW")</f>
        <v>NEEDS REVIEW</v>
      </c>
      <c r="F529" t="str">
        <f>IF(E529="NEEDS REVIEW","",INDEX(Merchant_Lookup!$D$2:$D$27,MATCH(E529,Merchant_Lookup!$C$2:$C$27,0)))</f>
        <v/>
      </c>
      <c r="G529" t="str">
        <f>IF(E529="NEEDS REVIEW","",INDEX(Merchant_Lookup!$E$2:$E$27,MATCH(E529,Merchant_Lookup!$C$2:$C$27,0)))</f>
        <v/>
      </c>
      <c r="J529" t="str">
        <f t="shared" si="16"/>
        <v>NEEDS REVIEW</v>
      </c>
      <c r="K529" t="str">
        <f t="shared" si="17"/>
        <v/>
      </c>
    </row>
    <row r="530" spans="5:11" x14ac:dyDescent="0.2">
      <c r="E530" t="str" cm="1">
        <f t="array" ref="E530">IFERROR(INDEX(Merchant_Lookup!$C$2:$C$27,MATCH(TRUE,ISNUMBER(SEARCH(Merchant_Lookup!$A$2:$A$26,UPPER(B530))),0)),"NEEDS REVIEW")</f>
        <v>NEEDS REVIEW</v>
      </c>
      <c r="F530" t="str">
        <f>IF(E530="NEEDS REVIEW","",INDEX(Merchant_Lookup!$D$2:$D$27,MATCH(E530,Merchant_Lookup!$C$2:$C$27,0)))</f>
        <v/>
      </c>
      <c r="G530" t="str">
        <f>IF(E530="NEEDS REVIEW","",INDEX(Merchant_Lookup!$E$2:$E$27,MATCH(E530,Merchant_Lookup!$C$2:$C$27,0)))</f>
        <v/>
      </c>
      <c r="J530" t="str">
        <f t="shared" si="16"/>
        <v>NEEDS REVIEW</v>
      </c>
      <c r="K530" t="str">
        <f t="shared" si="17"/>
        <v/>
      </c>
    </row>
    <row r="531" spans="5:11" x14ac:dyDescent="0.2">
      <c r="E531" t="str" cm="1">
        <f t="array" ref="E531">IFERROR(INDEX(Merchant_Lookup!$C$2:$C$27,MATCH(TRUE,ISNUMBER(SEARCH(Merchant_Lookup!$A$2:$A$26,UPPER(B531))),0)),"NEEDS REVIEW")</f>
        <v>NEEDS REVIEW</v>
      </c>
      <c r="F531" t="str">
        <f>IF(E531="NEEDS REVIEW","",INDEX(Merchant_Lookup!$D$2:$D$27,MATCH(E531,Merchant_Lookup!$C$2:$C$27,0)))</f>
        <v/>
      </c>
      <c r="G531" t="str">
        <f>IF(E531="NEEDS REVIEW","",INDEX(Merchant_Lookup!$E$2:$E$27,MATCH(E531,Merchant_Lookup!$C$2:$C$27,0)))</f>
        <v/>
      </c>
      <c r="J531" t="str">
        <f t="shared" si="16"/>
        <v>NEEDS REVIEW</v>
      </c>
      <c r="K531" t="str">
        <f t="shared" si="17"/>
        <v/>
      </c>
    </row>
    <row r="532" spans="5:11" x14ac:dyDescent="0.2">
      <c r="E532" t="str" cm="1">
        <f t="array" ref="E532">IFERROR(INDEX(Merchant_Lookup!$C$2:$C$27,MATCH(TRUE,ISNUMBER(SEARCH(Merchant_Lookup!$A$2:$A$26,UPPER(B532))),0)),"NEEDS REVIEW")</f>
        <v>NEEDS REVIEW</v>
      </c>
      <c r="F532" t="str">
        <f>IF(E532="NEEDS REVIEW","",INDEX(Merchant_Lookup!$D$2:$D$27,MATCH(E532,Merchant_Lookup!$C$2:$C$27,0)))</f>
        <v/>
      </c>
      <c r="G532" t="str">
        <f>IF(E532="NEEDS REVIEW","",INDEX(Merchant_Lookup!$E$2:$E$27,MATCH(E532,Merchant_Lookup!$C$2:$C$27,0)))</f>
        <v/>
      </c>
      <c r="J532" t="str">
        <f t="shared" si="16"/>
        <v>NEEDS REVIEW</v>
      </c>
      <c r="K532" t="str">
        <f t="shared" si="17"/>
        <v/>
      </c>
    </row>
    <row r="533" spans="5:11" x14ac:dyDescent="0.2">
      <c r="E533" t="str" cm="1">
        <f t="array" ref="E533">IFERROR(INDEX(Merchant_Lookup!$C$2:$C$27,MATCH(TRUE,ISNUMBER(SEARCH(Merchant_Lookup!$A$2:$A$26,UPPER(B533))),0)),"NEEDS REVIEW")</f>
        <v>NEEDS REVIEW</v>
      </c>
      <c r="F533" t="str">
        <f>IF(E533="NEEDS REVIEW","",INDEX(Merchant_Lookup!$D$2:$D$27,MATCH(E533,Merchant_Lookup!$C$2:$C$27,0)))</f>
        <v/>
      </c>
      <c r="G533" t="str">
        <f>IF(E533="NEEDS REVIEW","",INDEX(Merchant_Lookup!$E$2:$E$27,MATCH(E533,Merchant_Lookup!$C$2:$C$27,0)))</f>
        <v/>
      </c>
      <c r="J533" t="str">
        <f t="shared" si="16"/>
        <v>NEEDS REVIEW</v>
      </c>
      <c r="K533" t="str">
        <f t="shared" si="17"/>
        <v/>
      </c>
    </row>
    <row r="534" spans="5:11" x14ac:dyDescent="0.2">
      <c r="E534" t="str" cm="1">
        <f t="array" ref="E534">IFERROR(INDEX(Merchant_Lookup!$C$2:$C$27,MATCH(TRUE,ISNUMBER(SEARCH(Merchant_Lookup!$A$2:$A$26,UPPER(B534))),0)),"NEEDS REVIEW")</f>
        <v>NEEDS REVIEW</v>
      </c>
      <c r="F534" t="str">
        <f>IF(E534="NEEDS REVIEW","",INDEX(Merchant_Lookup!$D$2:$D$27,MATCH(E534,Merchant_Lookup!$C$2:$C$27,0)))</f>
        <v/>
      </c>
      <c r="G534" t="str">
        <f>IF(E534="NEEDS REVIEW","",INDEX(Merchant_Lookup!$E$2:$E$27,MATCH(E534,Merchant_Lookup!$C$2:$C$27,0)))</f>
        <v/>
      </c>
      <c r="J534" t="str">
        <f t="shared" si="16"/>
        <v>NEEDS REVIEW</v>
      </c>
      <c r="K534" t="str">
        <f t="shared" si="17"/>
        <v/>
      </c>
    </row>
    <row r="535" spans="5:11" x14ac:dyDescent="0.2">
      <c r="E535" t="str" cm="1">
        <f t="array" ref="E535">IFERROR(INDEX(Merchant_Lookup!$C$2:$C$27,MATCH(TRUE,ISNUMBER(SEARCH(Merchant_Lookup!$A$2:$A$26,UPPER(B535))),0)),"NEEDS REVIEW")</f>
        <v>NEEDS REVIEW</v>
      </c>
      <c r="F535" t="str">
        <f>IF(E535="NEEDS REVIEW","",INDEX(Merchant_Lookup!$D$2:$D$27,MATCH(E535,Merchant_Lookup!$C$2:$C$27,0)))</f>
        <v/>
      </c>
      <c r="G535" t="str">
        <f>IF(E535="NEEDS REVIEW","",INDEX(Merchant_Lookup!$E$2:$E$27,MATCH(E535,Merchant_Lookup!$C$2:$C$27,0)))</f>
        <v/>
      </c>
      <c r="J535" t="str">
        <f t="shared" si="16"/>
        <v>NEEDS REVIEW</v>
      </c>
      <c r="K535" t="str">
        <f t="shared" si="17"/>
        <v/>
      </c>
    </row>
    <row r="536" spans="5:11" x14ac:dyDescent="0.2">
      <c r="E536" t="str" cm="1">
        <f t="array" ref="E536">IFERROR(INDEX(Merchant_Lookup!$C$2:$C$27,MATCH(TRUE,ISNUMBER(SEARCH(Merchant_Lookup!$A$2:$A$26,UPPER(B536))),0)),"NEEDS REVIEW")</f>
        <v>NEEDS REVIEW</v>
      </c>
      <c r="F536" t="str">
        <f>IF(E536="NEEDS REVIEW","",INDEX(Merchant_Lookup!$D$2:$D$27,MATCH(E536,Merchant_Lookup!$C$2:$C$27,0)))</f>
        <v/>
      </c>
      <c r="G536" t="str">
        <f>IF(E536="NEEDS REVIEW","",INDEX(Merchant_Lookup!$E$2:$E$27,MATCH(E536,Merchant_Lookup!$C$2:$C$27,0)))</f>
        <v/>
      </c>
      <c r="J536" t="str">
        <f t="shared" si="16"/>
        <v>NEEDS REVIEW</v>
      </c>
      <c r="K536" t="str">
        <f t="shared" si="17"/>
        <v/>
      </c>
    </row>
    <row r="537" spans="5:11" x14ac:dyDescent="0.2">
      <c r="E537" t="str" cm="1">
        <f t="array" ref="E537">IFERROR(INDEX(Merchant_Lookup!$C$2:$C$27,MATCH(TRUE,ISNUMBER(SEARCH(Merchant_Lookup!$A$2:$A$26,UPPER(B537))),0)),"NEEDS REVIEW")</f>
        <v>NEEDS REVIEW</v>
      </c>
      <c r="F537" t="str">
        <f>IF(E537="NEEDS REVIEW","",INDEX(Merchant_Lookup!$D$2:$D$27,MATCH(E537,Merchant_Lookup!$C$2:$C$27,0)))</f>
        <v/>
      </c>
      <c r="G537" t="str">
        <f>IF(E537="NEEDS REVIEW","",INDEX(Merchant_Lookup!$E$2:$E$27,MATCH(E537,Merchant_Lookup!$C$2:$C$27,0)))</f>
        <v/>
      </c>
      <c r="J537" t="str">
        <f t="shared" si="16"/>
        <v>NEEDS REVIEW</v>
      </c>
      <c r="K537" t="str">
        <f t="shared" si="17"/>
        <v/>
      </c>
    </row>
    <row r="538" spans="5:11" x14ac:dyDescent="0.2">
      <c r="E538" t="str" cm="1">
        <f t="array" ref="E538">IFERROR(INDEX(Merchant_Lookup!$C$2:$C$27,MATCH(TRUE,ISNUMBER(SEARCH(Merchant_Lookup!$A$2:$A$26,UPPER(B538))),0)),"NEEDS REVIEW")</f>
        <v>NEEDS REVIEW</v>
      </c>
      <c r="F538" t="str">
        <f>IF(E538="NEEDS REVIEW","",INDEX(Merchant_Lookup!$D$2:$D$27,MATCH(E538,Merchant_Lookup!$C$2:$C$27,0)))</f>
        <v/>
      </c>
      <c r="G538" t="str">
        <f>IF(E538="NEEDS REVIEW","",INDEX(Merchant_Lookup!$E$2:$E$27,MATCH(E538,Merchant_Lookup!$C$2:$C$27,0)))</f>
        <v/>
      </c>
      <c r="J538" t="str">
        <f t="shared" si="16"/>
        <v>NEEDS REVIEW</v>
      </c>
      <c r="K538" t="str">
        <f t="shared" si="17"/>
        <v/>
      </c>
    </row>
    <row r="539" spans="5:11" x14ac:dyDescent="0.2">
      <c r="E539" t="str" cm="1">
        <f t="array" ref="E539">IFERROR(INDEX(Merchant_Lookup!$C$2:$C$27,MATCH(TRUE,ISNUMBER(SEARCH(Merchant_Lookup!$A$2:$A$26,UPPER(B539))),0)),"NEEDS REVIEW")</f>
        <v>NEEDS REVIEW</v>
      </c>
      <c r="F539" t="str">
        <f>IF(E539="NEEDS REVIEW","",INDEX(Merchant_Lookup!$D$2:$D$27,MATCH(E539,Merchant_Lookup!$C$2:$C$27,0)))</f>
        <v/>
      </c>
      <c r="G539" t="str">
        <f>IF(E539="NEEDS REVIEW","",INDEX(Merchant_Lookup!$E$2:$E$27,MATCH(E539,Merchant_Lookup!$C$2:$C$27,0)))</f>
        <v/>
      </c>
      <c r="J539" t="str">
        <f t="shared" si="16"/>
        <v>NEEDS REVIEW</v>
      </c>
      <c r="K539" t="str">
        <f t="shared" si="17"/>
        <v/>
      </c>
    </row>
    <row r="540" spans="5:11" x14ac:dyDescent="0.2">
      <c r="E540" t="str" cm="1">
        <f t="array" ref="E540">IFERROR(INDEX(Merchant_Lookup!$C$2:$C$27,MATCH(TRUE,ISNUMBER(SEARCH(Merchant_Lookup!$A$2:$A$26,UPPER(B540))),0)),"NEEDS REVIEW")</f>
        <v>NEEDS REVIEW</v>
      </c>
      <c r="F540" t="str">
        <f>IF(E540="NEEDS REVIEW","",INDEX(Merchant_Lookup!$D$2:$D$27,MATCH(E540,Merchant_Lookup!$C$2:$C$27,0)))</f>
        <v/>
      </c>
      <c r="G540" t="str">
        <f>IF(E540="NEEDS REVIEW","",INDEX(Merchant_Lookup!$E$2:$E$27,MATCH(E540,Merchant_Lookup!$C$2:$C$27,0)))</f>
        <v/>
      </c>
      <c r="J540" t="str">
        <f t="shared" si="16"/>
        <v>NEEDS REVIEW</v>
      </c>
      <c r="K540" t="str">
        <f t="shared" si="17"/>
        <v/>
      </c>
    </row>
    <row r="541" spans="5:11" x14ac:dyDescent="0.2">
      <c r="E541" t="str" cm="1">
        <f t="array" ref="E541">IFERROR(INDEX(Merchant_Lookup!$C$2:$C$27,MATCH(TRUE,ISNUMBER(SEARCH(Merchant_Lookup!$A$2:$A$26,UPPER(B541))),0)),"NEEDS REVIEW")</f>
        <v>NEEDS REVIEW</v>
      </c>
      <c r="F541" t="str">
        <f>IF(E541="NEEDS REVIEW","",INDEX(Merchant_Lookup!$D$2:$D$27,MATCH(E541,Merchant_Lookup!$C$2:$C$27,0)))</f>
        <v/>
      </c>
      <c r="G541" t="str">
        <f>IF(E541="NEEDS REVIEW","",INDEX(Merchant_Lookup!$E$2:$E$27,MATCH(E541,Merchant_Lookup!$C$2:$C$27,0)))</f>
        <v/>
      </c>
      <c r="J541" t="str">
        <f t="shared" si="16"/>
        <v>NEEDS REVIEW</v>
      </c>
      <c r="K541" t="str">
        <f t="shared" si="17"/>
        <v/>
      </c>
    </row>
    <row r="542" spans="5:11" x14ac:dyDescent="0.2">
      <c r="E542" t="str" cm="1">
        <f t="array" ref="E542">IFERROR(INDEX(Merchant_Lookup!$C$2:$C$27,MATCH(TRUE,ISNUMBER(SEARCH(Merchant_Lookup!$A$2:$A$26,UPPER(B542))),0)),"NEEDS REVIEW")</f>
        <v>NEEDS REVIEW</v>
      </c>
      <c r="F542" t="str">
        <f>IF(E542="NEEDS REVIEW","",INDEX(Merchant_Lookup!$D$2:$D$27,MATCH(E542,Merchant_Lookup!$C$2:$C$27,0)))</f>
        <v/>
      </c>
      <c r="G542" t="str">
        <f>IF(E542="NEEDS REVIEW","",INDEX(Merchant_Lookup!$E$2:$E$27,MATCH(E542,Merchant_Lookup!$C$2:$C$27,0)))</f>
        <v/>
      </c>
      <c r="J542" t="str">
        <f t="shared" si="16"/>
        <v>NEEDS REVIEW</v>
      </c>
      <c r="K542" t="str">
        <f t="shared" si="17"/>
        <v/>
      </c>
    </row>
    <row r="543" spans="5:11" x14ac:dyDescent="0.2">
      <c r="E543" t="str" cm="1">
        <f t="array" ref="E543">IFERROR(INDEX(Merchant_Lookup!$C$2:$C$27,MATCH(TRUE,ISNUMBER(SEARCH(Merchant_Lookup!$A$2:$A$26,UPPER(B543))),0)),"NEEDS REVIEW")</f>
        <v>NEEDS REVIEW</v>
      </c>
      <c r="F543" t="str">
        <f>IF(E543="NEEDS REVIEW","",INDEX(Merchant_Lookup!$D$2:$D$27,MATCH(E543,Merchant_Lookup!$C$2:$C$27,0)))</f>
        <v/>
      </c>
      <c r="G543" t="str">
        <f>IF(E543="NEEDS REVIEW","",INDEX(Merchant_Lookup!$E$2:$E$27,MATCH(E543,Merchant_Lookup!$C$2:$C$27,0)))</f>
        <v/>
      </c>
      <c r="J543" t="str">
        <f t="shared" si="16"/>
        <v>NEEDS REVIEW</v>
      </c>
      <c r="K543" t="str">
        <f t="shared" si="17"/>
        <v/>
      </c>
    </row>
    <row r="544" spans="5:11" x14ac:dyDescent="0.2">
      <c r="E544" t="str" cm="1">
        <f t="array" ref="E544">IFERROR(INDEX(Merchant_Lookup!$C$2:$C$27,MATCH(TRUE,ISNUMBER(SEARCH(Merchant_Lookup!$A$2:$A$26,UPPER(B544))),0)),"NEEDS REVIEW")</f>
        <v>NEEDS REVIEW</v>
      </c>
      <c r="F544" t="str">
        <f>IF(E544="NEEDS REVIEW","",INDEX(Merchant_Lookup!$D$2:$D$27,MATCH(E544,Merchant_Lookup!$C$2:$C$27,0)))</f>
        <v/>
      </c>
      <c r="G544" t="str">
        <f>IF(E544="NEEDS REVIEW","",INDEX(Merchant_Lookup!$E$2:$E$27,MATCH(E544,Merchant_Lookup!$C$2:$C$27,0)))</f>
        <v/>
      </c>
      <c r="J544" t="str">
        <f t="shared" si="16"/>
        <v>NEEDS REVIEW</v>
      </c>
      <c r="K544" t="str">
        <f t="shared" si="17"/>
        <v/>
      </c>
    </row>
    <row r="545" spans="5:11" x14ac:dyDescent="0.2">
      <c r="E545" t="str" cm="1">
        <f t="array" ref="E545">IFERROR(INDEX(Merchant_Lookup!$C$2:$C$27,MATCH(TRUE,ISNUMBER(SEARCH(Merchant_Lookup!$A$2:$A$26,UPPER(B545))),0)),"NEEDS REVIEW")</f>
        <v>NEEDS REVIEW</v>
      </c>
      <c r="F545" t="str">
        <f>IF(E545="NEEDS REVIEW","",INDEX(Merchant_Lookup!$D$2:$D$27,MATCH(E545,Merchant_Lookup!$C$2:$C$27,0)))</f>
        <v/>
      </c>
      <c r="G545" t="str">
        <f>IF(E545="NEEDS REVIEW","",INDEX(Merchant_Lookup!$E$2:$E$27,MATCH(E545,Merchant_Lookup!$C$2:$C$27,0)))</f>
        <v/>
      </c>
      <c r="J545" t="str">
        <f t="shared" si="16"/>
        <v>NEEDS REVIEW</v>
      </c>
      <c r="K545" t="str">
        <f t="shared" si="17"/>
        <v/>
      </c>
    </row>
    <row r="546" spans="5:11" x14ac:dyDescent="0.2">
      <c r="E546" t="str" cm="1">
        <f t="array" ref="E546">IFERROR(INDEX(Merchant_Lookup!$C$2:$C$27,MATCH(TRUE,ISNUMBER(SEARCH(Merchant_Lookup!$A$2:$A$26,UPPER(B546))),0)),"NEEDS REVIEW")</f>
        <v>NEEDS REVIEW</v>
      </c>
      <c r="F546" t="str">
        <f>IF(E546="NEEDS REVIEW","",INDEX(Merchant_Lookup!$D$2:$D$27,MATCH(E546,Merchant_Lookup!$C$2:$C$27,0)))</f>
        <v/>
      </c>
      <c r="G546" t="str">
        <f>IF(E546="NEEDS REVIEW","",INDEX(Merchant_Lookup!$E$2:$E$27,MATCH(E546,Merchant_Lookup!$C$2:$C$27,0)))</f>
        <v/>
      </c>
      <c r="J546" t="str">
        <f t="shared" si="16"/>
        <v>NEEDS REVIEW</v>
      </c>
      <c r="K546" t="str">
        <f t="shared" si="17"/>
        <v/>
      </c>
    </row>
    <row r="547" spans="5:11" x14ac:dyDescent="0.2">
      <c r="E547" t="str" cm="1">
        <f t="array" ref="E547">IFERROR(INDEX(Merchant_Lookup!$C$2:$C$27,MATCH(TRUE,ISNUMBER(SEARCH(Merchant_Lookup!$A$2:$A$26,UPPER(B547))),0)),"NEEDS REVIEW")</f>
        <v>NEEDS REVIEW</v>
      </c>
      <c r="F547" t="str">
        <f>IF(E547="NEEDS REVIEW","",INDEX(Merchant_Lookup!$D$2:$D$27,MATCH(E547,Merchant_Lookup!$C$2:$C$27,0)))</f>
        <v/>
      </c>
      <c r="G547" t="str">
        <f>IF(E547="NEEDS REVIEW","",INDEX(Merchant_Lookup!$E$2:$E$27,MATCH(E547,Merchant_Lookup!$C$2:$C$27,0)))</f>
        <v/>
      </c>
      <c r="J547" t="str">
        <f t="shared" si="16"/>
        <v>NEEDS REVIEW</v>
      </c>
      <c r="K547" t="str">
        <f t="shared" si="17"/>
        <v/>
      </c>
    </row>
    <row r="548" spans="5:11" x14ac:dyDescent="0.2">
      <c r="E548" t="str" cm="1">
        <f t="array" ref="E548">IFERROR(INDEX(Merchant_Lookup!$C$2:$C$27,MATCH(TRUE,ISNUMBER(SEARCH(Merchant_Lookup!$A$2:$A$26,UPPER(B548))),0)),"NEEDS REVIEW")</f>
        <v>NEEDS REVIEW</v>
      </c>
      <c r="F548" t="str">
        <f>IF(E548="NEEDS REVIEW","",INDEX(Merchant_Lookup!$D$2:$D$27,MATCH(E548,Merchant_Lookup!$C$2:$C$27,0)))</f>
        <v/>
      </c>
      <c r="G548" t="str">
        <f>IF(E548="NEEDS REVIEW","",INDEX(Merchant_Lookup!$E$2:$E$27,MATCH(E548,Merchant_Lookup!$C$2:$C$27,0)))</f>
        <v/>
      </c>
      <c r="J548" t="str">
        <f t="shared" si="16"/>
        <v>NEEDS REVIEW</v>
      </c>
      <c r="K548" t="str">
        <f t="shared" si="17"/>
        <v/>
      </c>
    </row>
    <row r="549" spans="5:11" x14ac:dyDescent="0.2">
      <c r="E549" t="str" cm="1">
        <f t="array" ref="E549">IFERROR(INDEX(Merchant_Lookup!$C$2:$C$27,MATCH(TRUE,ISNUMBER(SEARCH(Merchant_Lookup!$A$2:$A$26,UPPER(B549))),0)),"NEEDS REVIEW")</f>
        <v>NEEDS REVIEW</v>
      </c>
      <c r="F549" t="str">
        <f>IF(E549="NEEDS REVIEW","",INDEX(Merchant_Lookup!$D$2:$D$27,MATCH(E549,Merchant_Lookup!$C$2:$C$27,0)))</f>
        <v/>
      </c>
      <c r="G549" t="str">
        <f>IF(E549="NEEDS REVIEW","",INDEX(Merchant_Lookup!$E$2:$E$27,MATCH(E549,Merchant_Lookup!$C$2:$C$27,0)))</f>
        <v/>
      </c>
      <c r="J549" t="str">
        <f t="shared" si="16"/>
        <v>NEEDS REVIEW</v>
      </c>
      <c r="K549" t="str">
        <f t="shared" si="17"/>
        <v/>
      </c>
    </row>
    <row r="550" spans="5:11" x14ac:dyDescent="0.2">
      <c r="E550" t="str" cm="1">
        <f t="array" ref="E550">IFERROR(INDEX(Merchant_Lookup!$C$2:$C$27,MATCH(TRUE,ISNUMBER(SEARCH(Merchant_Lookup!$A$2:$A$26,UPPER(B550))),0)),"NEEDS REVIEW")</f>
        <v>NEEDS REVIEW</v>
      </c>
      <c r="F550" t="str">
        <f>IF(E550="NEEDS REVIEW","",INDEX(Merchant_Lookup!$D$2:$D$27,MATCH(E550,Merchant_Lookup!$C$2:$C$27,0)))</f>
        <v/>
      </c>
      <c r="G550" t="str">
        <f>IF(E550="NEEDS REVIEW","",INDEX(Merchant_Lookup!$E$2:$E$27,MATCH(E550,Merchant_Lookup!$C$2:$C$27,0)))</f>
        <v/>
      </c>
      <c r="J550" t="str">
        <f t="shared" si="16"/>
        <v>NEEDS REVIEW</v>
      </c>
      <c r="K550" t="str">
        <f t="shared" si="17"/>
        <v/>
      </c>
    </row>
    <row r="551" spans="5:11" x14ac:dyDescent="0.2">
      <c r="E551" t="str" cm="1">
        <f t="array" ref="E551">IFERROR(INDEX(Merchant_Lookup!$C$2:$C$27,MATCH(TRUE,ISNUMBER(SEARCH(Merchant_Lookup!$A$2:$A$26,UPPER(B551))),0)),"NEEDS REVIEW")</f>
        <v>NEEDS REVIEW</v>
      </c>
      <c r="F551" t="str">
        <f>IF(E551="NEEDS REVIEW","",INDEX(Merchant_Lookup!$D$2:$D$27,MATCH(E551,Merchant_Lookup!$C$2:$C$27,0)))</f>
        <v/>
      </c>
      <c r="G551" t="str">
        <f>IF(E551="NEEDS REVIEW","",INDEX(Merchant_Lookup!$E$2:$E$27,MATCH(E551,Merchant_Lookup!$C$2:$C$27,0)))</f>
        <v/>
      </c>
      <c r="J551" t="str">
        <f t="shared" si="16"/>
        <v>NEEDS REVIEW</v>
      </c>
      <c r="K551" t="str">
        <f t="shared" si="17"/>
        <v/>
      </c>
    </row>
    <row r="552" spans="5:11" x14ac:dyDescent="0.2">
      <c r="E552" t="str" cm="1">
        <f t="array" ref="E552">IFERROR(INDEX(Merchant_Lookup!$C$2:$C$27,MATCH(TRUE,ISNUMBER(SEARCH(Merchant_Lookup!$A$2:$A$26,UPPER(B552))),0)),"NEEDS REVIEW")</f>
        <v>NEEDS REVIEW</v>
      </c>
      <c r="F552" t="str">
        <f>IF(E552="NEEDS REVIEW","",INDEX(Merchant_Lookup!$D$2:$D$27,MATCH(E552,Merchant_Lookup!$C$2:$C$27,0)))</f>
        <v/>
      </c>
      <c r="G552" t="str">
        <f>IF(E552="NEEDS REVIEW","",INDEX(Merchant_Lookup!$E$2:$E$27,MATCH(E552,Merchant_Lookup!$C$2:$C$27,0)))</f>
        <v/>
      </c>
      <c r="J552" t="str">
        <f t="shared" si="16"/>
        <v>NEEDS REVIEW</v>
      </c>
      <c r="K552" t="str">
        <f t="shared" si="17"/>
        <v/>
      </c>
    </row>
    <row r="553" spans="5:11" x14ac:dyDescent="0.2">
      <c r="E553" t="str" cm="1">
        <f t="array" ref="E553">IFERROR(INDEX(Merchant_Lookup!$C$2:$C$27,MATCH(TRUE,ISNUMBER(SEARCH(Merchant_Lookup!$A$2:$A$26,UPPER(B553))),0)),"NEEDS REVIEW")</f>
        <v>NEEDS REVIEW</v>
      </c>
      <c r="F553" t="str">
        <f>IF(E553="NEEDS REVIEW","",INDEX(Merchant_Lookup!$D$2:$D$27,MATCH(E553,Merchant_Lookup!$C$2:$C$27,0)))</f>
        <v/>
      </c>
      <c r="G553" t="str">
        <f>IF(E553="NEEDS REVIEW","",INDEX(Merchant_Lookup!$E$2:$E$27,MATCH(E553,Merchant_Lookup!$C$2:$C$27,0)))</f>
        <v/>
      </c>
      <c r="J553" t="str">
        <f t="shared" si="16"/>
        <v>NEEDS REVIEW</v>
      </c>
      <c r="K553" t="str">
        <f t="shared" si="17"/>
        <v/>
      </c>
    </row>
    <row r="554" spans="5:11" x14ac:dyDescent="0.2">
      <c r="E554" t="str" cm="1">
        <f t="array" ref="E554">IFERROR(INDEX(Merchant_Lookup!$C$2:$C$27,MATCH(TRUE,ISNUMBER(SEARCH(Merchant_Lookup!$A$2:$A$26,UPPER(B554))),0)),"NEEDS REVIEW")</f>
        <v>NEEDS REVIEW</v>
      </c>
      <c r="F554" t="str">
        <f>IF(E554="NEEDS REVIEW","",INDEX(Merchant_Lookup!$D$2:$D$27,MATCH(E554,Merchant_Lookup!$C$2:$C$27,0)))</f>
        <v/>
      </c>
      <c r="G554" t="str">
        <f>IF(E554="NEEDS REVIEW","",INDEX(Merchant_Lookup!$E$2:$E$27,MATCH(E554,Merchant_Lookup!$C$2:$C$27,0)))</f>
        <v/>
      </c>
      <c r="J554" t="str">
        <f t="shared" si="16"/>
        <v>NEEDS REVIEW</v>
      </c>
      <c r="K554" t="str">
        <f t="shared" si="17"/>
        <v/>
      </c>
    </row>
    <row r="555" spans="5:11" x14ac:dyDescent="0.2">
      <c r="E555" t="str" cm="1">
        <f t="array" ref="E555">IFERROR(INDEX(Merchant_Lookup!$C$2:$C$27,MATCH(TRUE,ISNUMBER(SEARCH(Merchant_Lookup!$A$2:$A$26,UPPER(B555))),0)),"NEEDS REVIEW")</f>
        <v>NEEDS REVIEW</v>
      </c>
      <c r="F555" t="str">
        <f>IF(E555="NEEDS REVIEW","",INDEX(Merchant_Lookup!$D$2:$D$27,MATCH(E555,Merchant_Lookup!$C$2:$C$27,0)))</f>
        <v/>
      </c>
      <c r="G555" t="str">
        <f>IF(E555="NEEDS REVIEW","",INDEX(Merchant_Lookup!$E$2:$E$27,MATCH(E555,Merchant_Lookup!$C$2:$C$27,0)))</f>
        <v/>
      </c>
      <c r="J555" t="str">
        <f t="shared" si="16"/>
        <v>NEEDS REVIEW</v>
      </c>
      <c r="K555" t="str">
        <f t="shared" si="17"/>
        <v/>
      </c>
    </row>
    <row r="556" spans="5:11" x14ac:dyDescent="0.2">
      <c r="E556" t="str" cm="1">
        <f t="array" ref="E556">IFERROR(INDEX(Merchant_Lookup!$C$2:$C$27,MATCH(TRUE,ISNUMBER(SEARCH(Merchant_Lookup!$A$2:$A$26,UPPER(B556))),0)),"NEEDS REVIEW")</f>
        <v>NEEDS REVIEW</v>
      </c>
      <c r="F556" t="str">
        <f>IF(E556="NEEDS REVIEW","",INDEX(Merchant_Lookup!$D$2:$D$27,MATCH(E556,Merchant_Lookup!$C$2:$C$27,0)))</f>
        <v/>
      </c>
      <c r="G556" t="str">
        <f>IF(E556="NEEDS REVIEW","",INDEX(Merchant_Lookup!$E$2:$E$27,MATCH(E556,Merchant_Lookup!$C$2:$C$27,0)))</f>
        <v/>
      </c>
      <c r="J556" t="str">
        <f t="shared" si="16"/>
        <v>NEEDS REVIEW</v>
      </c>
      <c r="K556" t="str">
        <f t="shared" si="17"/>
        <v/>
      </c>
    </row>
    <row r="557" spans="5:11" x14ac:dyDescent="0.2">
      <c r="E557" t="str" cm="1">
        <f t="array" ref="E557">IFERROR(INDEX(Merchant_Lookup!$C$2:$C$27,MATCH(TRUE,ISNUMBER(SEARCH(Merchant_Lookup!$A$2:$A$26,UPPER(B557))),0)),"NEEDS REVIEW")</f>
        <v>NEEDS REVIEW</v>
      </c>
      <c r="F557" t="str">
        <f>IF(E557="NEEDS REVIEW","",INDEX(Merchant_Lookup!$D$2:$D$27,MATCH(E557,Merchant_Lookup!$C$2:$C$27,0)))</f>
        <v/>
      </c>
      <c r="G557" t="str">
        <f>IF(E557="NEEDS REVIEW","",INDEX(Merchant_Lookup!$E$2:$E$27,MATCH(E557,Merchant_Lookup!$C$2:$C$27,0)))</f>
        <v/>
      </c>
      <c r="J557" t="str">
        <f t="shared" si="16"/>
        <v>NEEDS REVIEW</v>
      </c>
      <c r="K557" t="str">
        <f t="shared" si="17"/>
        <v/>
      </c>
    </row>
    <row r="558" spans="5:11" x14ac:dyDescent="0.2">
      <c r="E558" t="str" cm="1">
        <f t="array" ref="E558">IFERROR(INDEX(Merchant_Lookup!$C$2:$C$27,MATCH(TRUE,ISNUMBER(SEARCH(Merchant_Lookup!$A$2:$A$26,UPPER(B558))),0)),"NEEDS REVIEW")</f>
        <v>NEEDS REVIEW</v>
      </c>
      <c r="F558" t="str">
        <f>IF(E558="NEEDS REVIEW","",INDEX(Merchant_Lookup!$D$2:$D$27,MATCH(E558,Merchant_Lookup!$C$2:$C$27,0)))</f>
        <v/>
      </c>
      <c r="G558" t="str">
        <f>IF(E558="NEEDS REVIEW","",INDEX(Merchant_Lookup!$E$2:$E$27,MATCH(E558,Merchant_Lookup!$C$2:$C$27,0)))</f>
        <v/>
      </c>
      <c r="J558" t="str">
        <f t="shared" si="16"/>
        <v>NEEDS REVIEW</v>
      </c>
      <c r="K558" t="str">
        <f t="shared" si="17"/>
        <v/>
      </c>
    </row>
    <row r="559" spans="5:11" x14ac:dyDescent="0.2">
      <c r="E559" t="str" cm="1">
        <f t="array" ref="E559">IFERROR(INDEX(Merchant_Lookup!$C$2:$C$27,MATCH(TRUE,ISNUMBER(SEARCH(Merchant_Lookup!$A$2:$A$26,UPPER(B559))),0)),"NEEDS REVIEW")</f>
        <v>NEEDS REVIEW</v>
      </c>
      <c r="F559" t="str">
        <f>IF(E559="NEEDS REVIEW","",INDEX(Merchant_Lookup!$D$2:$D$27,MATCH(E559,Merchant_Lookup!$C$2:$C$27,0)))</f>
        <v/>
      </c>
      <c r="G559" t="str">
        <f>IF(E559="NEEDS REVIEW","",INDEX(Merchant_Lookup!$E$2:$E$27,MATCH(E559,Merchant_Lookup!$C$2:$C$27,0)))</f>
        <v/>
      </c>
      <c r="J559" t="str">
        <f t="shared" si="16"/>
        <v>NEEDS REVIEW</v>
      </c>
      <c r="K559" t="str">
        <f t="shared" si="17"/>
        <v/>
      </c>
    </row>
    <row r="560" spans="5:11" x14ac:dyDescent="0.2">
      <c r="E560" t="str" cm="1">
        <f t="array" ref="E560">IFERROR(INDEX(Merchant_Lookup!$C$2:$C$27,MATCH(TRUE,ISNUMBER(SEARCH(Merchant_Lookup!$A$2:$A$26,UPPER(B560))),0)),"NEEDS REVIEW")</f>
        <v>NEEDS REVIEW</v>
      </c>
      <c r="F560" t="str">
        <f>IF(E560="NEEDS REVIEW","",INDEX(Merchant_Lookup!$D$2:$D$27,MATCH(E560,Merchant_Lookup!$C$2:$C$27,0)))</f>
        <v/>
      </c>
      <c r="G560" t="str">
        <f>IF(E560="NEEDS REVIEW","",INDEX(Merchant_Lookup!$E$2:$E$27,MATCH(E560,Merchant_Lookup!$C$2:$C$27,0)))</f>
        <v/>
      </c>
      <c r="J560" t="str">
        <f t="shared" si="16"/>
        <v>NEEDS REVIEW</v>
      </c>
      <c r="K560" t="str">
        <f t="shared" si="17"/>
        <v/>
      </c>
    </row>
    <row r="561" spans="5:11" x14ac:dyDescent="0.2">
      <c r="E561" t="str" cm="1">
        <f t="array" ref="E561">IFERROR(INDEX(Merchant_Lookup!$C$2:$C$27,MATCH(TRUE,ISNUMBER(SEARCH(Merchant_Lookup!$A$2:$A$26,UPPER(B561))),0)),"NEEDS REVIEW")</f>
        <v>NEEDS REVIEW</v>
      </c>
      <c r="F561" t="str">
        <f>IF(E561="NEEDS REVIEW","",INDEX(Merchant_Lookup!$D$2:$D$27,MATCH(E561,Merchant_Lookup!$C$2:$C$27,0)))</f>
        <v/>
      </c>
      <c r="G561" t="str">
        <f>IF(E561="NEEDS REVIEW","",INDEX(Merchant_Lookup!$E$2:$E$27,MATCH(E561,Merchant_Lookup!$C$2:$C$27,0)))</f>
        <v/>
      </c>
      <c r="J561" t="str">
        <f t="shared" si="16"/>
        <v>NEEDS REVIEW</v>
      </c>
      <c r="K561" t="str">
        <f t="shared" si="17"/>
        <v/>
      </c>
    </row>
    <row r="562" spans="5:11" x14ac:dyDescent="0.2">
      <c r="E562" t="str" cm="1">
        <f t="array" ref="E562">IFERROR(INDEX(Merchant_Lookup!$C$2:$C$27,MATCH(TRUE,ISNUMBER(SEARCH(Merchant_Lookup!$A$2:$A$26,UPPER(B562))),0)),"NEEDS REVIEW")</f>
        <v>NEEDS REVIEW</v>
      </c>
      <c r="F562" t="str">
        <f>IF(E562="NEEDS REVIEW","",INDEX(Merchant_Lookup!$D$2:$D$27,MATCH(E562,Merchant_Lookup!$C$2:$C$27,0)))</f>
        <v/>
      </c>
      <c r="G562" t="str">
        <f>IF(E562="NEEDS REVIEW","",INDEX(Merchant_Lookup!$E$2:$E$27,MATCH(E562,Merchant_Lookup!$C$2:$C$27,0)))</f>
        <v/>
      </c>
      <c r="J562" t="str">
        <f t="shared" si="16"/>
        <v>NEEDS REVIEW</v>
      </c>
      <c r="K562" t="str">
        <f t="shared" si="17"/>
        <v/>
      </c>
    </row>
    <row r="563" spans="5:11" x14ac:dyDescent="0.2">
      <c r="E563" t="str" cm="1">
        <f t="array" ref="E563">IFERROR(INDEX(Merchant_Lookup!$C$2:$C$27,MATCH(TRUE,ISNUMBER(SEARCH(Merchant_Lookup!$A$2:$A$26,UPPER(B563))),0)),"NEEDS REVIEW")</f>
        <v>NEEDS REVIEW</v>
      </c>
      <c r="F563" t="str">
        <f>IF(E563="NEEDS REVIEW","",INDEX(Merchant_Lookup!$D$2:$D$27,MATCH(E563,Merchant_Lookup!$C$2:$C$27,0)))</f>
        <v/>
      </c>
      <c r="G563" t="str">
        <f>IF(E563="NEEDS REVIEW","",INDEX(Merchant_Lookup!$E$2:$E$27,MATCH(E563,Merchant_Lookup!$C$2:$C$27,0)))</f>
        <v/>
      </c>
      <c r="J563" t="str">
        <f t="shared" si="16"/>
        <v>NEEDS REVIEW</v>
      </c>
      <c r="K563" t="str">
        <f t="shared" si="17"/>
        <v/>
      </c>
    </row>
    <row r="564" spans="5:11" x14ac:dyDescent="0.2">
      <c r="E564" t="str" cm="1">
        <f t="array" ref="E564">IFERROR(INDEX(Merchant_Lookup!$C$2:$C$27,MATCH(TRUE,ISNUMBER(SEARCH(Merchant_Lookup!$A$2:$A$26,UPPER(B564))),0)),"NEEDS REVIEW")</f>
        <v>NEEDS REVIEW</v>
      </c>
      <c r="F564" t="str">
        <f>IF(E564="NEEDS REVIEW","",INDEX(Merchant_Lookup!$D$2:$D$27,MATCH(E564,Merchant_Lookup!$C$2:$C$27,0)))</f>
        <v/>
      </c>
      <c r="G564" t="str">
        <f>IF(E564="NEEDS REVIEW","",INDEX(Merchant_Lookup!$E$2:$E$27,MATCH(E564,Merchant_Lookup!$C$2:$C$27,0)))</f>
        <v/>
      </c>
      <c r="J564" t="str">
        <f t="shared" si="16"/>
        <v>NEEDS REVIEW</v>
      </c>
      <c r="K564" t="str">
        <f t="shared" si="17"/>
        <v/>
      </c>
    </row>
    <row r="565" spans="5:11" x14ac:dyDescent="0.2">
      <c r="E565" t="str" cm="1">
        <f t="array" ref="E565">IFERROR(INDEX(Merchant_Lookup!$C$2:$C$27,MATCH(TRUE,ISNUMBER(SEARCH(Merchant_Lookup!$A$2:$A$26,UPPER(B565))),0)),"NEEDS REVIEW")</f>
        <v>NEEDS REVIEW</v>
      </c>
      <c r="F565" t="str">
        <f>IF(E565="NEEDS REVIEW","",INDEX(Merchant_Lookup!$D$2:$D$27,MATCH(E565,Merchant_Lookup!$C$2:$C$27,0)))</f>
        <v/>
      </c>
      <c r="G565" t="str">
        <f>IF(E565="NEEDS REVIEW","",INDEX(Merchant_Lookup!$E$2:$E$27,MATCH(E565,Merchant_Lookup!$C$2:$C$27,0)))</f>
        <v/>
      </c>
      <c r="J565" t="str">
        <f t="shared" si="16"/>
        <v>NEEDS REVIEW</v>
      </c>
      <c r="K565" t="str">
        <f t="shared" si="17"/>
        <v/>
      </c>
    </row>
    <row r="566" spans="5:11" x14ac:dyDescent="0.2">
      <c r="E566" t="str" cm="1">
        <f t="array" ref="E566">IFERROR(INDEX(Merchant_Lookup!$C$2:$C$27,MATCH(TRUE,ISNUMBER(SEARCH(Merchant_Lookup!$A$2:$A$26,UPPER(B566))),0)),"NEEDS REVIEW")</f>
        <v>NEEDS REVIEW</v>
      </c>
      <c r="F566" t="str">
        <f>IF(E566="NEEDS REVIEW","",INDEX(Merchant_Lookup!$D$2:$D$27,MATCH(E566,Merchant_Lookup!$C$2:$C$27,0)))</f>
        <v/>
      </c>
      <c r="G566" t="str">
        <f>IF(E566="NEEDS REVIEW","",INDEX(Merchant_Lookup!$E$2:$E$27,MATCH(E566,Merchant_Lookup!$C$2:$C$27,0)))</f>
        <v/>
      </c>
      <c r="J566" t="str">
        <f t="shared" si="16"/>
        <v>NEEDS REVIEW</v>
      </c>
      <c r="K566" t="str">
        <f t="shared" si="17"/>
        <v/>
      </c>
    </row>
    <row r="567" spans="5:11" x14ac:dyDescent="0.2">
      <c r="E567" t="str" cm="1">
        <f t="array" ref="E567">IFERROR(INDEX(Merchant_Lookup!$C$2:$C$27,MATCH(TRUE,ISNUMBER(SEARCH(Merchant_Lookup!$A$2:$A$26,UPPER(B567))),0)),"NEEDS REVIEW")</f>
        <v>NEEDS REVIEW</v>
      </c>
      <c r="F567" t="str">
        <f>IF(E567="NEEDS REVIEW","",INDEX(Merchant_Lookup!$D$2:$D$27,MATCH(E567,Merchant_Lookup!$C$2:$C$27,0)))</f>
        <v/>
      </c>
      <c r="G567" t="str">
        <f>IF(E567="NEEDS REVIEW","",INDEX(Merchant_Lookup!$E$2:$E$27,MATCH(E567,Merchant_Lookup!$C$2:$C$27,0)))</f>
        <v/>
      </c>
      <c r="J567" t="str">
        <f t="shared" si="16"/>
        <v>NEEDS REVIEW</v>
      </c>
      <c r="K567" t="str">
        <f t="shared" si="17"/>
        <v/>
      </c>
    </row>
    <row r="568" spans="5:11" x14ac:dyDescent="0.2">
      <c r="E568" t="str" cm="1">
        <f t="array" ref="E568">IFERROR(INDEX(Merchant_Lookup!$C$2:$C$27,MATCH(TRUE,ISNUMBER(SEARCH(Merchant_Lookup!$A$2:$A$26,UPPER(B568))),0)),"NEEDS REVIEW")</f>
        <v>NEEDS REVIEW</v>
      </c>
      <c r="F568" t="str">
        <f>IF(E568="NEEDS REVIEW","",INDEX(Merchant_Lookup!$D$2:$D$27,MATCH(E568,Merchant_Lookup!$C$2:$C$27,0)))</f>
        <v/>
      </c>
      <c r="G568" t="str">
        <f>IF(E568="NEEDS REVIEW","",INDEX(Merchant_Lookup!$E$2:$E$27,MATCH(E568,Merchant_Lookup!$C$2:$C$27,0)))</f>
        <v/>
      </c>
      <c r="J568" t="str">
        <f t="shared" si="16"/>
        <v>NEEDS REVIEW</v>
      </c>
      <c r="K568" t="str">
        <f t="shared" si="17"/>
        <v/>
      </c>
    </row>
    <row r="569" spans="5:11" x14ac:dyDescent="0.2">
      <c r="E569" t="str" cm="1">
        <f t="array" ref="E569">IFERROR(INDEX(Merchant_Lookup!$C$2:$C$27,MATCH(TRUE,ISNUMBER(SEARCH(Merchant_Lookup!$A$2:$A$26,UPPER(B569))),0)),"NEEDS REVIEW")</f>
        <v>NEEDS REVIEW</v>
      </c>
      <c r="F569" t="str">
        <f>IF(E569="NEEDS REVIEW","",INDEX(Merchant_Lookup!$D$2:$D$27,MATCH(E569,Merchant_Lookup!$C$2:$C$27,0)))</f>
        <v/>
      </c>
      <c r="G569" t="str">
        <f>IF(E569="NEEDS REVIEW","",INDEX(Merchant_Lookup!$E$2:$E$27,MATCH(E569,Merchant_Lookup!$C$2:$C$27,0)))</f>
        <v/>
      </c>
      <c r="J569" t="str">
        <f t="shared" si="16"/>
        <v>NEEDS REVIEW</v>
      </c>
      <c r="K569" t="str">
        <f t="shared" si="17"/>
        <v/>
      </c>
    </row>
    <row r="570" spans="5:11" x14ac:dyDescent="0.2">
      <c r="E570" t="str" cm="1">
        <f t="array" ref="E570">IFERROR(INDEX(Merchant_Lookup!$C$2:$C$27,MATCH(TRUE,ISNUMBER(SEARCH(Merchant_Lookup!$A$2:$A$26,UPPER(B570))),0)),"NEEDS REVIEW")</f>
        <v>NEEDS REVIEW</v>
      </c>
      <c r="F570" t="str">
        <f>IF(E570="NEEDS REVIEW","",INDEX(Merchant_Lookup!$D$2:$D$27,MATCH(E570,Merchant_Lookup!$C$2:$C$27,0)))</f>
        <v/>
      </c>
      <c r="G570" t="str">
        <f>IF(E570="NEEDS REVIEW","",INDEX(Merchant_Lookup!$E$2:$E$27,MATCH(E570,Merchant_Lookup!$C$2:$C$27,0)))</f>
        <v/>
      </c>
      <c r="J570" t="str">
        <f t="shared" si="16"/>
        <v>NEEDS REVIEW</v>
      </c>
      <c r="K570" t="str">
        <f t="shared" si="17"/>
        <v/>
      </c>
    </row>
    <row r="571" spans="5:11" x14ac:dyDescent="0.2">
      <c r="E571" t="str" cm="1">
        <f t="array" ref="E571">IFERROR(INDEX(Merchant_Lookup!$C$2:$C$27,MATCH(TRUE,ISNUMBER(SEARCH(Merchant_Lookup!$A$2:$A$26,UPPER(B571))),0)),"NEEDS REVIEW")</f>
        <v>NEEDS REVIEW</v>
      </c>
      <c r="F571" t="str">
        <f>IF(E571="NEEDS REVIEW","",INDEX(Merchant_Lookup!$D$2:$D$27,MATCH(E571,Merchant_Lookup!$C$2:$C$27,0)))</f>
        <v/>
      </c>
      <c r="G571" t="str">
        <f>IF(E571="NEEDS REVIEW","",INDEX(Merchant_Lookup!$E$2:$E$27,MATCH(E571,Merchant_Lookup!$C$2:$C$27,0)))</f>
        <v/>
      </c>
      <c r="J571" t="str">
        <f t="shared" si="16"/>
        <v>NEEDS REVIEW</v>
      </c>
      <c r="K571" t="str">
        <f t="shared" si="17"/>
        <v/>
      </c>
    </row>
    <row r="572" spans="5:11" x14ac:dyDescent="0.2">
      <c r="E572" t="str" cm="1">
        <f t="array" ref="E572">IFERROR(INDEX(Merchant_Lookup!$C$2:$C$27,MATCH(TRUE,ISNUMBER(SEARCH(Merchant_Lookup!$A$2:$A$26,UPPER(B572))),0)),"NEEDS REVIEW")</f>
        <v>NEEDS REVIEW</v>
      </c>
      <c r="F572" t="str">
        <f>IF(E572="NEEDS REVIEW","",INDEX(Merchant_Lookup!$D$2:$D$27,MATCH(E572,Merchant_Lookup!$C$2:$C$27,0)))</f>
        <v/>
      </c>
      <c r="G572" t="str">
        <f>IF(E572="NEEDS REVIEW","",INDEX(Merchant_Lookup!$E$2:$E$27,MATCH(E572,Merchant_Lookup!$C$2:$C$27,0)))</f>
        <v/>
      </c>
      <c r="J572" t="str">
        <f t="shared" si="16"/>
        <v>NEEDS REVIEW</v>
      </c>
      <c r="K572" t="str">
        <f t="shared" si="17"/>
        <v/>
      </c>
    </row>
    <row r="573" spans="5:11" x14ac:dyDescent="0.2">
      <c r="E573" t="str" cm="1">
        <f t="array" ref="E573">IFERROR(INDEX(Merchant_Lookup!$C$2:$C$27,MATCH(TRUE,ISNUMBER(SEARCH(Merchant_Lookup!$A$2:$A$26,UPPER(B573))),0)),"NEEDS REVIEW")</f>
        <v>NEEDS REVIEW</v>
      </c>
      <c r="F573" t="str">
        <f>IF(E573="NEEDS REVIEW","",INDEX(Merchant_Lookup!$D$2:$D$27,MATCH(E573,Merchant_Lookup!$C$2:$C$27,0)))</f>
        <v/>
      </c>
      <c r="G573" t="str">
        <f>IF(E573="NEEDS REVIEW","",INDEX(Merchant_Lookup!$E$2:$E$27,MATCH(E573,Merchant_Lookup!$C$2:$C$27,0)))</f>
        <v/>
      </c>
      <c r="J573" t="str">
        <f t="shared" si="16"/>
        <v>NEEDS REVIEW</v>
      </c>
      <c r="K573" t="str">
        <f t="shared" si="17"/>
        <v/>
      </c>
    </row>
    <row r="574" spans="5:11" x14ac:dyDescent="0.2">
      <c r="E574" t="str" cm="1">
        <f t="array" ref="E574">IFERROR(INDEX(Merchant_Lookup!$C$2:$C$27,MATCH(TRUE,ISNUMBER(SEARCH(Merchant_Lookup!$A$2:$A$26,UPPER(B574))),0)),"NEEDS REVIEW")</f>
        <v>NEEDS REVIEW</v>
      </c>
      <c r="F574" t="str">
        <f>IF(E574="NEEDS REVIEW","",INDEX(Merchant_Lookup!$D$2:$D$27,MATCH(E574,Merchant_Lookup!$C$2:$C$27,0)))</f>
        <v/>
      </c>
      <c r="G574" t="str">
        <f>IF(E574="NEEDS REVIEW","",INDEX(Merchant_Lookup!$E$2:$E$27,MATCH(E574,Merchant_Lookup!$C$2:$C$27,0)))</f>
        <v/>
      </c>
      <c r="J574" t="str">
        <f t="shared" si="16"/>
        <v>NEEDS REVIEW</v>
      </c>
      <c r="K574" t="str">
        <f t="shared" si="17"/>
        <v/>
      </c>
    </row>
    <row r="575" spans="5:11" x14ac:dyDescent="0.2">
      <c r="E575" t="str" cm="1">
        <f t="array" ref="E575">IFERROR(INDEX(Merchant_Lookup!$C$2:$C$27,MATCH(TRUE,ISNUMBER(SEARCH(Merchant_Lookup!$A$2:$A$26,UPPER(B575))),0)),"NEEDS REVIEW")</f>
        <v>NEEDS REVIEW</v>
      </c>
      <c r="F575" t="str">
        <f>IF(E575="NEEDS REVIEW","",INDEX(Merchant_Lookup!$D$2:$D$27,MATCH(E575,Merchant_Lookup!$C$2:$C$27,0)))</f>
        <v/>
      </c>
      <c r="G575" t="str">
        <f>IF(E575="NEEDS REVIEW","",INDEX(Merchant_Lookup!$E$2:$E$27,MATCH(E575,Merchant_Lookup!$C$2:$C$27,0)))</f>
        <v/>
      </c>
      <c r="J575" t="str">
        <f t="shared" si="16"/>
        <v>NEEDS REVIEW</v>
      </c>
      <c r="K575" t="str">
        <f t="shared" si="17"/>
        <v/>
      </c>
    </row>
    <row r="576" spans="5:11" x14ac:dyDescent="0.2">
      <c r="E576" t="str" cm="1">
        <f t="array" ref="E576">IFERROR(INDEX(Merchant_Lookup!$C$2:$C$27,MATCH(TRUE,ISNUMBER(SEARCH(Merchant_Lookup!$A$2:$A$26,UPPER(B576))),0)),"NEEDS REVIEW")</f>
        <v>NEEDS REVIEW</v>
      </c>
      <c r="F576" t="str">
        <f>IF(E576="NEEDS REVIEW","",INDEX(Merchant_Lookup!$D$2:$D$27,MATCH(E576,Merchant_Lookup!$C$2:$C$27,0)))</f>
        <v/>
      </c>
      <c r="G576" t="str">
        <f>IF(E576="NEEDS REVIEW","",INDEX(Merchant_Lookup!$E$2:$E$27,MATCH(E576,Merchant_Lookup!$C$2:$C$27,0)))</f>
        <v/>
      </c>
      <c r="J576" t="str">
        <f t="shared" si="16"/>
        <v>NEEDS REVIEW</v>
      </c>
      <c r="K576" t="str">
        <f t="shared" si="17"/>
        <v/>
      </c>
    </row>
    <row r="577" spans="5:11" x14ac:dyDescent="0.2">
      <c r="E577" t="str" cm="1">
        <f t="array" ref="E577">IFERROR(INDEX(Merchant_Lookup!$C$2:$C$27,MATCH(TRUE,ISNUMBER(SEARCH(Merchant_Lookup!$A$2:$A$26,UPPER(B577))),0)),"NEEDS REVIEW")</f>
        <v>NEEDS REVIEW</v>
      </c>
      <c r="F577" t="str">
        <f>IF(E577="NEEDS REVIEW","",INDEX(Merchant_Lookup!$D$2:$D$27,MATCH(E577,Merchant_Lookup!$C$2:$C$27,0)))</f>
        <v/>
      </c>
      <c r="G577" t="str">
        <f>IF(E577="NEEDS REVIEW","",INDEX(Merchant_Lookup!$E$2:$E$27,MATCH(E577,Merchant_Lookup!$C$2:$C$27,0)))</f>
        <v/>
      </c>
      <c r="J577" t="str">
        <f t="shared" si="16"/>
        <v>NEEDS REVIEW</v>
      </c>
      <c r="K577" t="str">
        <f t="shared" si="17"/>
        <v/>
      </c>
    </row>
    <row r="578" spans="5:11" x14ac:dyDescent="0.2">
      <c r="E578" t="str" cm="1">
        <f t="array" ref="E578">IFERROR(INDEX(Merchant_Lookup!$C$2:$C$27,MATCH(TRUE,ISNUMBER(SEARCH(Merchant_Lookup!$A$2:$A$26,UPPER(B578))),0)),"NEEDS REVIEW")</f>
        <v>NEEDS REVIEW</v>
      </c>
      <c r="F578" t="str">
        <f>IF(E578="NEEDS REVIEW","",INDEX(Merchant_Lookup!$D$2:$D$27,MATCH(E578,Merchant_Lookup!$C$2:$C$27,0)))</f>
        <v/>
      </c>
      <c r="G578" t="str">
        <f>IF(E578="NEEDS REVIEW","",INDEX(Merchant_Lookup!$E$2:$E$27,MATCH(E578,Merchant_Lookup!$C$2:$C$27,0)))</f>
        <v/>
      </c>
      <c r="J578" t="str">
        <f t="shared" si="16"/>
        <v>NEEDS REVIEW</v>
      </c>
      <c r="K578" t="str">
        <f t="shared" si="17"/>
        <v/>
      </c>
    </row>
    <row r="579" spans="5:11" x14ac:dyDescent="0.2">
      <c r="E579" t="str" cm="1">
        <f t="array" ref="E579">IFERROR(INDEX(Merchant_Lookup!$C$2:$C$27,MATCH(TRUE,ISNUMBER(SEARCH(Merchant_Lookup!$A$2:$A$26,UPPER(B579))),0)),"NEEDS REVIEW")</f>
        <v>NEEDS REVIEW</v>
      </c>
      <c r="F579" t="str">
        <f>IF(E579="NEEDS REVIEW","",INDEX(Merchant_Lookup!$D$2:$D$27,MATCH(E579,Merchant_Lookup!$C$2:$C$27,0)))</f>
        <v/>
      </c>
      <c r="G579" t="str">
        <f>IF(E579="NEEDS REVIEW","",INDEX(Merchant_Lookup!$E$2:$E$27,MATCH(E579,Merchant_Lookup!$C$2:$C$27,0)))</f>
        <v/>
      </c>
      <c r="J579" t="str">
        <f t="shared" ref="J579:J642" si="18">IF(H579&lt;&gt;"",H579,E579)</f>
        <v>NEEDS REVIEW</v>
      </c>
      <c r="K579" t="str">
        <f t="shared" ref="K579:K642" si="19">IF(I579&lt;&gt;"",I579,F579)</f>
        <v/>
      </c>
    </row>
    <row r="580" spans="5:11" x14ac:dyDescent="0.2">
      <c r="E580" t="str" cm="1">
        <f t="array" ref="E580">IFERROR(INDEX(Merchant_Lookup!$C$2:$C$27,MATCH(TRUE,ISNUMBER(SEARCH(Merchant_Lookup!$A$2:$A$26,UPPER(B580))),0)),"NEEDS REVIEW")</f>
        <v>NEEDS REVIEW</v>
      </c>
      <c r="F580" t="str">
        <f>IF(E580="NEEDS REVIEW","",INDEX(Merchant_Lookup!$D$2:$D$27,MATCH(E580,Merchant_Lookup!$C$2:$C$27,0)))</f>
        <v/>
      </c>
      <c r="G580" t="str">
        <f>IF(E580="NEEDS REVIEW","",INDEX(Merchant_Lookup!$E$2:$E$27,MATCH(E580,Merchant_Lookup!$C$2:$C$27,0)))</f>
        <v/>
      </c>
      <c r="J580" t="str">
        <f t="shared" si="18"/>
        <v>NEEDS REVIEW</v>
      </c>
      <c r="K580" t="str">
        <f t="shared" si="19"/>
        <v/>
      </c>
    </row>
    <row r="581" spans="5:11" x14ac:dyDescent="0.2">
      <c r="E581" t="str" cm="1">
        <f t="array" ref="E581">IFERROR(INDEX(Merchant_Lookup!$C$2:$C$27,MATCH(TRUE,ISNUMBER(SEARCH(Merchant_Lookup!$A$2:$A$26,UPPER(B581))),0)),"NEEDS REVIEW")</f>
        <v>NEEDS REVIEW</v>
      </c>
      <c r="F581" t="str">
        <f>IF(E581="NEEDS REVIEW","",INDEX(Merchant_Lookup!$D$2:$D$27,MATCH(E581,Merchant_Lookup!$C$2:$C$27,0)))</f>
        <v/>
      </c>
      <c r="G581" t="str">
        <f>IF(E581="NEEDS REVIEW","",INDEX(Merchant_Lookup!$E$2:$E$27,MATCH(E581,Merchant_Lookup!$C$2:$C$27,0)))</f>
        <v/>
      </c>
      <c r="J581" t="str">
        <f t="shared" si="18"/>
        <v>NEEDS REVIEW</v>
      </c>
      <c r="K581" t="str">
        <f t="shared" si="19"/>
        <v/>
      </c>
    </row>
    <row r="582" spans="5:11" x14ac:dyDescent="0.2">
      <c r="E582" t="str" cm="1">
        <f t="array" ref="E582">IFERROR(INDEX(Merchant_Lookup!$C$2:$C$27,MATCH(TRUE,ISNUMBER(SEARCH(Merchant_Lookup!$A$2:$A$26,UPPER(B582))),0)),"NEEDS REVIEW")</f>
        <v>NEEDS REVIEW</v>
      </c>
      <c r="F582" t="str">
        <f>IF(E582="NEEDS REVIEW","",INDEX(Merchant_Lookup!$D$2:$D$27,MATCH(E582,Merchant_Lookup!$C$2:$C$27,0)))</f>
        <v/>
      </c>
      <c r="G582" t="str">
        <f>IF(E582="NEEDS REVIEW","",INDEX(Merchant_Lookup!$E$2:$E$27,MATCH(E582,Merchant_Lookup!$C$2:$C$27,0)))</f>
        <v/>
      </c>
      <c r="J582" t="str">
        <f t="shared" si="18"/>
        <v>NEEDS REVIEW</v>
      </c>
      <c r="K582" t="str">
        <f t="shared" si="19"/>
        <v/>
      </c>
    </row>
    <row r="583" spans="5:11" x14ac:dyDescent="0.2">
      <c r="E583" t="str" cm="1">
        <f t="array" ref="E583">IFERROR(INDEX(Merchant_Lookup!$C$2:$C$27,MATCH(TRUE,ISNUMBER(SEARCH(Merchant_Lookup!$A$2:$A$26,UPPER(B583))),0)),"NEEDS REVIEW")</f>
        <v>NEEDS REVIEW</v>
      </c>
      <c r="F583" t="str">
        <f>IF(E583="NEEDS REVIEW","",INDEX(Merchant_Lookup!$D$2:$D$27,MATCH(E583,Merchant_Lookup!$C$2:$C$27,0)))</f>
        <v/>
      </c>
      <c r="G583" t="str">
        <f>IF(E583="NEEDS REVIEW","",INDEX(Merchant_Lookup!$E$2:$E$27,MATCH(E583,Merchant_Lookup!$C$2:$C$27,0)))</f>
        <v/>
      </c>
      <c r="J583" t="str">
        <f t="shared" si="18"/>
        <v>NEEDS REVIEW</v>
      </c>
      <c r="K583" t="str">
        <f t="shared" si="19"/>
        <v/>
      </c>
    </row>
    <row r="584" spans="5:11" x14ac:dyDescent="0.2">
      <c r="E584" t="str" cm="1">
        <f t="array" ref="E584">IFERROR(INDEX(Merchant_Lookup!$C$2:$C$27,MATCH(TRUE,ISNUMBER(SEARCH(Merchant_Lookup!$A$2:$A$26,UPPER(B584))),0)),"NEEDS REVIEW")</f>
        <v>NEEDS REVIEW</v>
      </c>
      <c r="F584" t="str">
        <f>IF(E584="NEEDS REVIEW","",INDEX(Merchant_Lookup!$D$2:$D$27,MATCH(E584,Merchant_Lookup!$C$2:$C$27,0)))</f>
        <v/>
      </c>
      <c r="G584" t="str">
        <f>IF(E584="NEEDS REVIEW","",INDEX(Merchant_Lookup!$E$2:$E$27,MATCH(E584,Merchant_Lookup!$C$2:$C$27,0)))</f>
        <v/>
      </c>
      <c r="J584" t="str">
        <f t="shared" si="18"/>
        <v>NEEDS REVIEW</v>
      </c>
      <c r="K584" t="str">
        <f t="shared" si="19"/>
        <v/>
      </c>
    </row>
    <row r="585" spans="5:11" x14ac:dyDescent="0.2">
      <c r="E585" t="str" cm="1">
        <f t="array" ref="E585">IFERROR(INDEX(Merchant_Lookup!$C$2:$C$27,MATCH(TRUE,ISNUMBER(SEARCH(Merchant_Lookup!$A$2:$A$26,UPPER(B585))),0)),"NEEDS REVIEW")</f>
        <v>NEEDS REVIEW</v>
      </c>
      <c r="F585" t="str">
        <f>IF(E585="NEEDS REVIEW","",INDEX(Merchant_Lookup!$D$2:$D$27,MATCH(E585,Merchant_Lookup!$C$2:$C$27,0)))</f>
        <v/>
      </c>
      <c r="G585" t="str">
        <f>IF(E585="NEEDS REVIEW","",INDEX(Merchant_Lookup!$E$2:$E$27,MATCH(E585,Merchant_Lookup!$C$2:$C$27,0)))</f>
        <v/>
      </c>
      <c r="J585" t="str">
        <f t="shared" si="18"/>
        <v>NEEDS REVIEW</v>
      </c>
      <c r="K585" t="str">
        <f t="shared" si="19"/>
        <v/>
      </c>
    </row>
    <row r="586" spans="5:11" x14ac:dyDescent="0.2">
      <c r="E586" t="str" cm="1">
        <f t="array" ref="E586">IFERROR(INDEX(Merchant_Lookup!$C$2:$C$27,MATCH(TRUE,ISNUMBER(SEARCH(Merchant_Lookup!$A$2:$A$26,UPPER(B586))),0)),"NEEDS REVIEW")</f>
        <v>NEEDS REVIEW</v>
      </c>
      <c r="F586" t="str">
        <f>IF(E586="NEEDS REVIEW","",INDEX(Merchant_Lookup!$D$2:$D$27,MATCH(E586,Merchant_Lookup!$C$2:$C$27,0)))</f>
        <v/>
      </c>
      <c r="G586" t="str">
        <f>IF(E586="NEEDS REVIEW","",INDEX(Merchant_Lookup!$E$2:$E$27,MATCH(E586,Merchant_Lookup!$C$2:$C$27,0)))</f>
        <v/>
      </c>
      <c r="J586" t="str">
        <f t="shared" si="18"/>
        <v>NEEDS REVIEW</v>
      </c>
      <c r="K586" t="str">
        <f t="shared" si="19"/>
        <v/>
      </c>
    </row>
    <row r="587" spans="5:11" x14ac:dyDescent="0.2">
      <c r="E587" t="str" cm="1">
        <f t="array" ref="E587">IFERROR(INDEX(Merchant_Lookup!$C$2:$C$27,MATCH(TRUE,ISNUMBER(SEARCH(Merchant_Lookup!$A$2:$A$26,UPPER(B587))),0)),"NEEDS REVIEW")</f>
        <v>NEEDS REVIEW</v>
      </c>
      <c r="F587" t="str">
        <f>IF(E587="NEEDS REVIEW","",INDEX(Merchant_Lookup!$D$2:$D$27,MATCH(E587,Merchant_Lookup!$C$2:$C$27,0)))</f>
        <v/>
      </c>
      <c r="G587" t="str">
        <f>IF(E587="NEEDS REVIEW","",INDEX(Merchant_Lookup!$E$2:$E$27,MATCH(E587,Merchant_Lookup!$C$2:$C$27,0)))</f>
        <v/>
      </c>
      <c r="J587" t="str">
        <f t="shared" si="18"/>
        <v>NEEDS REVIEW</v>
      </c>
      <c r="K587" t="str">
        <f t="shared" si="19"/>
        <v/>
      </c>
    </row>
    <row r="588" spans="5:11" x14ac:dyDescent="0.2">
      <c r="E588" t="str" cm="1">
        <f t="array" ref="E588">IFERROR(INDEX(Merchant_Lookup!$C$2:$C$27,MATCH(TRUE,ISNUMBER(SEARCH(Merchant_Lookup!$A$2:$A$26,UPPER(B588))),0)),"NEEDS REVIEW")</f>
        <v>NEEDS REVIEW</v>
      </c>
      <c r="F588" t="str">
        <f>IF(E588="NEEDS REVIEW","",INDEX(Merchant_Lookup!$D$2:$D$27,MATCH(E588,Merchant_Lookup!$C$2:$C$27,0)))</f>
        <v/>
      </c>
      <c r="G588" t="str">
        <f>IF(E588="NEEDS REVIEW","",INDEX(Merchant_Lookup!$E$2:$E$27,MATCH(E588,Merchant_Lookup!$C$2:$C$27,0)))</f>
        <v/>
      </c>
      <c r="J588" t="str">
        <f t="shared" si="18"/>
        <v>NEEDS REVIEW</v>
      </c>
      <c r="K588" t="str">
        <f t="shared" si="19"/>
        <v/>
      </c>
    </row>
    <row r="589" spans="5:11" x14ac:dyDescent="0.2">
      <c r="E589" t="str" cm="1">
        <f t="array" ref="E589">IFERROR(INDEX(Merchant_Lookup!$C$2:$C$27,MATCH(TRUE,ISNUMBER(SEARCH(Merchant_Lookup!$A$2:$A$26,UPPER(B589))),0)),"NEEDS REVIEW")</f>
        <v>NEEDS REVIEW</v>
      </c>
      <c r="F589" t="str">
        <f>IF(E589="NEEDS REVIEW","",INDEX(Merchant_Lookup!$D$2:$D$27,MATCH(E589,Merchant_Lookup!$C$2:$C$27,0)))</f>
        <v/>
      </c>
      <c r="G589" t="str">
        <f>IF(E589="NEEDS REVIEW","",INDEX(Merchant_Lookup!$E$2:$E$27,MATCH(E589,Merchant_Lookup!$C$2:$C$27,0)))</f>
        <v/>
      </c>
      <c r="J589" t="str">
        <f t="shared" si="18"/>
        <v>NEEDS REVIEW</v>
      </c>
      <c r="K589" t="str">
        <f t="shared" si="19"/>
        <v/>
      </c>
    </row>
    <row r="590" spans="5:11" x14ac:dyDescent="0.2">
      <c r="E590" t="str" cm="1">
        <f t="array" ref="E590">IFERROR(INDEX(Merchant_Lookup!$C$2:$C$27,MATCH(TRUE,ISNUMBER(SEARCH(Merchant_Lookup!$A$2:$A$26,UPPER(B590))),0)),"NEEDS REVIEW")</f>
        <v>NEEDS REVIEW</v>
      </c>
      <c r="F590" t="str">
        <f>IF(E590="NEEDS REVIEW","",INDEX(Merchant_Lookup!$D$2:$D$27,MATCH(E590,Merchant_Lookup!$C$2:$C$27,0)))</f>
        <v/>
      </c>
      <c r="G590" t="str">
        <f>IF(E590="NEEDS REVIEW","",INDEX(Merchant_Lookup!$E$2:$E$27,MATCH(E590,Merchant_Lookup!$C$2:$C$27,0)))</f>
        <v/>
      </c>
      <c r="J590" t="str">
        <f t="shared" si="18"/>
        <v>NEEDS REVIEW</v>
      </c>
      <c r="K590" t="str">
        <f t="shared" si="19"/>
        <v/>
      </c>
    </row>
    <row r="591" spans="5:11" x14ac:dyDescent="0.2">
      <c r="E591" t="str" cm="1">
        <f t="array" ref="E591">IFERROR(INDEX(Merchant_Lookup!$C$2:$C$27,MATCH(TRUE,ISNUMBER(SEARCH(Merchant_Lookup!$A$2:$A$26,UPPER(B591))),0)),"NEEDS REVIEW")</f>
        <v>NEEDS REVIEW</v>
      </c>
      <c r="F591" t="str">
        <f>IF(E591="NEEDS REVIEW","",INDEX(Merchant_Lookup!$D$2:$D$27,MATCH(E591,Merchant_Lookup!$C$2:$C$27,0)))</f>
        <v/>
      </c>
      <c r="G591" t="str">
        <f>IF(E591="NEEDS REVIEW","",INDEX(Merchant_Lookup!$E$2:$E$27,MATCH(E591,Merchant_Lookup!$C$2:$C$27,0)))</f>
        <v/>
      </c>
      <c r="J591" t="str">
        <f t="shared" si="18"/>
        <v>NEEDS REVIEW</v>
      </c>
      <c r="K591" t="str">
        <f t="shared" si="19"/>
        <v/>
      </c>
    </row>
    <row r="592" spans="5:11" x14ac:dyDescent="0.2">
      <c r="E592" t="str" cm="1">
        <f t="array" ref="E592">IFERROR(INDEX(Merchant_Lookup!$C$2:$C$27,MATCH(TRUE,ISNUMBER(SEARCH(Merchant_Lookup!$A$2:$A$26,UPPER(B592))),0)),"NEEDS REVIEW")</f>
        <v>NEEDS REVIEW</v>
      </c>
      <c r="F592" t="str">
        <f>IF(E592="NEEDS REVIEW","",INDEX(Merchant_Lookup!$D$2:$D$27,MATCH(E592,Merchant_Lookup!$C$2:$C$27,0)))</f>
        <v/>
      </c>
      <c r="G592" t="str">
        <f>IF(E592="NEEDS REVIEW","",INDEX(Merchant_Lookup!$E$2:$E$27,MATCH(E592,Merchant_Lookup!$C$2:$C$27,0)))</f>
        <v/>
      </c>
      <c r="J592" t="str">
        <f t="shared" si="18"/>
        <v>NEEDS REVIEW</v>
      </c>
      <c r="K592" t="str">
        <f t="shared" si="19"/>
        <v/>
      </c>
    </row>
    <row r="593" spans="5:11" x14ac:dyDescent="0.2">
      <c r="E593" t="str" cm="1">
        <f t="array" ref="E593">IFERROR(INDEX(Merchant_Lookup!$C$2:$C$27,MATCH(TRUE,ISNUMBER(SEARCH(Merchant_Lookup!$A$2:$A$26,UPPER(B593))),0)),"NEEDS REVIEW")</f>
        <v>NEEDS REVIEW</v>
      </c>
      <c r="F593" t="str">
        <f>IF(E593="NEEDS REVIEW","",INDEX(Merchant_Lookup!$D$2:$D$27,MATCH(E593,Merchant_Lookup!$C$2:$C$27,0)))</f>
        <v/>
      </c>
      <c r="G593" t="str">
        <f>IF(E593="NEEDS REVIEW","",INDEX(Merchant_Lookup!$E$2:$E$27,MATCH(E593,Merchant_Lookup!$C$2:$C$27,0)))</f>
        <v/>
      </c>
      <c r="J593" t="str">
        <f t="shared" si="18"/>
        <v>NEEDS REVIEW</v>
      </c>
      <c r="K593" t="str">
        <f t="shared" si="19"/>
        <v/>
      </c>
    </row>
    <row r="594" spans="5:11" x14ac:dyDescent="0.2">
      <c r="E594" t="str" cm="1">
        <f t="array" ref="E594">IFERROR(INDEX(Merchant_Lookup!$C$2:$C$27,MATCH(TRUE,ISNUMBER(SEARCH(Merchant_Lookup!$A$2:$A$26,UPPER(B594))),0)),"NEEDS REVIEW")</f>
        <v>NEEDS REVIEW</v>
      </c>
      <c r="F594" t="str">
        <f>IF(E594="NEEDS REVIEW","",INDEX(Merchant_Lookup!$D$2:$D$27,MATCH(E594,Merchant_Lookup!$C$2:$C$27,0)))</f>
        <v/>
      </c>
      <c r="G594" t="str">
        <f>IF(E594="NEEDS REVIEW","",INDEX(Merchant_Lookup!$E$2:$E$27,MATCH(E594,Merchant_Lookup!$C$2:$C$27,0)))</f>
        <v/>
      </c>
      <c r="J594" t="str">
        <f t="shared" si="18"/>
        <v>NEEDS REVIEW</v>
      </c>
      <c r="K594" t="str">
        <f t="shared" si="19"/>
        <v/>
      </c>
    </row>
    <row r="595" spans="5:11" x14ac:dyDescent="0.2">
      <c r="E595" t="str" cm="1">
        <f t="array" ref="E595">IFERROR(INDEX(Merchant_Lookup!$C$2:$C$27,MATCH(TRUE,ISNUMBER(SEARCH(Merchant_Lookup!$A$2:$A$26,UPPER(B595))),0)),"NEEDS REVIEW")</f>
        <v>NEEDS REVIEW</v>
      </c>
      <c r="F595" t="str">
        <f>IF(E595="NEEDS REVIEW","",INDEX(Merchant_Lookup!$D$2:$D$27,MATCH(E595,Merchant_Lookup!$C$2:$C$27,0)))</f>
        <v/>
      </c>
      <c r="G595" t="str">
        <f>IF(E595="NEEDS REVIEW","",INDEX(Merchant_Lookup!$E$2:$E$27,MATCH(E595,Merchant_Lookup!$C$2:$C$27,0)))</f>
        <v/>
      </c>
      <c r="J595" t="str">
        <f t="shared" si="18"/>
        <v>NEEDS REVIEW</v>
      </c>
      <c r="K595" t="str">
        <f t="shared" si="19"/>
        <v/>
      </c>
    </row>
    <row r="596" spans="5:11" x14ac:dyDescent="0.2">
      <c r="E596" t="str" cm="1">
        <f t="array" ref="E596">IFERROR(INDEX(Merchant_Lookup!$C$2:$C$27,MATCH(TRUE,ISNUMBER(SEARCH(Merchant_Lookup!$A$2:$A$26,UPPER(B596))),0)),"NEEDS REVIEW")</f>
        <v>NEEDS REVIEW</v>
      </c>
      <c r="F596" t="str">
        <f>IF(E596="NEEDS REVIEW","",INDEX(Merchant_Lookup!$D$2:$D$27,MATCH(E596,Merchant_Lookup!$C$2:$C$27,0)))</f>
        <v/>
      </c>
      <c r="G596" t="str">
        <f>IF(E596="NEEDS REVIEW","",INDEX(Merchant_Lookup!$E$2:$E$27,MATCH(E596,Merchant_Lookup!$C$2:$C$27,0)))</f>
        <v/>
      </c>
      <c r="J596" t="str">
        <f t="shared" si="18"/>
        <v>NEEDS REVIEW</v>
      </c>
      <c r="K596" t="str">
        <f t="shared" si="19"/>
        <v/>
      </c>
    </row>
    <row r="597" spans="5:11" x14ac:dyDescent="0.2">
      <c r="E597" t="str" cm="1">
        <f t="array" ref="E597">IFERROR(INDEX(Merchant_Lookup!$C$2:$C$27,MATCH(TRUE,ISNUMBER(SEARCH(Merchant_Lookup!$A$2:$A$26,UPPER(B597))),0)),"NEEDS REVIEW")</f>
        <v>NEEDS REVIEW</v>
      </c>
      <c r="F597" t="str">
        <f>IF(E597="NEEDS REVIEW","",INDEX(Merchant_Lookup!$D$2:$D$27,MATCH(E597,Merchant_Lookup!$C$2:$C$27,0)))</f>
        <v/>
      </c>
      <c r="G597" t="str">
        <f>IF(E597="NEEDS REVIEW","",INDEX(Merchant_Lookup!$E$2:$E$27,MATCH(E597,Merchant_Lookup!$C$2:$C$27,0)))</f>
        <v/>
      </c>
      <c r="J597" t="str">
        <f t="shared" si="18"/>
        <v>NEEDS REVIEW</v>
      </c>
      <c r="K597" t="str">
        <f t="shared" si="19"/>
        <v/>
      </c>
    </row>
    <row r="598" spans="5:11" x14ac:dyDescent="0.2">
      <c r="E598" t="str" cm="1">
        <f t="array" ref="E598">IFERROR(INDEX(Merchant_Lookup!$C$2:$C$27,MATCH(TRUE,ISNUMBER(SEARCH(Merchant_Lookup!$A$2:$A$26,UPPER(B598))),0)),"NEEDS REVIEW")</f>
        <v>NEEDS REVIEW</v>
      </c>
      <c r="F598" t="str">
        <f>IF(E598="NEEDS REVIEW","",INDEX(Merchant_Lookup!$D$2:$D$27,MATCH(E598,Merchant_Lookup!$C$2:$C$27,0)))</f>
        <v/>
      </c>
      <c r="G598" t="str">
        <f>IF(E598="NEEDS REVIEW","",INDEX(Merchant_Lookup!$E$2:$E$27,MATCH(E598,Merchant_Lookup!$C$2:$C$27,0)))</f>
        <v/>
      </c>
      <c r="J598" t="str">
        <f t="shared" si="18"/>
        <v>NEEDS REVIEW</v>
      </c>
      <c r="K598" t="str">
        <f t="shared" si="19"/>
        <v/>
      </c>
    </row>
    <row r="599" spans="5:11" x14ac:dyDescent="0.2">
      <c r="E599" t="str" cm="1">
        <f t="array" ref="E599">IFERROR(INDEX(Merchant_Lookup!$C$2:$C$27,MATCH(TRUE,ISNUMBER(SEARCH(Merchant_Lookup!$A$2:$A$26,UPPER(B599))),0)),"NEEDS REVIEW")</f>
        <v>NEEDS REVIEW</v>
      </c>
      <c r="F599" t="str">
        <f>IF(E599="NEEDS REVIEW","",INDEX(Merchant_Lookup!$D$2:$D$27,MATCH(E599,Merchant_Lookup!$C$2:$C$27,0)))</f>
        <v/>
      </c>
      <c r="G599" t="str">
        <f>IF(E599="NEEDS REVIEW","",INDEX(Merchant_Lookup!$E$2:$E$27,MATCH(E599,Merchant_Lookup!$C$2:$C$27,0)))</f>
        <v/>
      </c>
      <c r="J599" t="str">
        <f t="shared" si="18"/>
        <v>NEEDS REVIEW</v>
      </c>
      <c r="K599" t="str">
        <f t="shared" si="19"/>
        <v/>
      </c>
    </row>
    <row r="600" spans="5:11" x14ac:dyDescent="0.2">
      <c r="E600" t="str" cm="1">
        <f t="array" ref="E600">IFERROR(INDEX(Merchant_Lookup!$C$2:$C$27,MATCH(TRUE,ISNUMBER(SEARCH(Merchant_Lookup!$A$2:$A$26,UPPER(B600))),0)),"NEEDS REVIEW")</f>
        <v>NEEDS REVIEW</v>
      </c>
      <c r="F600" t="str">
        <f>IF(E600="NEEDS REVIEW","",INDEX(Merchant_Lookup!$D$2:$D$27,MATCH(E600,Merchant_Lookup!$C$2:$C$27,0)))</f>
        <v/>
      </c>
      <c r="G600" t="str">
        <f>IF(E600="NEEDS REVIEW","",INDEX(Merchant_Lookup!$E$2:$E$27,MATCH(E600,Merchant_Lookup!$C$2:$C$27,0)))</f>
        <v/>
      </c>
      <c r="J600" t="str">
        <f t="shared" si="18"/>
        <v>NEEDS REVIEW</v>
      </c>
      <c r="K600" t="str">
        <f t="shared" si="19"/>
        <v/>
      </c>
    </row>
    <row r="601" spans="5:11" x14ac:dyDescent="0.2">
      <c r="E601" t="str" cm="1">
        <f t="array" ref="E601">IFERROR(INDEX(Merchant_Lookup!$C$2:$C$27,MATCH(TRUE,ISNUMBER(SEARCH(Merchant_Lookup!$A$2:$A$26,UPPER(B601))),0)),"NEEDS REVIEW")</f>
        <v>NEEDS REVIEW</v>
      </c>
      <c r="F601" t="str">
        <f>IF(E601="NEEDS REVIEW","",INDEX(Merchant_Lookup!$D$2:$D$27,MATCH(E601,Merchant_Lookup!$C$2:$C$27,0)))</f>
        <v/>
      </c>
      <c r="G601" t="str">
        <f>IF(E601="NEEDS REVIEW","",INDEX(Merchant_Lookup!$E$2:$E$27,MATCH(E601,Merchant_Lookup!$C$2:$C$27,0)))</f>
        <v/>
      </c>
      <c r="J601" t="str">
        <f t="shared" si="18"/>
        <v>NEEDS REVIEW</v>
      </c>
      <c r="K601" t="str">
        <f t="shared" si="19"/>
        <v/>
      </c>
    </row>
    <row r="602" spans="5:11" x14ac:dyDescent="0.2">
      <c r="E602" t="str" cm="1">
        <f t="array" ref="E602">IFERROR(INDEX(Merchant_Lookup!$C$2:$C$27,MATCH(TRUE,ISNUMBER(SEARCH(Merchant_Lookup!$A$2:$A$26,UPPER(B602))),0)),"NEEDS REVIEW")</f>
        <v>NEEDS REVIEW</v>
      </c>
      <c r="F602" t="str">
        <f>IF(E602="NEEDS REVIEW","",INDEX(Merchant_Lookup!$D$2:$D$27,MATCH(E602,Merchant_Lookup!$C$2:$C$27,0)))</f>
        <v/>
      </c>
      <c r="G602" t="str">
        <f>IF(E602="NEEDS REVIEW","",INDEX(Merchant_Lookup!$E$2:$E$27,MATCH(E602,Merchant_Lookup!$C$2:$C$27,0)))</f>
        <v/>
      </c>
      <c r="J602" t="str">
        <f t="shared" si="18"/>
        <v>NEEDS REVIEW</v>
      </c>
      <c r="K602" t="str">
        <f t="shared" si="19"/>
        <v/>
      </c>
    </row>
    <row r="603" spans="5:11" x14ac:dyDescent="0.2">
      <c r="E603" t="str" cm="1">
        <f t="array" ref="E603">IFERROR(INDEX(Merchant_Lookup!$C$2:$C$27,MATCH(TRUE,ISNUMBER(SEARCH(Merchant_Lookup!$A$2:$A$26,UPPER(B603))),0)),"NEEDS REVIEW")</f>
        <v>NEEDS REVIEW</v>
      </c>
      <c r="F603" t="str">
        <f>IF(E603="NEEDS REVIEW","",INDEX(Merchant_Lookup!$D$2:$D$27,MATCH(E603,Merchant_Lookup!$C$2:$C$27,0)))</f>
        <v/>
      </c>
      <c r="G603" t="str">
        <f>IF(E603="NEEDS REVIEW","",INDEX(Merchant_Lookup!$E$2:$E$27,MATCH(E603,Merchant_Lookup!$C$2:$C$27,0)))</f>
        <v/>
      </c>
      <c r="J603" t="str">
        <f t="shared" si="18"/>
        <v>NEEDS REVIEW</v>
      </c>
      <c r="K603" t="str">
        <f t="shared" si="19"/>
        <v/>
      </c>
    </row>
    <row r="604" spans="5:11" x14ac:dyDescent="0.2">
      <c r="E604" t="str" cm="1">
        <f t="array" ref="E604">IFERROR(INDEX(Merchant_Lookup!$C$2:$C$27,MATCH(TRUE,ISNUMBER(SEARCH(Merchant_Lookup!$A$2:$A$26,UPPER(B604))),0)),"NEEDS REVIEW")</f>
        <v>NEEDS REVIEW</v>
      </c>
      <c r="F604" t="str">
        <f>IF(E604="NEEDS REVIEW","",INDEX(Merchant_Lookup!$D$2:$D$27,MATCH(E604,Merchant_Lookup!$C$2:$C$27,0)))</f>
        <v/>
      </c>
      <c r="G604" t="str">
        <f>IF(E604="NEEDS REVIEW","",INDEX(Merchant_Lookup!$E$2:$E$27,MATCH(E604,Merchant_Lookup!$C$2:$C$27,0)))</f>
        <v/>
      </c>
      <c r="J604" t="str">
        <f t="shared" si="18"/>
        <v>NEEDS REVIEW</v>
      </c>
      <c r="K604" t="str">
        <f t="shared" si="19"/>
        <v/>
      </c>
    </row>
    <row r="605" spans="5:11" x14ac:dyDescent="0.2">
      <c r="E605" t="str" cm="1">
        <f t="array" ref="E605">IFERROR(INDEX(Merchant_Lookup!$C$2:$C$27,MATCH(TRUE,ISNUMBER(SEARCH(Merchant_Lookup!$A$2:$A$26,UPPER(B605))),0)),"NEEDS REVIEW")</f>
        <v>NEEDS REVIEW</v>
      </c>
      <c r="F605" t="str">
        <f>IF(E605="NEEDS REVIEW","",INDEX(Merchant_Lookup!$D$2:$D$27,MATCH(E605,Merchant_Lookup!$C$2:$C$27,0)))</f>
        <v/>
      </c>
      <c r="G605" t="str">
        <f>IF(E605="NEEDS REVIEW","",INDEX(Merchant_Lookup!$E$2:$E$27,MATCH(E605,Merchant_Lookup!$C$2:$C$27,0)))</f>
        <v/>
      </c>
      <c r="J605" t="str">
        <f t="shared" si="18"/>
        <v>NEEDS REVIEW</v>
      </c>
      <c r="K605" t="str">
        <f t="shared" si="19"/>
        <v/>
      </c>
    </row>
    <row r="606" spans="5:11" x14ac:dyDescent="0.2">
      <c r="E606" t="str" cm="1">
        <f t="array" ref="E606">IFERROR(INDEX(Merchant_Lookup!$C$2:$C$27,MATCH(TRUE,ISNUMBER(SEARCH(Merchant_Lookup!$A$2:$A$26,UPPER(B606))),0)),"NEEDS REVIEW")</f>
        <v>NEEDS REVIEW</v>
      </c>
      <c r="F606" t="str">
        <f>IF(E606="NEEDS REVIEW","",INDEX(Merchant_Lookup!$D$2:$D$27,MATCH(E606,Merchant_Lookup!$C$2:$C$27,0)))</f>
        <v/>
      </c>
      <c r="G606" t="str">
        <f>IF(E606="NEEDS REVIEW","",INDEX(Merchant_Lookup!$E$2:$E$27,MATCH(E606,Merchant_Lookup!$C$2:$C$27,0)))</f>
        <v/>
      </c>
      <c r="J606" t="str">
        <f t="shared" si="18"/>
        <v>NEEDS REVIEW</v>
      </c>
      <c r="K606" t="str">
        <f t="shared" si="19"/>
        <v/>
      </c>
    </row>
    <row r="607" spans="5:11" x14ac:dyDescent="0.2">
      <c r="E607" t="str" cm="1">
        <f t="array" ref="E607">IFERROR(INDEX(Merchant_Lookup!$C$2:$C$27,MATCH(TRUE,ISNUMBER(SEARCH(Merchant_Lookup!$A$2:$A$26,UPPER(B607))),0)),"NEEDS REVIEW")</f>
        <v>NEEDS REVIEW</v>
      </c>
      <c r="F607" t="str">
        <f>IF(E607="NEEDS REVIEW","",INDEX(Merchant_Lookup!$D$2:$D$27,MATCH(E607,Merchant_Lookup!$C$2:$C$27,0)))</f>
        <v/>
      </c>
      <c r="G607" t="str">
        <f>IF(E607="NEEDS REVIEW","",INDEX(Merchant_Lookup!$E$2:$E$27,MATCH(E607,Merchant_Lookup!$C$2:$C$27,0)))</f>
        <v/>
      </c>
      <c r="J607" t="str">
        <f t="shared" si="18"/>
        <v>NEEDS REVIEW</v>
      </c>
      <c r="K607" t="str">
        <f t="shared" si="19"/>
        <v/>
      </c>
    </row>
    <row r="608" spans="5:11" x14ac:dyDescent="0.2">
      <c r="E608" t="str" cm="1">
        <f t="array" ref="E608">IFERROR(INDEX(Merchant_Lookup!$C$2:$C$27,MATCH(TRUE,ISNUMBER(SEARCH(Merchant_Lookup!$A$2:$A$26,UPPER(B608))),0)),"NEEDS REVIEW")</f>
        <v>NEEDS REVIEW</v>
      </c>
      <c r="F608" t="str">
        <f>IF(E608="NEEDS REVIEW","",INDEX(Merchant_Lookup!$D$2:$D$27,MATCH(E608,Merchant_Lookup!$C$2:$C$27,0)))</f>
        <v/>
      </c>
      <c r="G608" t="str">
        <f>IF(E608="NEEDS REVIEW","",INDEX(Merchant_Lookup!$E$2:$E$27,MATCH(E608,Merchant_Lookup!$C$2:$C$27,0)))</f>
        <v/>
      </c>
      <c r="J608" t="str">
        <f t="shared" si="18"/>
        <v>NEEDS REVIEW</v>
      </c>
      <c r="K608" t="str">
        <f t="shared" si="19"/>
        <v/>
      </c>
    </row>
    <row r="609" spans="5:11" x14ac:dyDescent="0.2">
      <c r="E609" t="str" cm="1">
        <f t="array" ref="E609">IFERROR(INDEX(Merchant_Lookup!$C$2:$C$27,MATCH(TRUE,ISNUMBER(SEARCH(Merchant_Lookup!$A$2:$A$26,UPPER(B609))),0)),"NEEDS REVIEW")</f>
        <v>NEEDS REVIEW</v>
      </c>
      <c r="F609" t="str">
        <f>IF(E609="NEEDS REVIEW","",INDEX(Merchant_Lookup!$D$2:$D$27,MATCH(E609,Merchant_Lookup!$C$2:$C$27,0)))</f>
        <v/>
      </c>
      <c r="G609" t="str">
        <f>IF(E609="NEEDS REVIEW","",INDEX(Merchant_Lookup!$E$2:$E$27,MATCH(E609,Merchant_Lookup!$C$2:$C$27,0)))</f>
        <v/>
      </c>
      <c r="J609" t="str">
        <f t="shared" si="18"/>
        <v>NEEDS REVIEW</v>
      </c>
      <c r="K609" t="str">
        <f t="shared" si="19"/>
        <v/>
      </c>
    </row>
    <row r="610" spans="5:11" x14ac:dyDescent="0.2">
      <c r="E610" t="str" cm="1">
        <f t="array" ref="E610">IFERROR(INDEX(Merchant_Lookup!$C$2:$C$27,MATCH(TRUE,ISNUMBER(SEARCH(Merchant_Lookup!$A$2:$A$26,UPPER(B610))),0)),"NEEDS REVIEW")</f>
        <v>NEEDS REVIEW</v>
      </c>
      <c r="F610" t="str">
        <f>IF(E610="NEEDS REVIEW","",INDEX(Merchant_Lookup!$D$2:$D$27,MATCH(E610,Merchant_Lookup!$C$2:$C$27,0)))</f>
        <v/>
      </c>
      <c r="G610" t="str">
        <f>IF(E610="NEEDS REVIEW","",INDEX(Merchant_Lookup!$E$2:$E$27,MATCH(E610,Merchant_Lookup!$C$2:$C$27,0)))</f>
        <v/>
      </c>
      <c r="J610" t="str">
        <f t="shared" si="18"/>
        <v>NEEDS REVIEW</v>
      </c>
      <c r="K610" t="str">
        <f t="shared" si="19"/>
        <v/>
      </c>
    </row>
    <row r="611" spans="5:11" x14ac:dyDescent="0.2">
      <c r="E611" t="str" cm="1">
        <f t="array" ref="E611">IFERROR(INDEX(Merchant_Lookup!$C$2:$C$27,MATCH(TRUE,ISNUMBER(SEARCH(Merchant_Lookup!$A$2:$A$26,UPPER(B611))),0)),"NEEDS REVIEW")</f>
        <v>NEEDS REVIEW</v>
      </c>
      <c r="F611" t="str">
        <f>IF(E611="NEEDS REVIEW","",INDEX(Merchant_Lookup!$D$2:$D$27,MATCH(E611,Merchant_Lookup!$C$2:$C$27,0)))</f>
        <v/>
      </c>
      <c r="G611" t="str">
        <f>IF(E611="NEEDS REVIEW","",INDEX(Merchant_Lookup!$E$2:$E$27,MATCH(E611,Merchant_Lookup!$C$2:$C$27,0)))</f>
        <v/>
      </c>
      <c r="J611" t="str">
        <f t="shared" si="18"/>
        <v>NEEDS REVIEW</v>
      </c>
      <c r="K611" t="str">
        <f t="shared" si="19"/>
        <v/>
      </c>
    </row>
    <row r="612" spans="5:11" x14ac:dyDescent="0.2">
      <c r="E612" t="str" cm="1">
        <f t="array" ref="E612">IFERROR(INDEX(Merchant_Lookup!$C$2:$C$27,MATCH(TRUE,ISNUMBER(SEARCH(Merchant_Lookup!$A$2:$A$26,UPPER(B612))),0)),"NEEDS REVIEW")</f>
        <v>NEEDS REVIEW</v>
      </c>
      <c r="F612" t="str">
        <f>IF(E612="NEEDS REVIEW","",INDEX(Merchant_Lookup!$D$2:$D$27,MATCH(E612,Merchant_Lookup!$C$2:$C$27,0)))</f>
        <v/>
      </c>
      <c r="G612" t="str">
        <f>IF(E612="NEEDS REVIEW","",INDEX(Merchant_Lookup!$E$2:$E$27,MATCH(E612,Merchant_Lookup!$C$2:$C$27,0)))</f>
        <v/>
      </c>
      <c r="J612" t="str">
        <f t="shared" si="18"/>
        <v>NEEDS REVIEW</v>
      </c>
      <c r="K612" t="str">
        <f t="shared" si="19"/>
        <v/>
      </c>
    </row>
    <row r="613" spans="5:11" x14ac:dyDescent="0.2">
      <c r="E613" t="str" cm="1">
        <f t="array" ref="E613">IFERROR(INDEX(Merchant_Lookup!$C$2:$C$27,MATCH(TRUE,ISNUMBER(SEARCH(Merchant_Lookup!$A$2:$A$26,UPPER(B613))),0)),"NEEDS REVIEW")</f>
        <v>NEEDS REVIEW</v>
      </c>
      <c r="F613" t="str">
        <f>IF(E613="NEEDS REVIEW","",INDEX(Merchant_Lookup!$D$2:$D$27,MATCH(E613,Merchant_Lookup!$C$2:$C$27,0)))</f>
        <v/>
      </c>
      <c r="G613" t="str">
        <f>IF(E613="NEEDS REVIEW","",INDEX(Merchant_Lookup!$E$2:$E$27,MATCH(E613,Merchant_Lookup!$C$2:$C$27,0)))</f>
        <v/>
      </c>
      <c r="J613" t="str">
        <f t="shared" si="18"/>
        <v>NEEDS REVIEW</v>
      </c>
      <c r="K613" t="str">
        <f t="shared" si="19"/>
        <v/>
      </c>
    </row>
    <row r="614" spans="5:11" x14ac:dyDescent="0.2">
      <c r="E614" t="str" cm="1">
        <f t="array" ref="E614">IFERROR(INDEX(Merchant_Lookup!$C$2:$C$27,MATCH(TRUE,ISNUMBER(SEARCH(Merchant_Lookup!$A$2:$A$26,UPPER(B614))),0)),"NEEDS REVIEW")</f>
        <v>NEEDS REVIEW</v>
      </c>
      <c r="F614" t="str">
        <f>IF(E614="NEEDS REVIEW","",INDEX(Merchant_Lookup!$D$2:$D$27,MATCH(E614,Merchant_Lookup!$C$2:$C$27,0)))</f>
        <v/>
      </c>
      <c r="G614" t="str">
        <f>IF(E614="NEEDS REVIEW","",INDEX(Merchant_Lookup!$E$2:$E$27,MATCH(E614,Merchant_Lookup!$C$2:$C$27,0)))</f>
        <v/>
      </c>
      <c r="J614" t="str">
        <f t="shared" si="18"/>
        <v>NEEDS REVIEW</v>
      </c>
      <c r="K614" t="str">
        <f t="shared" si="19"/>
        <v/>
      </c>
    </row>
    <row r="615" spans="5:11" x14ac:dyDescent="0.2">
      <c r="E615" t="str" cm="1">
        <f t="array" ref="E615">IFERROR(INDEX(Merchant_Lookup!$C$2:$C$27,MATCH(TRUE,ISNUMBER(SEARCH(Merchant_Lookup!$A$2:$A$26,UPPER(B615))),0)),"NEEDS REVIEW")</f>
        <v>NEEDS REVIEW</v>
      </c>
      <c r="F615" t="str">
        <f>IF(E615="NEEDS REVIEW","",INDEX(Merchant_Lookup!$D$2:$D$27,MATCH(E615,Merchant_Lookup!$C$2:$C$27,0)))</f>
        <v/>
      </c>
      <c r="G615" t="str">
        <f>IF(E615="NEEDS REVIEW","",INDEX(Merchant_Lookup!$E$2:$E$27,MATCH(E615,Merchant_Lookup!$C$2:$C$27,0)))</f>
        <v/>
      </c>
      <c r="J615" t="str">
        <f t="shared" si="18"/>
        <v>NEEDS REVIEW</v>
      </c>
      <c r="K615" t="str">
        <f t="shared" si="19"/>
        <v/>
      </c>
    </row>
    <row r="616" spans="5:11" x14ac:dyDescent="0.2">
      <c r="E616" t="str" cm="1">
        <f t="array" ref="E616">IFERROR(INDEX(Merchant_Lookup!$C$2:$C$27,MATCH(TRUE,ISNUMBER(SEARCH(Merchant_Lookup!$A$2:$A$26,UPPER(B616))),0)),"NEEDS REVIEW")</f>
        <v>NEEDS REVIEW</v>
      </c>
      <c r="F616" t="str">
        <f>IF(E616="NEEDS REVIEW","",INDEX(Merchant_Lookup!$D$2:$D$27,MATCH(E616,Merchant_Lookup!$C$2:$C$27,0)))</f>
        <v/>
      </c>
      <c r="G616" t="str">
        <f>IF(E616="NEEDS REVIEW","",INDEX(Merchant_Lookup!$E$2:$E$27,MATCH(E616,Merchant_Lookup!$C$2:$C$27,0)))</f>
        <v/>
      </c>
      <c r="J616" t="str">
        <f t="shared" si="18"/>
        <v>NEEDS REVIEW</v>
      </c>
      <c r="K616" t="str">
        <f t="shared" si="19"/>
        <v/>
      </c>
    </row>
    <row r="617" spans="5:11" x14ac:dyDescent="0.2">
      <c r="E617" t="str" cm="1">
        <f t="array" ref="E617">IFERROR(INDEX(Merchant_Lookup!$C$2:$C$27,MATCH(TRUE,ISNUMBER(SEARCH(Merchant_Lookup!$A$2:$A$26,UPPER(B617))),0)),"NEEDS REVIEW")</f>
        <v>NEEDS REVIEW</v>
      </c>
      <c r="F617" t="str">
        <f>IF(E617="NEEDS REVIEW","",INDEX(Merchant_Lookup!$D$2:$D$27,MATCH(E617,Merchant_Lookup!$C$2:$C$27,0)))</f>
        <v/>
      </c>
      <c r="G617" t="str">
        <f>IF(E617="NEEDS REVIEW","",INDEX(Merchant_Lookup!$E$2:$E$27,MATCH(E617,Merchant_Lookup!$C$2:$C$27,0)))</f>
        <v/>
      </c>
      <c r="J617" t="str">
        <f t="shared" si="18"/>
        <v>NEEDS REVIEW</v>
      </c>
      <c r="K617" t="str">
        <f t="shared" si="19"/>
        <v/>
      </c>
    </row>
    <row r="618" spans="5:11" x14ac:dyDescent="0.2">
      <c r="E618" t="str" cm="1">
        <f t="array" ref="E618">IFERROR(INDEX(Merchant_Lookup!$C$2:$C$27,MATCH(TRUE,ISNUMBER(SEARCH(Merchant_Lookup!$A$2:$A$26,UPPER(B618))),0)),"NEEDS REVIEW")</f>
        <v>NEEDS REVIEW</v>
      </c>
      <c r="F618" t="str">
        <f>IF(E618="NEEDS REVIEW","",INDEX(Merchant_Lookup!$D$2:$D$27,MATCH(E618,Merchant_Lookup!$C$2:$C$27,0)))</f>
        <v/>
      </c>
      <c r="G618" t="str">
        <f>IF(E618="NEEDS REVIEW","",INDEX(Merchant_Lookup!$E$2:$E$27,MATCH(E618,Merchant_Lookup!$C$2:$C$27,0)))</f>
        <v/>
      </c>
      <c r="J618" t="str">
        <f t="shared" si="18"/>
        <v>NEEDS REVIEW</v>
      </c>
      <c r="K618" t="str">
        <f t="shared" si="19"/>
        <v/>
      </c>
    </row>
    <row r="619" spans="5:11" x14ac:dyDescent="0.2">
      <c r="E619" t="str" cm="1">
        <f t="array" ref="E619">IFERROR(INDEX(Merchant_Lookup!$C$2:$C$27,MATCH(TRUE,ISNUMBER(SEARCH(Merchant_Lookup!$A$2:$A$26,UPPER(B619))),0)),"NEEDS REVIEW")</f>
        <v>NEEDS REVIEW</v>
      </c>
      <c r="F619" t="str">
        <f>IF(E619="NEEDS REVIEW","",INDEX(Merchant_Lookup!$D$2:$D$27,MATCH(E619,Merchant_Lookup!$C$2:$C$27,0)))</f>
        <v/>
      </c>
      <c r="G619" t="str">
        <f>IF(E619="NEEDS REVIEW","",INDEX(Merchant_Lookup!$E$2:$E$27,MATCH(E619,Merchant_Lookup!$C$2:$C$27,0)))</f>
        <v/>
      </c>
      <c r="J619" t="str">
        <f t="shared" si="18"/>
        <v>NEEDS REVIEW</v>
      </c>
      <c r="K619" t="str">
        <f t="shared" si="19"/>
        <v/>
      </c>
    </row>
    <row r="620" spans="5:11" x14ac:dyDescent="0.2">
      <c r="E620" t="str" cm="1">
        <f t="array" ref="E620">IFERROR(INDEX(Merchant_Lookup!$C$2:$C$27,MATCH(TRUE,ISNUMBER(SEARCH(Merchant_Lookup!$A$2:$A$26,UPPER(B620))),0)),"NEEDS REVIEW")</f>
        <v>NEEDS REVIEW</v>
      </c>
      <c r="F620" t="str">
        <f>IF(E620="NEEDS REVIEW","",INDEX(Merchant_Lookup!$D$2:$D$27,MATCH(E620,Merchant_Lookup!$C$2:$C$27,0)))</f>
        <v/>
      </c>
      <c r="G620" t="str">
        <f>IF(E620="NEEDS REVIEW","",INDEX(Merchant_Lookup!$E$2:$E$27,MATCH(E620,Merchant_Lookup!$C$2:$C$27,0)))</f>
        <v/>
      </c>
      <c r="J620" t="str">
        <f t="shared" si="18"/>
        <v>NEEDS REVIEW</v>
      </c>
      <c r="K620" t="str">
        <f t="shared" si="19"/>
        <v/>
      </c>
    </row>
    <row r="621" spans="5:11" x14ac:dyDescent="0.2">
      <c r="E621" t="str" cm="1">
        <f t="array" ref="E621">IFERROR(INDEX(Merchant_Lookup!$C$2:$C$27,MATCH(TRUE,ISNUMBER(SEARCH(Merchant_Lookup!$A$2:$A$26,UPPER(B621))),0)),"NEEDS REVIEW")</f>
        <v>NEEDS REVIEW</v>
      </c>
      <c r="F621" t="str">
        <f>IF(E621="NEEDS REVIEW","",INDEX(Merchant_Lookup!$D$2:$D$27,MATCH(E621,Merchant_Lookup!$C$2:$C$27,0)))</f>
        <v/>
      </c>
      <c r="G621" t="str">
        <f>IF(E621="NEEDS REVIEW","",INDEX(Merchant_Lookup!$E$2:$E$27,MATCH(E621,Merchant_Lookup!$C$2:$C$27,0)))</f>
        <v/>
      </c>
      <c r="J621" t="str">
        <f t="shared" si="18"/>
        <v>NEEDS REVIEW</v>
      </c>
      <c r="K621" t="str">
        <f t="shared" si="19"/>
        <v/>
      </c>
    </row>
    <row r="622" spans="5:11" x14ac:dyDescent="0.2">
      <c r="E622" t="str" cm="1">
        <f t="array" ref="E622">IFERROR(INDEX(Merchant_Lookup!$C$2:$C$27,MATCH(TRUE,ISNUMBER(SEARCH(Merchant_Lookup!$A$2:$A$26,UPPER(B622))),0)),"NEEDS REVIEW")</f>
        <v>NEEDS REVIEW</v>
      </c>
      <c r="F622" t="str">
        <f>IF(E622="NEEDS REVIEW","",INDEX(Merchant_Lookup!$D$2:$D$27,MATCH(E622,Merchant_Lookup!$C$2:$C$27,0)))</f>
        <v/>
      </c>
      <c r="G622" t="str">
        <f>IF(E622="NEEDS REVIEW","",INDEX(Merchant_Lookup!$E$2:$E$27,MATCH(E622,Merchant_Lookup!$C$2:$C$27,0)))</f>
        <v/>
      </c>
      <c r="J622" t="str">
        <f t="shared" si="18"/>
        <v>NEEDS REVIEW</v>
      </c>
      <c r="K622" t="str">
        <f t="shared" si="19"/>
        <v/>
      </c>
    </row>
    <row r="623" spans="5:11" x14ac:dyDescent="0.2">
      <c r="E623" t="str" cm="1">
        <f t="array" ref="E623">IFERROR(INDEX(Merchant_Lookup!$C$2:$C$27,MATCH(TRUE,ISNUMBER(SEARCH(Merchant_Lookup!$A$2:$A$26,UPPER(B623))),0)),"NEEDS REVIEW")</f>
        <v>NEEDS REVIEW</v>
      </c>
      <c r="F623" t="str">
        <f>IF(E623="NEEDS REVIEW","",INDEX(Merchant_Lookup!$D$2:$D$27,MATCH(E623,Merchant_Lookup!$C$2:$C$27,0)))</f>
        <v/>
      </c>
      <c r="G623" t="str">
        <f>IF(E623="NEEDS REVIEW","",INDEX(Merchant_Lookup!$E$2:$E$27,MATCH(E623,Merchant_Lookup!$C$2:$C$27,0)))</f>
        <v/>
      </c>
      <c r="J623" t="str">
        <f t="shared" si="18"/>
        <v>NEEDS REVIEW</v>
      </c>
      <c r="K623" t="str">
        <f t="shared" si="19"/>
        <v/>
      </c>
    </row>
    <row r="624" spans="5:11" x14ac:dyDescent="0.2">
      <c r="E624" t="str" cm="1">
        <f t="array" ref="E624">IFERROR(INDEX(Merchant_Lookup!$C$2:$C$27,MATCH(TRUE,ISNUMBER(SEARCH(Merchant_Lookup!$A$2:$A$26,UPPER(B624))),0)),"NEEDS REVIEW")</f>
        <v>NEEDS REVIEW</v>
      </c>
      <c r="F624" t="str">
        <f>IF(E624="NEEDS REVIEW","",INDEX(Merchant_Lookup!$D$2:$D$27,MATCH(E624,Merchant_Lookup!$C$2:$C$27,0)))</f>
        <v/>
      </c>
      <c r="G624" t="str">
        <f>IF(E624="NEEDS REVIEW","",INDEX(Merchant_Lookup!$E$2:$E$27,MATCH(E624,Merchant_Lookup!$C$2:$C$27,0)))</f>
        <v/>
      </c>
      <c r="J624" t="str">
        <f t="shared" si="18"/>
        <v>NEEDS REVIEW</v>
      </c>
      <c r="K624" t="str">
        <f t="shared" si="19"/>
        <v/>
      </c>
    </row>
    <row r="625" spans="5:11" x14ac:dyDescent="0.2">
      <c r="E625" t="str" cm="1">
        <f t="array" ref="E625">IFERROR(INDEX(Merchant_Lookup!$C$2:$C$27,MATCH(TRUE,ISNUMBER(SEARCH(Merchant_Lookup!$A$2:$A$26,UPPER(B625))),0)),"NEEDS REVIEW")</f>
        <v>NEEDS REVIEW</v>
      </c>
      <c r="F625" t="str">
        <f>IF(E625="NEEDS REVIEW","",INDEX(Merchant_Lookup!$D$2:$D$27,MATCH(E625,Merchant_Lookup!$C$2:$C$27,0)))</f>
        <v/>
      </c>
      <c r="G625" t="str">
        <f>IF(E625="NEEDS REVIEW","",INDEX(Merchant_Lookup!$E$2:$E$27,MATCH(E625,Merchant_Lookup!$C$2:$C$27,0)))</f>
        <v/>
      </c>
      <c r="J625" t="str">
        <f t="shared" si="18"/>
        <v>NEEDS REVIEW</v>
      </c>
      <c r="K625" t="str">
        <f t="shared" si="19"/>
        <v/>
      </c>
    </row>
    <row r="626" spans="5:11" x14ac:dyDescent="0.2">
      <c r="E626" t="str" cm="1">
        <f t="array" ref="E626">IFERROR(INDEX(Merchant_Lookup!$C$2:$C$27,MATCH(TRUE,ISNUMBER(SEARCH(Merchant_Lookup!$A$2:$A$26,UPPER(B626))),0)),"NEEDS REVIEW")</f>
        <v>NEEDS REVIEW</v>
      </c>
      <c r="F626" t="str">
        <f>IF(E626="NEEDS REVIEW","",INDEX(Merchant_Lookup!$D$2:$D$27,MATCH(E626,Merchant_Lookup!$C$2:$C$27,0)))</f>
        <v/>
      </c>
      <c r="G626" t="str">
        <f>IF(E626="NEEDS REVIEW","",INDEX(Merchant_Lookup!$E$2:$E$27,MATCH(E626,Merchant_Lookup!$C$2:$C$27,0)))</f>
        <v/>
      </c>
      <c r="J626" t="str">
        <f t="shared" si="18"/>
        <v>NEEDS REVIEW</v>
      </c>
      <c r="K626" t="str">
        <f t="shared" si="19"/>
        <v/>
      </c>
    </row>
    <row r="627" spans="5:11" x14ac:dyDescent="0.2">
      <c r="E627" t="str" cm="1">
        <f t="array" ref="E627">IFERROR(INDEX(Merchant_Lookup!$C$2:$C$27,MATCH(TRUE,ISNUMBER(SEARCH(Merchant_Lookup!$A$2:$A$26,UPPER(B627))),0)),"NEEDS REVIEW")</f>
        <v>NEEDS REVIEW</v>
      </c>
      <c r="F627" t="str">
        <f>IF(E627="NEEDS REVIEW","",INDEX(Merchant_Lookup!$D$2:$D$27,MATCH(E627,Merchant_Lookup!$C$2:$C$27,0)))</f>
        <v/>
      </c>
      <c r="G627" t="str">
        <f>IF(E627="NEEDS REVIEW","",INDEX(Merchant_Lookup!$E$2:$E$27,MATCH(E627,Merchant_Lookup!$C$2:$C$27,0)))</f>
        <v/>
      </c>
      <c r="J627" t="str">
        <f t="shared" si="18"/>
        <v>NEEDS REVIEW</v>
      </c>
      <c r="K627" t="str">
        <f t="shared" si="19"/>
        <v/>
      </c>
    </row>
    <row r="628" spans="5:11" x14ac:dyDescent="0.2">
      <c r="E628" t="str" cm="1">
        <f t="array" ref="E628">IFERROR(INDEX(Merchant_Lookup!$C$2:$C$27,MATCH(TRUE,ISNUMBER(SEARCH(Merchant_Lookup!$A$2:$A$26,UPPER(B628))),0)),"NEEDS REVIEW")</f>
        <v>NEEDS REVIEW</v>
      </c>
      <c r="F628" t="str">
        <f>IF(E628="NEEDS REVIEW","",INDEX(Merchant_Lookup!$D$2:$D$27,MATCH(E628,Merchant_Lookup!$C$2:$C$27,0)))</f>
        <v/>
      </c>
      <c r="G628" t="str">
        <f>IF(E628="NEEDS REVIEW","",INDEX(Merchant_Lookup!$E$2:$E$27,MATCH(E628,Merchant_Lookup!$C$2:$C$27,0)))</f>
        <v/>
      </c>
      <c r="J628" t="str">
        <f t="shared" si="18"/>
        <v>NEEDS REVIEW</v>
      </c>
      <c r="K628" t="str">
        <f t="shared" si="19"/>
        <v/>
      </c>
    </row>
    <row r="629" spans="5:11" x14ac:dyDescent="0.2">
      <c r="E629" t="str" cm="1">
        <f t="array" ref="E629">IFERROR(INDEX(Merchant_Lookup!$C$2:$C$27,MATCH(TRUE,ISNUMBER(SEARCH(Merchant_Lookup!$A$2:$A$26,UPPER(B629))),0)),"NEEDS REVIEW")</f>
        <v>NEEDS REVIEW</v>
      </c>
      <c r="F629" t="str">
        <f>IF(E629="NEEDS REVIEW","",INDEX(Merchant_Lookup!$D$2:$D$27,MATCH(E629,Merchant_Lookup!$C$2:$C$27,0)))</f>
        <v/>
      </c>
      <c r="G629" t="str">
        <f>IF(E629="NEEDS REVIEW","",INDEX(Merchant_Lookup!$E$2:$E$27,MATCH(E629,Merchant_Lookup!$C$2:$C$27,0)))</f>
        <v/>
      </c>
      <c r="J629" t="str">
        <f t="shared" si="18"/>
        <v>NEEDS REVIEW</v>
      </c>
      <c r="K629" t="str">
        <f t="shared" si="19"/>
        <v/>
      </c>
    </row>
    <row r="630" spans="5:11" x14ac:dyDescent="0.2">
      <c r="E630" t="str" cm="1">
        <f t="array" ref="E630">IFERROR(INDEX(Merchant_Lookup!$C$2:$C$27,MATCH(TRUE,ISNUMBER(SEARCH(Merchant_Lookup!$A$2:$A$26,UPPER(B630))),0)),"NEEDS REVIEW")</f>
        <v>NEEDS REVIEW</v>
      </c>
      <c r="F630" t="str">
        <f>IF(E630="NEEDS REVIEW","",INDEX(Merchant_Lookup!$D$2:$D$27,MATCH(E630,Merchant_Lookup!$C$2:$C$27,0)))</f>
        <v/>
      </c>
      <c r="G630" t="str">
        <f>IF(E630="NEEDS REVIEW","",INDEX(Merchant_Lookup!$E$2:$E$27,MATCH(E630,Merchant_Lookup!$C$2:$C$27,0)))</f>
        <v/>
      </c>
      <c r="J630" t="str">
        <f t="shared" si="18"/>
        <v>NEEDS REVIEW</v>
      </c>
      <c r="K630" t="str">
        <f t="shared" si="19"/>
        <v/>
      </c>
    </row>
    <row r="631" spans="5:11" x14ac:dyDescent="0.2">
      <c r="E631" t="str" cm="1">
        <f t="array" ref="E631">IFERROR(INDEX(Merchant_Lookup!$C$2:$C$27,MATCH(TRUE,ISNUMBER(SEARCH(Merchant_Lookup!$A$2:$A$26,UPPER(B631))),0)),"NEEDS REVIEW")</f>
        <v>NEEDS REVIEW</v>
      </c>
      <c r="F631" t="str">
        <f>IF(E631="NEEDS REVIEW","",INDEX(Merchant_Lookup!$D$2:$D$27,MATCH(E631,Merchant_Lookup!$C$2:$C$27,0)))</f>
        <v/>
      </c>
      <c r="G631" t="str">
        <f>IF(E631="NEEDS REVIEW","",INDEX(Merchant_Lookup!$E$2:$E$27,MATCH(E631,Merchant_Lookup!$C$2:$C$27,0)))</f>
        <v/>
      </c>
      <c r="J631" t="str">
        <f t="shared" si="18"/>
        <v>NEEDS REVIEW</v>
      </c>
      <c r="K631" t="str">
        <f t="shared" si="19"/>
        <v/>
      </c>
    </row>
    <row r="632" spans="5:11" x14ac:dyDescent="0.2">
      <c r="E632" t="str" cm="1">
        <f t="array" ref="E632">IFERROR(INDEX(Merchant_Lookup!$C$2:$C$27,MATCH(TRUE,ISNUMBER(SEARCH(Merchant_Lookup!$A$2:$A$26,UPPER(B632))),0)),"NEEDS REVIEW")</f>
        <v>NEEDS REVIEW</v>
      </c>
      <c r="F632" t="str">
        <f>IF(E632="NEEDS REVIEW","",INDEX(Merchant_Lookup!$D$2:$D$27,MATCH(E632,Merchant_Lookup!$C$2:$C$27,0)))</f>
        <v/>
      </c>
      <c r="G632" t="str">
        <f>IF(E632="NEEDS REVIEW","",INDEX(Merchant_Lookup!$E$2:$E$27,MATCH(E632,Merchant_Lookup!$C$2:$C$27,0)))</f>
        <v/>
      </c>
      <c r="J632" t="str">
        <f t="shared" si="18"/>
        <v>NEEDS REVIEW</v>
      </c>
      <c r="K632" t="str">
        <f t="shared" si="19"/>
        <v/>
      </c>
    </row>
    <row r="633" spans="5:11" x14ac:dyDescent="0.2">
      <c r="E633" t="str" cm="1">
        <f t="array" ref="E633">IFERROR(INDEX(Merchant_Lookup!$C$2:$C$27,MATCH(TRUE,ISNUMBER(SEARCH(Merchant_Lookup!$A$2:$A$26,UPPER(B633))),0)),"NEEDS REVIEW")</f>
        <v>NEEDS REVIEW</v>
      </c>
      <c r="F633" t="str">
        <f>IF(E633="NEEDS REVIEW","",INDEX(Merchant_Lookup!$D$2:$D$27,MATCH(E633,Merchant_Lookup!$C$2:$C$27,0)))</f>
        <v/>
      </c>
      <c r="G633" t="str">
        <f>IF(E633="NEEDS REVIEW","",INDEX(Merchant_Lookup!$E$2:$E$27,MATCH(E633,Merchant_Lookup!$C$2:$C$27,0)))</f>
        <v/>
      </c>
      <c r="J633" t="str">
        <f t="shared" si="18"/>
        <v>NEEDS REVIEW</v>
      </c>
      <c r="K633" t="str">
        <f t="shared" si="19"/>
        <v/>
      </c>
    </row>
    <row r="634" spans="5:11" x14ac:dyDescent="0.2">
      <c r="E634" t="str" cm="1">
        <f t="array" ref="E634">IFERROR(INDEX(Merchant_Lookup!$C$2:$C$27,MATCH(TRUE,ISNUMBER(SEARCH(Merchant_Lookup!$A$2:$A$26,UPPER(B634))),0)),"NEEDS REVIEW")</f>
        <v>NEEDS REVIEW</v>
      </c>
      <c r="F634" t="str">
        <f>IF(E634="NEEDS REVIEW","",INDEX(Merchant_Lookup!$D$2:$D$27,MATCH(E634,Merchant_Lookup!$C$2:$C$27,0)))</f>
        <v/>
      </c>
      <c r="G634" t="str">
        <f>IF(E634="NEEDS REVIEW","",INDEX(Merchant_Lookup!$E$2:$E$27,MATCH(E634,Merchant_Lookup!$C$2:$C$27,0)))</f>
        <v/>
      </c>
      <c r="J634" t="str">
        <f t="shared" si="18"/>
        <v>NEEDS REVIEW</v>
      </c>
      <c r="K634" t="str">
        <f t="shared" si="19"/>
        <v/>
      </c>
    </row>
    <row r="635" spans="5:11" x14ac:dyDescent="0.2">
      <c r="E635" t="str" cm="1">
        <f t="array" ref="E635">IFERROR(INDEX(Merchant_Lookup!$C$2:$C$27,MATCH(TRUE,ISNUMBER(SEARCH(Merchant_Lookup!$A$2:$A$26,UPPER(B635))),0)),"NEEDS REVIEW")</f>
        <v>NEEDS REVIEW</v>
      </c>
      <c r="F635" t="str">
        <f>IF(E635="NEEDS REVIEW","",INDEX(Merchant_Lookup!$D$2:$D$27,MATCH(E635,Merchant_Lookup!$C$2:$C$27,0)))</f>
        <v/>
      </c>
      <c r="G635" t="str">
        <f>IF(E635="NEEDS REVIEW","",INDEX(Merchant_Lookup!$E$2:$E$27,MATCH(E635,Merchant_Lookup!$C$2:$C$27,0)))</f>
        <v/>
      </c>
      <c r="J635" t="str">
        <f t="shared" si="18"/>
        <v>NEEDS REVIEW</v>
      </c>
      <c r="K635" t="str">
        <f t="shared" si="19"/>
        <v/>
      </c>
    </row>
    <row r="636" spans="5:11" x14ac:dyDescent="0.2">
      <c r="E636" t="str" cm="1">
        <f t="array" ref="E636">IFERROR(INDEX(Merchant_Lookup!$C$2:$C$27,MATCH(TRUE,ISNUMBER(SEARCH(Merchant_Lookup!$A$2:$A$26,UPPER(B636))),0)),"NEEDS REVIEW")</f>
        <v>NEEDS REVIEW</v>
      </c>
      <c r="F636" t="str">
        <f>IF(E636="NEEDS REVIEW","",INDEX(Merchant_Lookup!$D$2:$D$27,MATCH(E636,Merchant_Lookup!$C$2:$C$27,0)))</f>
        <v/>
      </c>
      <c r="G636" t="str">
        <f>IF(E636="NEEDS REVIEW","",INDEX(Merchant_Lookup!$E$2:$E$27,MATCH(E636,Merchant_Lookup!$C$2:$C$27,0)))</f>
        <v/>
      </c>
      <c r="J636" t="str">
        <f t="shared" si="18"/>
        <v>NEEDS REVIEW</v>
      </c>
      <c r="K636" t="str">
        <f t="shared" si="19"/>
        <v/>
      </c>
    </row>
    <row r="637" spans="5:11" x14ac:dyDescent="0.2">
      <c r="E637" t="str" cm="1">
        <f t="array" ref="E637">IFERROR(INDEX(Merchant_Lookup!$C$2:$C$27,MATCH(TRUE,ISNUMBER(SEARCH(Merchant_Lookup!$A$2:$A$26,UPPER(B637))),0)),"NEEDS REVIEW")</f>
        <v>NEEDS REVIEW</v>
      </c>
      <c r="F637" t="str">
        <f>IF(E637="NEEDS REVIEW","",INDEX(Merchant_Lookup!$D$2:$D$27,MATCH(E637,Merchant_Lookup!$C$2:$C$27,0)))</f>
        <v/>
      </c>
      <c r="G637" t="str">
        <f>IF(E637="NEEDS REVIEW","",INDEX(Merchant_Lookup!$E$2:$E$27,MATCH(E637,Merchant_Lookup!$C$2:$C$27,0)))</f>
        <v/>
      </c>
      <c r="J637" t="str">
        <f t="shared" si="18"/>
        <v>NEEDS REVIEW</v>
      </c>
      <c r="K637" t="str">
        <f t="shared" si="19"/>
        <v/>
      </c>
    </row>
    <row r="638" spans="5:11" x14ac:dyDescent="0.2">
      <c r="E638" t="str" cm="1">
        <f t="array" ref="E638">IFERROR(INDEX(Merchant_Lookup!$C$2:$C$27,MATCH(TRUE,ISNUMBER(SEARCH(Merchant_Lookup!$A$2:$A$26,UPPER(B638))),0)),"NEEDS REVIEW")</f>
        <v>NEEDS REVIEW</v>
      </c>
      <c r="F638" t="str">
        <f>IF(E638="NEEDS REVIEW","",INDEX(Merchant_Lookup!$D$2:$D$27,MATCH(E638,Merchant_Lookup!$C$2:$C$27,0)))</f>
        <v/>
      </c>
      <c r="G638" t="str">
        <f>IF(E638="NEEDS REVIEW","",INDEX(Merchant_Lookup!$E$2:$E$27,MATCH(E638,Merchant_Lookup!$C$2:$C$27,0)))</f>
        <v/>
      </c>
      <c r="J638" t="str">
        <f t="shared" si="18"/>
        <v>NEEDS REVIEW</v>
      </c>
      <c r="K638" t="str">
        <f t="shared" si="19"/>
        <v/>
      </c>
    </row>
    <row r="639" spans="5:11" x14ac:dyDescent="0.2">
      <c r="E639" t="str" cm="1">
        <f t="array" ref="E639">IFERROR(INDEX(Merchant_Lookup!$C$2:$C$27,MATCH(TRUE,ISNUMBER(SEARCH(Merchant_Lookup!$A$2:$A$26,UPPER(B639))),0)),"NEEDS REVIEW")</f>
        <v>NEEDS REVIEW</v>
      </c>
      <c r="F639" t="str">
        <f>IF(E639="NEEDS REVIEW","",INDEX(Merchant_Lookup!$D$2:$D$27,MATCH(E639,Merchant_Lookup!$C$2:$C$27,0)))</f>
        <v/>
      </c>
      <c r="G639" t="str">
        <f>IF(E639="NEEDS REVIEW","",INDEX(Merchant_Lookup!$E$2:$E$27,MATCH(E639,Merchant_Lookup!$C$2:$C$27,0)))</f>
        <v/>
      </c>
      <c r="J639" t="str">
        <f t="shared" si="18"/>
        <v>NEEDS REVIEW</v>
      </c>
      <c r="K639" t="str">
        <f t="shared" si="19"/>
        <v/>
      </c>
    </row>
    <row r="640" spans="5:11" x14ac:dyDescent="0.2">
      <c r="E640" t="str" cm="1">
        <f t="array" ref="E640">IFERROR(INDEX(Merchant_Lookup!$C$2:$C$27,MATCH(TRUE,ISNUMBER(SEARCH(Merchant_Lookup!$A$2:$A$26,UPPER(B640))),0)),"NEEDS REVIEW")</f>
        <v>NEEDS REVIEW</v>
      </c>
      <c r="F640" t="str">
        <f>IF(E640="NEEDS REVIEW","",INDEX(Merchant_Lookup!$D$2:$D$27,MATCH(E640,Merchant_Lookup!$C$2:$C$27,0)))</f>
        <v/>
      </c>
      <c r="G640" t="str">
        <f>IF(E640="NEEDS REVIEW","",INDEX(Merchant_Lookup!$E$2:$E$27,MATCH(E640,Merchant_Lookup!$C$2:$C$27,0)))</f>
        <v/>
      </c>
      <c r="J640" t="str">
        <f t="shared" si="18"/>
        <v>NEEDS REVIEW</v>
      </c>
      <c r="K640" t="str">
        <f t="shared" si="19"/>
        <v/>
      </c>
    </row>
    <row r="641" spans="5:11" x14ac:dyDescent="0.2">
      <c r="E641" t="str" cm="1">
        <f t="array" ref="E641">IFERROR(INDEX(Merchant_Lookup!$C$2:$C$27,MATCH(TRUE,ISNUMBER(SEARCH(Merchant_Lookup!$A$2:$A$26,UPPER(B641))),0)),"NEEDS REVIEW")</f>
        <v>NEEDS REVIEW</v>
      </c>
      <c r="F641" t="str">
        <f>IF(E641="NEEDS REVIEW","",INDEX(Merchant_Lookup!$D$2:$D$27,MATCH(E641,Merchant_Lookup!$C$2:$C$27,0)))</f>
        <v/>
      </c>
      <c r="G641" t="str">
        <f>IF(E641="NEEDS REVIEW","",INDEX(Merchant_Lookup!$E$2:$E$27,MATCH(E641,Merchant_Lookup!$C$2:$C$27,0)))</f>
        <v/>
      </c>
      <c r="J641" t="str">
        <f t="shared" si="18"/>
        <v>NEEDS REVIEW</v>
      </c>
      <c r="K641" t="str">
        <f t="shared" si="19"/>
        <v/>
      </c>
    </row>
    <row r="642" spans="5:11" x14ac:dyDescent="0.2">
      <c r="E642" t="str" cm="1">
        <f t="array" ref="E642">IFERROR(INDEX(Merchant_Lookup!$C$2:$C$27,MATCH(TRUE,ISNUMBER(SEARCH(Merchant_Lookup!$A$2:$A$26,UPPER(B642))),0)),"NEEDS REVIEW")</f>
        <v>NEEDS REVIEW</v>
      </c>
      <c r="F642" t="str">
        <f>IF(E642="NEEDS REVIEW","",INDEX(Merchant_Lookup!$D$2:$D$27,MATCH(E642,Merchant_Lookup!$C$2:$C$27,0)))</f>
        <v/>
      </c>
      <c r="G642" t="str">
        <f>IF(E642="NEEDS REVIEW","",INDEX(Merchant_Lookup!$E$2:$E$27,MATCH(E642,Merchant_Lookup!$C$2:$C$27,0)))</f>
        <v/>
      </c>
      <c r="J642" t="str">
        <f t="shared" si="18"/>
        <v>NEEDS REVIEW</v>
      </c>
      <c r="K642" t="str">
        <f t="shared" si="19"/>
        <v/>
      </c>
    </row>
    <row r="643" spans="5:11" x14ac:dyDescent="0.2">
      <c r="E643" t="str" cm="1">
        <f t="array" ref="E643">IFERROR(INDEX(Merchant_Lookup!$C$2:$C$27,MATCH(TRUE,ISNUMBER(SEARCH(Merchant_Lookup!$A$2:$A$26,UPPER(B643))),0)),"NEEDS REVIEW")</f>
        <v>NEEDS REVIEW</v>
      </c>
      <c r="F643" t="str">
        <f>IF(E643="NEEDS REVIEW","",INDEX(Merchant_Lookup!$D$2:$D$27,MATCH(E643,Merchant_Lookup!$C$2:$C$27,0)))</f>
        <v/>
      </c>
      <c r="G643" t="str">
        <f>IF(E643="NEEDS REVIEW","",INDEX(Merchant_Lookup!$E$2:$E$27,MATCH(E643,Merchant_Lookup!$C$2:$C$27,0)))</f>
        <v/>
      </c>
      <c r="J643" t="str">
        <f t="shared" ref="J643:J648" si="20">IF(H643&lt;&gt;"",H643,E643)</f>
        <v>NEEDS REVIEW</v>
      </c>
      <c r="K643" t="str">
        <f t="shared" ref="K643:K648" si="21">IF(I643&lt;&gt;"",I643,F643)</f>
        <v/>
      </c>
    </row>
    <row r="644" spans="5:11" x14ac:dyDescent="0.2">
      <c r="E644" t="str" cm="1">
        <f t="array" ref="E644">IFERROR(INDEX(Merchant_Lookup!$C$2:$C$27,MATCH(TRUE,ISNUMBER(SEARCH(Merchant_Lookup!$A$2:$A$26,UPPER(B644))),0)),"NEEDS REVIEW")</f>
        <v>NEEDS REVIEW</v>
      </c>
      <c r="F644" t="str">
        <f>IF(E644="NEEDS REVIEW","",INDEX(Merchant_Lookup!$D$2:$D$27,MATCH(E644,Merchant_Lookup!$C$2:$C$27,0)))</f>
        <v/>
      </c>
      <c r="G644" t="str">
        <f>IF(E644="NEEDS REVIEW","",INDEX(Merchant_Lookup!$E$2:$E$27,MATCH(E644,Merchant_Lookup!$C$2:$C$27,0)))</f>
        <v/>
      </c>
      <c r="J644" t="str">
        <f t="shared" si="20"/>
        <v>NEEDS REVIEW</v>
      </c>
      <c r="K644" t="str">
        <f t="shared" si="21"/>
        <v/>
      </c>
    </row>
    <row r="645" spans="5:11" x14ac:dyDescent="0.2">
      <c r="E645" t="str" cm="1">
        <f t="array" ref="E645">IFERROR(INDEX(Merchant_Lookup!$C$2:$C$27,MATCH(TRUE,ISNUMBER(SEARCH(Merchant_Lookup!$A$2:$A$26,UPPER(B645))),0)),"NEEDS REVIEW")</f>
        <v>NEEDS REVIEW</v>
      </c>
      <c r="F645" t="str">
        <f>IF(E645="NEEDS REVIEW","",INDEX(Merchant_Lookup!$D$2:$D$27,MATCH(E645,Merchant_Lookup!$C$2:$C$27,0)))</f>
        <v/>
      </c>
      <c r="G645" t="str">
        <f>IF(E645="NEEDS REVIEW","",INDEX(Merchant_Lookup!$E$2:$E$27,MATCH(E645,Merchant_Lookup!$C$2:$C$27,0)))</f>
        <v/>
      </c>
      <c r="J645" t="str">
        <f t="shared" si="20"/>
        <v>NEEDS REVIEW</v>
      </c>
      <c r="K645" t="str">
        <f t="shared" si="21"/>
        <v/>
      </c>
    </row>
    <row r="646" spans="5:11" x14ac:dyDescent="0.2">
      <c r="E646" t="str" cm="1">
        <f t="array" ref="E646">IFERROR(INDEX(Merchant_Lookup!$C$2:$C$27,MATCH(TRUE,ISNUMBER(SEARCH(Merchant_Lookup!$A$2:$A$26,UPPER(B646))),0)),"NEEDS REVIEW")</f>
        <v>NEEDS REVIEW</v>
      </c>
      <c r="F646" t="str">
        <f>IF(E646="NEEDS REVIEW","",INDEX(Merchant_Lookup!$D$2:$D$27,MATCH(E646,Merchant_Lookup!$C$2:$C$27,0)))</f>
        <v/>
      </c>
      <c r="G646" t="str">
        <f>IF(E646="NEEDS REVIEW","",INDEX(Merchant_Lookup!$E$2:$E$27,MATCH(E646,Merchant_Lookup!$C$2:$C$27,0)))</f>
        <v/>
      </c>
      <c r="J646" t="str">
        <f t="shared" si="20"/>
        <v>NEEDS REVIEW</v>
      </c>
      <c r="K646" t="str">
        <f t="shared" si="21"/>
        <v/>
      </c>
    </row>
    <row r="647" spans="5:11" x14ac:dyDescent="0.2">
      <c r="E647" t="str" cm="1">
        <f t="array" ref="E647">IFERROR(INDEX(Merchant_Lookup!$C$2:$C$27,MATCH(TRUE,ISNUMBER(SEARCH(Merchant_Lookup!$A$2:$A$26,UPPER(B647))),0)),"NEEDS REVIEW")</f>
        <v>NEEDS REVIEW</v>
      </c>
      <c r="F647" t="str">
        <f>IF(E647="NEEDS REVIEW","",INDEX(Merchant_Lookup!$D$2:$D$27,MATCH(E647,Merchant_Lookup!$C$2:$C$27,0)))</f>
        <v/>
      </c>
      <c r="G647" t="str">
        <f>IF(E647="NEEDS REVIEW","",INDEX(Merchant_Lookup!$E$2:$E$27,MATCH(E647,Merchant_Lookup!$C$2:$C$27,0)))</f>
        <v/>
      </c>
      <c r="J647" t="str">
        <f t="shared" si="20"/>
        <v>NEEDS REVIEW</v>
      </c>
      <c r="K647" t="str">
        <f t="shared" si="21"/>
        <v/>
      </c>
    </row>
    <row r="648" spans="5:11" x14ac:dyDescent="0.2">
      <c r="E648" t="str" cm="1">
        <f t="array" ref="E648">IFERROR(INDEX(Merchant_Lookup!$C$2:$C$27,MATCH(TRUE,ISNUMBER(SEARCH(Merchant_Lookup!$A$2:$A$26,UPPER(B648))),0)),"NEEDS REVIEW")</f>
        <v>NEEDS REVIEW</v>
      </c>
      <c r="F648" t="str">
        <f>IF(E648="NEEDS REVIEW","",INDEX(Merchant_Lookup!$D$2:$D$27,MATCH(E648,Merchant_Lookup!$C$2:$C$27,0)))</f>
        <v/>
      </c>
      <c r="G648" t="str">
        <f>IF(E648="NEEDS REVIEW","",INDEX(Merchant_Lookup!$E$2:$E$27,MATCH(E648,Merchant_Lookup!$C$2:$C$27,0)))</f>
        <v/>
      </c>
      <c r="J648" t="str">
        <f t="shared" si="20"/>
        <v>NEEDS REVIEW</v>
      </c>
      <c r="K648" t="str">
        <f t="shared" si="2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Transaction_Import</vt:lpstr>
      <vt:lpstr>Merchant_Lookup</vt:lpstr>
      <vt:lpstr>Monthly_Summary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Masters</dc:creator>
  <cp:lastModifiedBy>Jason Masters</cp:lastModifiedBy>
  <dcterms:created xsi:type="dcterms:W3CDTF">2025-06-05T10:14:14Z</dcterms:created>
  <dcterms:modified xsi:type="dcterms:W3CDTF">2025-06-13T00:16:56Z</dcterms:modified>
</cp:coreProperties>
</file>