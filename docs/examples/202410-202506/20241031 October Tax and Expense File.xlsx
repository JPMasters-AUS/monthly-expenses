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asonmasters/Library/Mobile Documents/com~apple~CloudDocs/Medical/2024 ATO Documentation/Tax May to September 2024 /"/>
    </mc:Choice>
  </mc:AlternateContent>
  <xr:revisionPtr revIDLastSave="0" documentId="13_ncr:1_{2F6DAA56-1BA3-E147-A5B1-F84BB931DBE9}" xr6:coauthVersionLast="47" xr6:coauthVersionMax="47" xr10:uidLastSave="{00000000-0000-0000-0000-000000000000}"/>
  <bookViews>
    <workbookView xWindow="2920" yWindow="500" windowWidth="28800" windowHeight="16480" tabRatio="500" activeTab="6" xr2:uid="{00000000-000D-0000-FFFF-FFFF00000000}"/>
  </bookViews>
  <sheets>
    <sheet name="SUMMARY" sheetId="1" r:id="rId1"/>
    <sheet name="AMEX CHARGE" sheetId="17" r:id="rId2"/>
    <sheet name="AMEX CREDIT" sheetId="2" r:id="rId3"/>
    <sheet name="ANZ CARDS" sheetId="10" r:id="rId4"/>
    <sheet name="NAB" sheetId="9" r:id="rId5"/>
    <sheet name="PayPal" sheetId="12" r:id="rId6"/>
    <sheet name="MAIN TXN ACC 000 0465 083 897" sheetId="6" r:id="rId7"/>
    <sheet name="STG BANK ACCOUNT 431450521" sheetId="13" r:id="rId8"/>
    <sheet name="GST PROVISION 000 0455 884 826" sheetId="11" r:id="rId9"/>
    <sheet name="ANZ - Advocating for Humanity" sheetId="18" r:id="rId10"/>
    <sheet name="BUS FREEDOM ACCOUNT 431959205" sheetId="7" r:id="rId11"/>
    <sheet name="BUS SAV ACCOUNT 431450521" sheetId="8" r:id="rId12"/>
    <sheet name="Personal ANZ 297380269" sheetId="16" r:id="rId13"/>
    <sheet name="Tax Issues" sheetId="19" r:id="rId14"/>
  </sheets>
  <calcPr calcId="191028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" i="6" l="1"/>
  <c r="J16" i="6"/>
  <c r="I16" i="6"/>
  <c r="H16" i="6"/>
  <c r="K15" i="6"/>
  <c r="J15" i="6"/>
  <c r="I15" i="6"/>
  <c r="H15" i="6"/>
  <c r="I14" i="6"/>
  <c r="K14" i="6" s="1"/>
  <c r="H14" i="6"/>
  <c r="J14" i="6" s="1"/>
  <c r="I13" i="6"/>
  <c r="K13" i="6" s="1"/>
  <c r="H13" i="6"/>
  <c r="J13" i="6" s="1"/>
  <c r="K12" i="6"/>
  <c r="J12" i="6"/>
  <c r="I12" i="6"/>
  <c r="H12" i="6"/>
  <c r="I11" i="6"/>
  <c r="K11" i="6" s="1"/>
  <c r="H11" i="6"/>
  <c r="J11" i="6" s="1"/>
  <c r="J10" i="6"/>
  <c r="I10" i="6"/>
  <c r="K10" i="6" s="1"/>
  <c r="H10" i="6"/>
  <c r="I9" i="6"/>
  <c r="K9" i="6" s="1"/>
  <c r="H9" i="6"/>
  <c r="J9" i="6" s="1"/>
  <c r="I8" i="6"/>
  <c r="K8" i="6" s="1"/>
  <c r="H8" i="6"/>
  <c r="J8" i="6" s="1"/>
  <c r="I7" i="6"/>
  <c r="K7" i="6" s="1"/>
  <c r="H7" i="6"/>
  <c r="J7" i="6" s="1"/>
  <c r="I6" i="6"/>
  <c r="K6" i="6" s="1"/>
  <c r="H6" i="6"/>
  <c r="J6" i="6" s="1"/>
  <c r="K5" i="6"/>
  <c r="J5" i="6"/>
  <c r="I5" i="6"/>
  <c r="H5" i="6"/>
  <c r="K4" i="6"/>
  <c r="J4" i="6"/>
  <c r="I4" i="6"/>
  <c r="H4" i="6"/>
  <c r="J3" i="6"/>
  <c r="I3" i="6"/>
  <c r="K3" i="6" s="1"/>
  <c r="H3" i="6"/>
  <c r="I2" i="6"/>
  <c r="K2" i="6" s="1"/>
  <c r="H2" i="6"/>
  <c r="J2" i="6" s="1"/>
  <c r="B19" i="9"/>
  <c r="B11" i="9"/>
  <c r="F20" i="17"/>
  <c r="F105" i="17"/>
  <c r="F47" i="17"/>
  <c r="H37" i="2"/>
  <c r="H29" i="2" l="1"/>
  <c r="H17" i="2" l="1"/>
  <c r="E6" i="1"/>
  <c r="B5" i="10"/>
  <c r="F77" i="17"/>
  <c r="E7" i="1" s="1"/>
  <c r="F67" i="17"/>
  <c r="K3" i="13"/>
  <c r="J3" i="13"/>
  <c r="I3" i="13"/>
  <c r="H3" i="13"/>
  <c r="K2" i="13"/>
  <c r="J2" i="13"/>
  <c r="I2" i="13"/>
  <c r="H2" i="13"/>
  <c r="J10" i="1"/>
  <c r="H18" i="2" l="1"/>
  <c r="G10" i="1" s="1"/>
  <c r="E10" i="1"/>
  <c r="K18" i="6"/>
  <c r="H18" i="6"/>
  <c r="J18" i="6"/>
  <c r="I18" i="6"/>
  <c r="F48" i="17"/>
  <c r="G6" i="1" s="1"/>
  <c r="H20" i="6" l="1"/>
  <c r="B14" i="10"/>
  <c r="B4" i="9"/>
  <c r="E11" i="1"/>
  <c r="E20" i="1" l="1"/>
  <c r="R6" i="1" l="1"/>
  <c r="G29" i="2"/>
  <c r="J6" i="1"/>
  <c r="J19" i="1"/>
  <c r="B5" i="9"/>
  <c r="G19" i="1" s="1"/>
  <c r="J15" i="1"/>
  <c r="B10" i="10"/>
  <c r="E16" i="1" s="1"/>
  <c r="B6" i="10"/>
  <c r="G15" i="1" s="1"/>
  <c r="E19" i="1" l="1"/>
  <c r="E15" i="1"/>
  <c r="E26" i="1" l="1"/>
  <c r="J17" i="19"/>
  <c r="D8" i="19"/>
  <c r="G25" i="1"/>
  <c r="E25" i="1" l="1"/>
  <c r="E28" i="1" l="1"/>
  <c r="E34" i="1" s="1"/>
  <c r="G28" i="1"/>
  <c r="R7" i="1" l="1"/>
  <c r="R9" i="1" l="1"/>
  <c r="E35" i="1"/>
  <c r="E38" i="1" s="1"/>
  <c r="E40" i="1" l="1"/>
  <c r="E41" i="1" s="1"/>
  <c r="E42" i="1" s="1"/>
  <c r="E43" i="1" s="1"/>
  <c r="E44" i="1" s="1"/>
  <c r="E45" i="1" s="1"/>
  <c r="E46" i="1" s="1"/>
  <c r="E47" i="1" s="1"/>
  <c r="E48" i="1" s="1"/>
</calcChain>
</file>

<file path=xl/sharedStrings.xml><?xml version="1.0" encoding="utf-8"?>
<sst xmlns="http://schemas.openxmlformats.org/spreadsheetml/2006/main" count="1587" uniqueCount="631">
  <si>
    <t>Amex Credit</t>
  </si>
  <si>
    <t>Business</t>
  </si>
  <si>
    <t>GST</t>
  </si>
  <si>
    <t>Personal Tax</t>
  </si>
  <si>
    <t>QUARTER GST POSITION DRAFT</t>
  </si>
  <si>
    <t>NET GST BANK ACCOUNT</t>
  </si>
  <si>
    <t>Exempt</t>
  </si>
  <si>
    <t>EXPENSES</t>
  </si>
  <si>
    <t>CORP DONATIONS</t>
  </si>
  <si>
    <t>NET POSITION</t>
  </si>
  <si>
    <t>Amex Charge</t>
  </si>
  <si>
    <t>ANZ CARDS</t>
  </si>
  <si>
    <t>NAB CARDS</t>
  </si>
  <si>
    <t>PayPal</t>
  </si>
  <si>
    <t>BUSINESS</t>
  </si>
  <si>
    <t>Total</t>
  </si>
  <si>
    <t>Claim</t>
  </si>
  <si>
    <t>Balance</t>
  </si>
  <si>
    <t>PLUS OWED FROM PRIOR EXPENSE CLAIM</t>
  </si>
  <si>
    <t>DATE</t>
  </si>
  <si>
    <t>Date</t>
  </si>
  <si>
    <t>Amount</t>
  </si>
  <si>
    <t>Category</t>
  </si>
  <si>
    <t>Amex Credit Card-Merchant</t>
  </si>
  <si>
    <t>Remarks</t>
  </si>
  <si>
    <t>JPM's Review</t>
  </si>
  <si>
    <t>B</t>
  </si>
  <si>
    <t>SUBTOTAL</t>
  </si>
  <si>
    <t>E</t>
  </si>
  <si>
    <t>P</t>
  </si>
  <si>
    <t>Z</t>
  </si>
  <si>
    <t>Bus/Exempt GST/Pers Tax/ZOther</t>
  </si>
  <si>
    <t>INTEREST CHARGED ON PURCHASES</t>
  </si>
  <si>
    <t>Time</t>
  </si>
  <si>
    <t>Time zone</t>
  </si>
  <si>
    <t>Name</t>
  </si>
  <si>
    <t>Type</t>
  </si>
  <si>
    <t>Status</t>
  </si>
  <si>
    <t>Currency</t>
  </si>
  <si>
    <t>Gross</t>
  </si>
  <si>
    <t>Fee</t>
  </si>
  <si>
    <t>Net</t>
  </si>
  <si>
    <t>From email</t>
  </si>
  <si>
    <t>To email</t>
  </si>
  <si>
    <t>JPM Column - Effective Exchange Rate</t>
  </si>
  <si>
    <t>JPM Column Effective Cost</t>
  </si>
  <si>
    <t>Transaction ID</t>
  </si>
  <si>
    <t>Shipping address</t>
  </si>
  <si>
    <t>Address status</t>
  </si>
  <si>
    <t>Item Title</t>
  </si>
  <si>
    <t>Item ID</t>
  </si>
  <si>
    <t>Shipping and handling amount</t>
  </si>
  <si>
    <t>Insurance Amount</t>
  </si>
  <si>
    <t>Option 1 Name</t>
  </si>
  <si>
    <t>Option 1 Value</t>
  </si>
  <si>
    <t>Option 2 Name</t>
  </si>
  <si>
    <t>Option 2 Value</t>
  </si>
  <si>
    <t>Reference Txn ID</t>
  </si>
  <si>
    <t>Invoice Number</t>
  </si>
  <si>
    <t>Custom Number</t>
  </si>
  <si>
    <t>Quantity</t>
  </si>
  <si>
    <t>Receipt ID</t>
  </si>
  <si>
    <t>Address line 1</t>
  </si>
  <si>
    <t>Address Line 2/District/Neighbourhood</t>
  </si>
  <si>
    <t>Suburb</t>
  </si>
  <si>
    <t>State/Territory/Province/Region/County/Prefecture/Republic</t>
  </si>
  <si>
    <t>Postcode</t>
  </si>
  <si>
    <t>Country</t>
  </si>
  <si>
    <t>Contact Phone Number</t>
  </si>
  <si>
    <t>Subject</t>
  </si>
  <si>
    <t>Note</t>
  </si>
  <si>
    <t>Country Code</t>
  </si>
  <si>
    <t>Balance Impact</t>
  </si>
  <si>
    <t>Account Number</t>
  </si>
  <si>
    <t>Value Date</t>
  </si>
  <si>
    <t>Transaction Description</t>
  </si>
  <si>
    <t>Account Currency</t>
  </si>
  <si>
    <t>Amount Indicator</t>
  </si>
  <si>
    <t>Balance Indicator</t>
  </si>
  <si>
    <t>DESCRTIPION</t>
  </si>
  <si>
    <t>GST EXMPT</t>
  </si>
  <si>
    <t>DEBITS</t>
  </si>
  <si>
    <t>CREDIT</t>
  </si>
  <si>
    <t>DEBIT GST</t>
  </si>
  <si>
    <t>CREDIT GST</t>
  </si>
  <si>
    <t>AUD</t>
  </si>
  <si>
    <t>CR</t>
  </si>
  <si>
    <t>DR</t>
  </si>
  <si>
    <t>CREDIT INTEREST</t>
  </si>
  <si>
    <t>Cheque Serial Number</t>
  </si>
  <si>
    <t>BSB</t>
  </si>
  <si>
    <t>Trancode</t>
  </si>
  <si>
    <t>INTERNET</t>
  </si>
  <si>
    <t>BANK FEES</t>
  </si>
  <si>
    <t>EZI*HARRISON PT EZIDEBI GLADESVILLE</t>
  </si>
  <si>
    <t>GST OWED</t>
  </si>
  <si>
    <t>INVOICE</t>
  </si>
  <si>
    <t>INTERNAL TRANSFER</t>
  </si>
  <si>
    <t>INTERNET WITHDRAWAL           22MAR16:53 | Transfer from GST to Ma</t>
  </si>
  <si>
    <t>Mortgage</t>
  </si>
  <si>
    <t>tax</t>
  </si>
  <si>
    <t xml:space="preserve">Business - loss - </t>
  </si>
  <si>
    <t>Moneies until 30 June - delay payment</t>
  </si>
  <si>
    <t>Member contribution into Super - reduces income</t>
  </si>
  <si>
    <t>Transition to Retirement schemen</t>
  </si>
  <si>
    <t>Talk to Geoff about impact</t>
  </si>
  <si>
    <t>ANZ AFH</t>
  </si>
  <si>
    <t>EXEMPT</t>
  </si>
  <si>
    <t>GLOBALX LEGAL SOLUTIONS BRISBANE</t>
  </si>
  <si>
    <t>TELSTRA BILL DIRECT DEB ADELAIDE</t>
  </si>
  <si>
    <t>LEGAL</t>
  </si>
  <si>
    <t>ASTERON LIFE SYDNEY</t>
  </si>
  <si>
    <t>RESOLUTION LIFE QB SYDNEY</t>
  </si>
  <si>
    <t>WESTERN DISTRICT HEALT LITHGOW</t>
  </si>
  <si>
    <t>CREDIT CARD PURCHASE</t>
  </si>
  <si>
    <t>PETCOVER SOVEREIGN TULLAMARINE</t>
  </si>
  <si>
    <t/>
  </si>
  <si>
    <t>Description</t>
  </si>
  <si>
    <t>Card Member</t>
  </si>
  <si>
    <t>Account #</t>
  </si>
  <si>
    <t>Foreign Spend Amount</t>
  </si>
  <si>
    <t>Commission</t>
  </si>
  <si>
    <t>Exchange Rate</t>
  </si>
  <si>
    <t>Additional Information</t>
  </si>
  <si>
    <t>Appears On Your Statement As</t>
  </si>
  <si>
    <t>Address</t>
  </si>
  <si>
    <t>Town/City</t>
  </si>
  <si>
    <t>Reference</t>
  </si>
  <si>
    <t>WORKSPACE365.COM.AU     SYDNEY</t>
  </si>
  <si>
    <t>JASON P MASTERS A/C</t>
  </si>
  <si>
    <t xml:space="preserve"> </t>
  </si>
  <si>
    <t>62 66 GROSVENOR STREET</t>
  </si>
  <si>
    <t>SYDNEY
NSW</t>
  </si>
  <si>
    <t>AUSTRALIA</t>
  </si>
  <si>
    <t>JASON P MASTERS</t>
  </si>
  <si>
    <t>2 HOLT ST
LEVEL 1</t>
  </si>
  <si>
    <t>SURRY HILLS
NSW</t>
  </si>
  <si>
    <t>MASCOT
NSW</t>
  </si>
  <si>
    <t>FAIRFAX  - SUBSCRIPTION PYRMONT</t>
  </si>
  <si>
    <t>LEVEL 5 1 DARLING ISLAND ROAD</t>
  </si>
  <si>
    <t>PYRMONT
NSW</t>
  </si>
  <si>
    <t>MICHAELA WAKE</t>
  </si>
  <si>
    <t>BRISBANE
QLD</t>
  </si>
  <si>
    <t>AUDIBLE PAYMENT AU      SYDNEY</t>
  </si>
  <si>
    <t>2 PARK STREET L37</t>
  </si>
  <si>
    <t>SYDNEY SOUTH
NSW</t>
  </si>
  <si>
    <t>WEWORK ATTN GODADDY
LEVEL 4100 HARRIS STREET</t>
  </si>
  <si>
    <t>EZI*IT SMART SOLUTIONS  SYDNEY</t>
  </si>
  <si>
    <t>20 40 MEAGHER STREET</t>
  </si>
  <si>
    <t>CHIPPENDALE
NSW</t>
  </si>
  <si>
    <t>FRAUDSEC T/A WHISPLI    NORTH SYDNEY</t>
  </si>
  <si>
    <t>NORTH SYDNEY
NSW</t>
  </si>
  <si>
    <t>LEVEL 2
625 HARRIS ST</t>
  </si>
  <si>
    <t>ULTIMO
NSW</t>
  </si>
  <si>
    <t>APPLE.COM/BILL          SYDNEY</t>
  </si>
  <si>
    <t>255 PITT STREET
CAPITAL CENTRE LEVEL 13</t>
  </si>
  <si>
    <t>UNITED STATES</t>
  </si>
  <si>
    <t>136 COXS ROAD</t>
  </si>
  <si>
    <t>NORTH RYDE
NSW</t>
  </si>
  <si>
    <t>PARRAMATTA
NSW</t>
  </si>
  <si>
    <t>SINGAPORE</t>
  </si>
  <si>
    <t>CANADA</t>
  </si>
  <si>
    <t>HARVEST                 NEW YORK</t>
  </si>
  <si>
    <t>55.00 USD</t>
  </si>
  <si>
    <t>16 WEST 22ND ST FL 8</t>
  </si>
  <si>
    <t>NEW YORK
NY</t>
  </si>
  <si>
    <t>NAKEDPASTOR             QUISPAMSIS</t>
  </si>
  <si>
    <t>15.00 USD</t>
  </si>
  <si>
    <t>564 GONDOLA POINT RD</t>
  </si>
  <si>
    <t>QUISPAMSIS
NB</t>
  </si>
  <si>
    <t>E2E 1H6</t>
  </si>
  <si>
    <t>HLTH ADVC PHRMCY NR     NORTH RYDE</t>
  </si>
  <si>
    <t>MACQUARIE PARK
NSW</t>
  </si>
  <si>
    <t>DBS*ANYTIME FITNESS  N  NORTH RYDE</t>
  </si>
  <si>
    <t>900 PACIFIC HIGHWAY
UNIT 7</t>
  </si>
  <si>
    <t>LISAROW
NSW</t>
  </si>
  <si>
    <t>1 PILE STREET</t>
  </si>
  <si>
    <t>GLADESVILLE
NSW</t>
  </si>
  <si>
    <t>AMZNPRIMEAU MEMBERSHIP  SYDNEY SOUTH</t>
  </si>
  <si>
    <t>2 PARK ST
LEVEL 37</t>
  </si>
  <si>
    <t>WOOLWORTHS ONLINE 8843  BELLA VISTA</t>
  </si>
  <si>
    <t>1 WOOLWORTHS WAY</t>
  </si>
  <si>
    <t>BELLA VISTA
NSW</t>
  </si>
  <si>
    <t>SPOTIFY                 SYDNEY</t>
  </si>
  <si>
    <t>4TH 25 ARGYLL ST</t>
  </si>
  <si>
    <t>LONDON
LND</t>
  </si>
  <si>
    <t>W1F 7TU</t>
  </si>
  <si>
    <t>UNITED KINGDOM OF GB AND NI</t>
  </si>
  <si>
    <t>AMAZON MARKETPLACE AU   SYDNEY SOUTH</t>
  </si>
  <si>
    <t>2 PARK STREET
LEVEL 37</t>
  </si>
  <si>
    <t>Transaction Details</t>
  </si>
  <si>
    <t>American Express® Platinum Reserve Credit Card / Sep 01, 2023 to Sep 30, 2023</t>
  </si>
  <si>
    <t>Prepared for</t>
  </si>
  <si>
    <t>XXXX-XXXXXX-25008</t>
  </si>
  <si>
    <t>JOSHUA MASTERS</t>
  </si>
  <si>
    <t>WEST MELBOURNE
VIC</t>
  </si>
  <si>
    <t>AMAYSIM MOBILE PTY LTD  SYDNEY</t>
  </si>
  <si>
    <t>6 17 19 BRIDGE STREET
LEVEL</t>
  </si>
  <si>
    <t>GROUND FLOOR 30 PIRIE ST</t>
  </si>
  <si>
    <t>ADELAIDE
SA</t>
  </si>
  <si>
    <t>SQUIRREL STREET         FRENCHS FOREST</t>
  </si>
  <si>
    <t>PO BOX
6488</t>
  </si>
  <si>
    <t>FRENCHS FOREST
NSW</t>
  </si>
  <si>
    <t>LINKEDIN                SYDNEY NSW</t>
  </si>
  <si>
    <t>CROFTS CHARTERED ACCOUNTS
LEVEL 10 50 BERRY STREET</t>
  </si>
  <si>
    <t>4-6 RIVERWALK
CITY WEST BUSINESS CAMPUS
SAGGART
DUBLIN</t>
  </si>
  <si>
    <t>IRELAND</t>
  </si>
  <si>
    <t>21.95 USD</t>
  </si>
  <si>
    <t>SUBMISSION USD
SINGAPORE</t>
  </si>
  <si>
    <t>BOX_UK                  LONDON</t>
  </si>
  <si>
    <t>105.00 USD</t>
  </si>
  <si>
    <t>EC1Y 8AF</t>
  </si>
  <si>
    <t>25.29 USD</t>
  </si>
  <si>
    <t>4300 RTE 1 NORTH</t>
  </si>
  <si>
    <t>SOUTH BRUNSWICK
NJ</t>
  </si>
  <si>
    <t>RESMED                  BELLA VISTA</t>
  </si>
  <si>
    <t>1 ELIZABETH MACARTHUR DRIVE</t>
  </si>
  <si>
    <t>RED ENERGY              CREMORNE</t>
  </si>
  <si>
    <t>570 CHURCH ST</t>
  </si>
  <si>
    <t>CREMORNE
VIC</t>
  </si>
  <si>
    <t>MEDICAL-DOCTOR</t>
  </si>
  <si>
    <t>COMPUTER HARDWARE</t>
  </si>
  <si>
    <t>BROKEN HILL
NSW</t>
  </si>
  <si>
    <t>KINDLE UNLTD            503-7150002</t>
  </si>
  <si>
    <t>410 TERRY AVE NORTH</t>
  </si>
  <si>
    <t>SEATTLE
WA</t>
  </si>
  <si>
    <t>NEWS PTY LIMITED SURRY  SURRY HILLS</t>
  </si>
  <si>
    <t>Westfund</t>
  </si>
  <si>
    <t>Asteron</t>
  </si>
  <si>
    <t>Resolution Life Australasia</t>
  </si>
  <si>
    <t>Petcover</t>
  </si>
  <si>
    <t>TOTALS</t>
  </si>
  <si>
    <t>OUR DISCRIPTION</t>
  </si>
  <si>
    <t>Uncategorised</t>
  </si>
  <si>
    <t>NEWSPAPERS &amp; MAGAZINES</t>
  </si>
  <si>
    <t>UBER ONE                HELP.UBER.COM</t>
  </si>
  <si>
    <t>EXETEL PTY LTD          NORTH SYDNEY</t>
  </si>
  <si>
    <t>LVL 5 121 WALKER ST</t>
  </si>
  <si>
    <t>LACHLANS SQUARE 7704    MACQUARIE PARK</t>
  </si>
  <si>
    <t>15 HALIFAX ST</t>
  </si>
  <si>
    <t>RYDE MART PTY LTD       NORTH RYDE</t>
  </si>
  <si>
    <t>UNIT 1 1 NETWORK PLACE</t>
  </si>
  <si>
    <t>PUBLIC TRANSPORT</t>
  </si>
  <si>
    <t>POSTAGE AND COURIERS</t>
  </si>
  <si>
    <t>PROFESSIONAL ASSOCIATION</t>
  </si>
  <si>
    <t>LEVEL 3 4 PARRAMATTA SQUARE 4PSQ
12 DARCY STREET</t>
  </si>
  <si>
    <t>MOTOR EXPENSE</t>
  </si>
  <si>
    <t>AMPOL AUSTRALIA APP SYD SYDNEY</t>
  </si>
  <si>
    <t>INSURANCE</t>
  </si>
  <si>
    <t>UNION UNIVERSITY &amp; SCH  SYDNEY</t>
  </si>
  <si>
    <t>25 BENT ST</t>
  </si>
  <si>
    <t>Date Processed</t>
  </si>
  <si>
    <t>RYDE GARDEN SPECIALTY C North Ryde</t>
  </si>
  <si>
    <t>-</t>
  </si>
  <si>
    <t>SAN FRANCISCO
CA</t>
  </si>
  <si>
    <t>ADOBE SYSTEMS Adobe Sys SAGGART</t>
  </si>
  <si>
    <t>MEDICAL-CPAP</t>
  </si>
  <si>
    <t>TRANSPORT FOR NSW-OPAL  CHIPPENDALE</t>
  </si>
  <si>
    <t>THE ASSOCIATION OF PROF WEST MELBOURNE</t>
  </si>
  <si>
    <t>148 152 MILLER STREET</t>
  </si>
  <si>
    <t>LEVEL 6 WEST
TOWER 410 ANN STREET</t>
  </si>
  <si>
    <t>AMAZON.CA PRIME MEMBER  AMAZON.CA/PRI</t>
  </si>
  <si>
    <t>11.49 CAD</t>
  </si>
  <si>
    <t>1071 MAINLAND ST</t>
  </si>
  <si>
    <t>VANCOUVER
BC</t>
  </si>
  <si>
    <t>V6B 1A9</t>
  </si>
  <si>
    <t>HUBBL - KAYO SPORTS       NORTH RYDE</t>
  </si>
  <si>
    <t>INTERNAL TRANSACTION</t>
  </si>
  <si>
    <t>INTERNET DEPOSIT              01MAR13:29 | Internal transfer</t>
  </si>
  <si>
    <t>INTERNET WITHDRAWAL           01MAR13:42 | Reversal of Internal Ba</t>
  </si>
  <si>
    <t>A C KEEP FEE EX 0000455884826</t>
  </si>
  <si>
    <t>COMPUTER EQUIPMENT</t>
  </si>
  <si>
    <t>JASON REPAYMENT</t>
  </si>
  <si>
    <t>INVOCIE</t>
  </si>
  <si>
    <t>SUBCONT-LOMIS</t>
  </si>
  <si>
    <t>SUBCONT-BURKITT</t>
  </si>
  <si>
    <t>BANK INTEREST</t>
  </si>
  <si>
    <t>MOBILE PHONES</t>
  </si>
  <si>
    <t>COMPUTER SOFTWARE</t>
  </si>
  <si>
    <t>SUITE 3  ONE EARLSFORT CENTRE
DUBLIN</t>
  </si>
  <si>
    <t>DUBLIN 2</t>
  </si>
  <si>
    <t>GST Status</t>
  </si>
  <si>
    <t>OFFICE SUPPORT</t>
  </si>
  <si>
    <t>OFFICE EQUIPMENT</t>
  </si>
  <si>
    <t>MOTOR VEHICLE PETROL</t>
  </si>
  <si>
    <t>OIL COMPANIES/NATL DEALER</t>
  </si>
  <si>
    <t>LEVEL 24 2
MARKET STREET</t>
  </si>
  <si>
    <t>AMPOL NORTH RYDE        NORTH RYDE</t>
  </si>
  <si>
    <t>CNR WICKS EPPING ROAD</t>
  </si>
  <si>
    <t>INTERNET HOSTING</t>
  </si>
  <si>
    <t>COMPUTER SERVICES</t>
  </si>
  <si>
    <t>24 32 LEXINGTON DRIVE
SUITE A10</t>
  </si>
  <si>
    <t>TELEPHONE</t>
  </si>
  <si>
    <t>LEVEL 4
580 GEORGE STREET</t>
  </si>
  <si>
    <t>STORAGE</t>
  </si>
  <si>
    <t>PROF SUBSCRIPTION</t>
  </si>
  <si>
    <t>TRAVEL-DOM-MEAL</t>
  </si>
  <si>
    <t>1081 CN</t>
  </si>
  <si>
    <t>NETHERLANDS</t>
  </si>
  <si>
    <t>LONDON
ENG</t>
  </si>
  <si>
    <t>1 14TH NORTH 15TH FLOOR OLD STREET YARD OL</t>
  </si>
  <si>
    <t>SUBSCRIPTION</t>
  </si>
  <si>
    <t>MEDICAL - PHARMA</t>
  </si>
  <si>
    <t>P. H. LE PTY LTD        EPPING</t>
  </si>
  <si>
    <t>MEDICAL - DENTAL</t>
  </si>
  <si>
    <t>1 PEMBROKE STREET</t>
  </si>
  <si>
    <t>EPPING
NSW</t>
  </si>
  <si>
    <t>MAX VALUE PHARMACY AT N NORTH RYDE</t>
  </si>
  <si>
    <t>8 BLENHEIM ROAD</t>
  </si>
  <si>
    <t>AMAZON AU               SYDNEY SOUTH</t>
  </si>
  <si>
    <t>z</t>
  </si>
  <si>
    <t>Insurance</t>
  </si>
  <si>
    <t>Medical</t>
  </si>
  <si>
    <t>Fees</t>
  </si>
  <si>
    <t>GST CODE</t>
  </si>
  <si>
    <t>CATEGORY</t>
  </si>
  <si>
    <t>Transaction Type</t>
  </si>
  <si>
    <t>Merchant Name</t>
  </si>
  <si>
    <t>HEALTH INSURANCE</t>
  </si>
  <si>
    <t>GoDaddy Online Services Sydney</t>
  </si>
  <si>
    <t>FONEBOX                 SYDNEY</t>
  </si>
  <si>
    <t>TOLLS  &amp; PARKING</t>
  </si>
  <si>
    <t>22-24 NORTHUMBERLAND ST</t>
  </si>
  <si>
    <t>COLLINGWOOD
VIC</t>
  </si>
  <si>
    <t>TILT RYDE 96670         NORTH RYDE</t>
  </si>
  <si>
    <t>SHOP 2 22 BLENHEIM ROAD</t>
  </si>
  <si>
    <t>GST TYPE</t>
  </si>
  <si>
    <t>OUR DESCRIPTION</t>
  </si>
  <si>
    <t>subtotal</t>
  </si>
  <si>
    <t>GAS</t>
  </si>
  <si>
    <t>TEMU.COM*TEMU.COM       PARRAMATTA</t>
  </si>
  <si>
    <t>60 2 2 OCONNELL STREET
NSW</t>
  </si>
  <si>
    <t>CKO*RESOLUTTY.COM 52924 TALLINN</t>
  </si>
  <si>
    <t>HARJU MAAKOND  NOMME LINNAOSA
TALLINN</t>
  </si>
  <si>
    <t>ESTONIA</t>
  </si>
  <si>
    <t>OPENAI *CHATGPT SUBSCR  SAN FRANCISCO</t>
  </si>
  <si>
    <t>22.00 USD</t>
  </si>
  <si>
    <t>3180 18TH ST
STE 100</t>
  </si>
  <si>
    <t>AAMI PI REALTIME        BRISBANE</t>
  </si>
  <si>
    <t>FRC INSURANCE
GPO BOX 1453</t>
  </si>
  <si>
    <t>AD FREE FOR PRIMEVIDEO  SYDNEY</t>
  </si>
  <si>
    <t>PAYPAL *PYPL PAYIN4     1800073263</t>
  </si>
  <si>
    <t>GENERAL
Reference:</t>
  </si>
  <si>
    <t>1 YORK STREET</t>
  </si>
  <si>
    <t>RYDE MART PTY LTD         NORTH RYDE</t>
  </si>
  <si>
    <t>SUBCONT-MARSH</t>
  </si>
  <si>
    <t>SPEEDWAY KENT ROAD PTY  NORTH RYDE</t>
  </si>
  <si>
    <t>38 KENT ROAD</t>
  </si>
  <si>
    <t>MERCHANDISE
Reference:</t>
  </si>
  <si>
    <t>TRAVEL- DOM - ACCOMODATION</t>
  </si>
  <si>
    <t>INSUFFICIENT FUNDS FEE</t>
  </si>
  <si>
    <t>BANKING FEES</t>
  </si>
  <si>
    <t>'10000000010801999940480'</t>
  </si>
  <si>
    <t>MOTOR CAR INSURANCE</t>
  </si>
  <si>
    <t>'AT242200003000010191441'</t>
  </si>
  <si>
    <t>NYTIMES*NYTIMES DISC    800-698-4637</t>
  </si>
  <si>
    <t>620 EIGHTH AVE</t>
  </si>
  <si>
    <t>'AT242200010000010026402'</t>
  </si>
  <si>
    <t>CKO*FS *TECHSMITH 52422 FSPRG.NL</t>
  </si>
  <si>
    <t>DE CUSERSTRAAT 91  2ND BUILDING
NOORD HOLLAND</t>
  </si>
  <si>
    <t>'AT242240004000010179411'</t>
  </si>
  <si>
    <t>SERVICE NSW             BONDI JUNCTION</t>
  </si>
  <si>
    <t>MOTOR REGISTRATION</t>
  </si>
  <si>
    <t>88 EBLEY ST</t>
  </si>
  <si>
    <t>BONDI JUNCTION
NSW</t>
  </si>
  <si>
    <t>'AT242260003000010212396'</t>
  </si>
  <si>
    <t>BEAUTIFUL.AI            SAN FRANCISCO</t>
  </si>
  <si>
    <t>144.00 USD</t>
  </si>
  <si>
    <t>1556 SANCHEZ ST</t>
  </si>
  <si>
    <t>'AT242280003000010216956'</t>
  </si>
  <si>
    <t>'AT242320003000010154922'</t>
  </si>
  <si>
    <t>39.99 USD</t>
  </si>
  <si>
    <t>'AT242390004000010177031'</t>
  </si>
  <si>
    <t>2CO.COM*SUPERSOFT       AMSTERDAM</t>
  </si>
  <si>
    <t>71.44 USD</t>
  </si>
  <si>
    <t>"SINGEL 250, 4TH FLOOR, 1016 AB"
"1ST FLOOR , 101 OFFICE"
AMSTERDAM</t>
  </si>
  <si>
    <t>'AT242400004000010174527'</t>
  </si>
  <si>
    <t>CALM.COM SUBSCRIPTION   PALO ALTO</t>
  </si>
  <si>
    <t>555 BRYANT ST
SUITE 262</t>
  </si>
  <si>
    <t>PALO ALTO
CA</t>
  </si>
  <si>
    <t>'AT242400004000010168153'</t>
  </si>
  <si>
    <t>DELETEME                SOMERVILLE</t>
  </si>
  <si>
    <t>ONE MARINA PARK DR
SUITE 1410</t>
  </si>
  <si>
    <t>BOSTON
MA</t>
  </si>
  <si>
    <t>'AT242420003000010218963'</t>
  </si>
  <si>
    <t>'AT242420003000010211274'</t>
  </si>
  <si>
    <t>'AT242420003000010199240'</t>
  </si>
  <si>
    <t>DIGITAL RIVER GMBH      COLOGNE</t>
  </si>
  <si>
    <t>328.90 USD</t>
  </si>
  <si>
    <t>SCHEIDTWEILERSTRASSE 4
COLOGNE</t>
  </si>
  <si>
    <t>GERMANY</t>
  </si>
  <si>
    <t>'AT242440004000010248600'</t>
  </si>
  <si>
    <t>'AT242440004000010239853'</t>
  </si>
  <si>
    <t>'AT242240004000010154161'</t>
  </si>
  <si>
    <t>'AT242270003000010171181'</t>
  </si>
  <si>
    <t>'AT242280003000010179544'</t>
  </si>
  <si>
    <t>'AT242350003000010190462'</t>
  </si>
  <si>
    <t>'AT242370003000010173129'</t>
  </si>
  <si>
    <t>RYDE NATURAL HEALTH CLI NORTH RYDE</t>
  </si>
  <si>
    <t>MEDICAL - PHYSIO</t>
  </si>
  <si>
    <t>SHOP 1 22-26 BLENHEIM ROAD</t>
  </si>
  <si>
    <t>'AT242370003000010201760'</t>
  </si>
  <si>
    <t>'AT242160003000010165143'</t>
  </si>
  <si>
    <t>'AT242160003000010185461'</t>
  </si>
  <si>
    <t>'AT242180003000010148385'</t>
  </si>
  <si>
    <t>'AT242180010000010030816'</t>
  </si>
  <si>
    <t>'AT242190003000010159149'</t>
  </si>
  <si>
    <t>'AT242200003000010181506'</t>
  </si>
  <si>
    <t>EBAY O*07-11917-66204   SYDNEY</t>
  </si>
  <si>
    <t>1 YORK ST</t>
  </si>
  <si>
    <t>'AT242210003000010196723'</t>
  </si>
  <si>
    <t>'AT242220003000010177107'</t>
  </si>
  <si>
    <t>'AT242210003000010185853'</t>
  </si>
  <si>
    <t>'AT242220003000010220007'</t>
  </si>
  <si>
    <t>'AT242230004000010214501'</t>
  </si>
  <si>
    <t>WINDCAVE*SSAL 1987 SSAL NORTH RYDE</t>
  </si>
  <si>
    <t>5A DELHI ROAD
SHOP 185</t>
  </si>
  <si>
    <t>'AT242250003000010154857'</t>
  </si>
  <si>
    <t>'AT242260003000010200693'</t>
  </si>
  <si>
    <t>'AT242250003000010175226'</t>
  </si>
  <si>
    <t>EB* BRITANNICA          800-323-1229</t>
  </si>
  <si>
    <t>69.95 USD</t>
  </si>
  <si>
    <t>331 NORTH LA SALLE DR</t>
  </si>
  <si>
    <t>CHICAGO
IL</t>
  </si>
  <si>
    <t>60654-2682</t>
  </si>
  <si>
    <t>'AT242250010000010023937'</t>
  </si>
  <si>
    <t>EBAY O*23-11914-76549   SYDNEY</t>
  </si>
  <si>
    <t>'AT242250003000010146342'</t>
  </si>
  <si>
    <t>'AT242250010000010020829'</t>
  </si>
  <si>
    <t>'AT242260003000010160239'</t>
  </si>
  <si>
    <t>MCDONALDS WYNYARD RAIL  SYDNEY</t>
  </si>
  <si>
    <t>SHOP 9
83 - 307 GEORGE ST</t>
  </si>
  <si>
    <t>'AT242280003000010222925'</t>
  </si>
  <si>
    <t>'AT242280003000010168231'</t>
  </si>
  <si>
    <t>EBAY O*04-11951-70948   SYDNEY</t>
  </si>
  <si>
    <t>'AT242290003000010176523'</t>
  </si>
  <si>
    <t>'AT242290003000010186717'</t>
  </si>
  <si>
    <t>'AT242320003000010170866'</t>
  </si>
  <si>
    <t>'AT242320003000010148720'</t>
  </si>
  <si>
    <t>'AT242320003000010190159'</t>
  </si>
  <si>
    <t>GLADESVILLE RSL CLUB 11 GLADESVILLE</t>
  </si>
  <si>
    <t>4-6 LINSLEY ST</t>
  </si>
  <si>
    <t>'AT242330003000010167545'</t>
  </si>
  <si>
    <t>'AT242320010000010048661'</t>
  </si>
  <si>
    <t>PAYPAL *MAICONFZ        4029357733</t>
  </si>
  <si>
    <t>2.00 USD</t>
  </si>
  <si>
    <t>2211 NORTH FIRST STREET</t>
  </si>
  <si>
    <t>USA</t>
  </si>
  <si>
    <t>'AT242340003000010206328'</t>
  </si>
  <si>
    <t>'AT242330003000010148694'</t>
  </si>
  <si>
    <t>WWW.CITYCAVE.COM.AU     GLADESVILLE</t>
  </si>
  <si>
    <t>436 484 VICTORIA ROAD
TENANCY 5 02</t>
  </si>
  <si>
    <t>'AT242330003000010201255'</t>
  </si>
  <si>
    <t>ADRENALINE HQ           WEST RYDE</t>
  </si>
  <si>
    <t>1055 VICTORIA ROAD</t>
  </si>
  <si>
    <t>WEST RYDE
NSW</t>
  </si>
  <si>
    <t>'AT242350003000010178242'</t>
  </si>
  <si>
    <t>'AT242350003000010229387'</t>
  </si>
  <si>
    <t>CENTR                   CREMORNE</t>
  </si>
  <si>
    <t>9 11 CREMORNE STREET
LEVEL 2</t>
  </si>
  <si>
    <t>'AT242350003000010216157'</t>
  </si>
  <si>
    <t>'AT242340010000010026193'</t>
  </si>
  <si>
    <t>'AT242350003000010226910'</t>
  </si>
  <si>
    <t>'AT242370003000010205146'</t>
  </si>
  <si>
    <t>WOOLWORTHS 1339 TOP RYD RYDE</t>
  </si>
  <si>
    <t>TOP RYDE CITY CENTRE
CRN BLAXLAND DEVLINS STS</t>
  </si>
  <si>
    <t>RYDE
NSW</t>
  </si>
  <si>
    <t>'AT242370003000010196009'</t>
  </si>
  <si>
    <t>'AT242360004000010172856'</t>
  </si>
  <si>
    <t>'AT242370003000010208711'</t>
  </si>
  <si>
    <t>'AT242370003000010183867'</t>
  </si>
  <si>
    <t>QUIKSHOTS               MASCOT</t>
  </si>
  <si>
    <t>TERMINAL 2
SYDNEY AIRPORT</t>
  </si>
  <si>
    <t>'AT242390004000010168497'</t>
  </si>
  <si>
    <t>'AT242400004000010199603'</t>
  </si>
  <si>
    <t>'AT242390009000010037571'</t>
  </si>
  <si>
    <t>'AT242440004000010199324'</t>
  </si>
  <si>
    <t>JUMBO TOM               Gladesville</t>
  </si>
  <si>
    <t>UNIT 33</t>
  </si>
  <si>
    <t>ASHFIELD
NSW</t>
  </si>
  <si>
    <t>'AT242430009000010025740'</t>
  </si>
  <si>
    <t>ZZ</t>
  </si>
  <si>
    <t>'AT242230004000010172527'</t>
  </si>
  <si>
    <t>INTEREST CHARGES</t>
  </si>
  <si>
    <t>D J*WSJ                 800-568-7625</t>
  </si>
  <si>
    <t>CKO*PATREON* MEMBERSHIP DUBLIN</t>
  </si>
  <si>
    <t>Hunters Hill Medical Werribee</t>
  </si>
  <si>
    <t>Hunters Hill Medical Practice</t>
  </si>
  <si>
    <t>Hunters Hill Medical      Hunters Hill</t>
  </si>
  <si>
    <t>VSA_THELIVEN.COM          TALLINN  14.99  USD 0.66 AUD</t>
  </si>
  <si>
    <t>VSA_THELIVEN.COM          TALLINN  19.99  USD 0.89 AUD</t>
  </si>
  <si>
    <t>JIAHE TRADING AUSTRALI    CHATSWOOD</t>
  </si>
  <si>
    <t>eBay O*04-12048-24288     San Jose  50.42  USD 2.27 AUD</t>
  </si>
  <si>
    <t>OF                        LONDON  16.49  USD 0.74 AUD</t>
  </si>
  <si>
    <t>OF                        London  5.00  USD 0.23 AUD</t>
  </si>
  <si>
    <t>CMEDIA                    6122345288  34.99  USD 1.58 AUD</t>
  </si>
  <si>
    <t>ERGON 1                   GLADESVILLE</t>
  </si>
  <si>
    <t>AFTERPAY                  AFTERPAY.COM/</t>
  </si>
  <si>
    <t>OF                        LONDON  16.49  USD 0.73 AUD</t>
  </si>
  <si>
    <t>OF                        London  8.79  USD 0.39 AUD</t>
  </si>
  <si>
    <t>AFTERPAY                  HTTPSWWW.AFTE</t>
  </si>
  <si>
    <t>Arrive Date: 20240901                   Depart Date: 20240901
Reference: 00</t>
  </si>
  <si>
    <t>'AT242450003000010172750'</t>
  </si>
  <si>
    <t>'AT242480003000010181623'</t>
  </si>
  <si>
    <t>'AT242470003000010172989'</t>
  </si>
  <si>
    <t>'AT242480003000010211464'</t>
  </si>
  <si>
    <t>'AT242520004000010211453'</t>
  </si>
  <si>
    <t>'AT242530003000010158832'</t>
  </si>
  <si>
    <t>'AT242550003000010174391'</t>
  </si>
  <si>
    <t>'AT242540004000010188523'</t>
  </si>
  <si>
    <t>'AT242560003000010205423'</t>
  </si>
  <si>
    <t>'AT242550003000010211743'</t>
  </si>
  <si>
    <t>'AT242550003000010219121'</t>
  </si>
  <si>
    <t>MOTOR VEHICLE EQUIPMENT</t>
  </si>
  <si>
    <t>'AT242560003000010187166'</t>
  </si>
  <si>
    <t>'AT242560003000010182289'</t>
  </si>
  <si>
    <t>'AT242570009000010016983'</t>
  </si>
  <si>
    <t>'AT242600003000010151961'</t>
  </si>
  <si>
    <t>'AT242590004000010171632'</t>
  </si>
  <si>
    <t>'AT242600009000010056427'</t>
  </si>
  <si>
    <t>'AT242610004000010218604'</t>
  </si>
  <si>
    <t>'AT242620004000010239541'</t>
  </si>
  <si>
    <t>'AT242630003000010206993'</t>
  </si>
  <si>
    <t>AP NORTH RYDE LPO       NORTH RYDE</t>
  </si>
  <si>
    <t>SHOP 15 203-213 COXS ROAD</t>
  </si>
  <si>
    <t>'AT242640003000010226410'</t>
  </si>
  <si>
    <t>'AT242640009000010013276'</t>
  </si>
  <si>
    <t>'AT242640009000010013275'</t>
  </si>
  <si>
    <t>'AT242650003000010276299'</t>
  </si>
  <si>
    <t>'AT242660004000010187814'</t>
  </si>
  <si>
    <t>'AT242670003000010171824'</t>
  </si>
  <si>
    <t>'AT242660004000010230017'</t>
  </si>
  <si>
    <t>'AT242690003000010238350'</t>
  </si>
  <si>
    <t>'AT242680003000010208634'</t>
  </si>
  <si>
    <t>'AT242690003000010239912'</t>
  </si>
  <si>
    <t>DESKY 0312              EAST BRISBANE</t>
  </si>
  <si>
    <t>47 MANILLA STREET</t>
  </si>
  <si>
    <t>EAST BRISBANE
QLD</t>
  </si>
  <si>
    <t>'AT242680003000010159920'</t>
  </si>
  <si>
    <t>MIGRAINE AUSTRALIA      EAST MAITLAND</t>
  </si>
  <si>
    <t>13C WILTON DRIVE</t>
  </si>
  <si>
    <t>EAST MAITLAND
NSW</t>
  </si>
  <si>
    <t>'AT242690003000010250535'</t>
  </si>
  <si>
    <t>THE WILLIAM INGLIS OPI  WARWICK FARM</t>
  </si>
  <si>
    <t>155 GOVERNOR MACQUARIE DRIVE</t>
  </si>
  <si>
    <t>WARWICK FARM
NSW</t>
  </si>
  <si>
    <t>'AT242700003000010200865'</t>
  </si>
  <si>
    <t>SP DESKY 0312           EAST BRISBANE</t>
  </si>
  <si>
    <t>'AT242700003000010217619'</t>
  </si>
  <si>
    <t>'AT242720003000010199341'</t>
  </si>
  <si>
    <t>'AT242720003000010218410'</t>
  </si>
  <si>
    <t>'AT242720003000010216674'</t>
  </si>
  <si>
    <t>'AT242720003000010230134'</t>
  </si>
  <si>
    <t>QUARTERLY ESSAY 1YR     COLLINGWOOD</t>
  </si>
  <si>
    <t>'AT242710010000010017100'</t>
  </si>
  <si>
    <t>LS BELL'S MILK BAR      BROKEN HILL</t>
  </si>
  <si>
    <t>160 PATTON ST</t>
  </si>
  <si>
    <t>'AT242740003000010147302'</t>
  </si>
  <si>
    <t>SYD301 SYD301           MASCOT</t>
  </si>
  <si>
    <t>SHOP 1 QANTAS
TERMINAL SYDNEY DOMESTIC AIRPORT
QANTAS DRIVE</t>
  </si>
  <si>
    <t>'AT242740010000010045726'</t>
  </si>
  <si>
    <t>'AT242730010000010028221'</t>
  </si>
  <si>
    <t>'AT242760004000010287126'</t>
  </si>
  <si>
    <t>CHARLOTTES AT THE GRAN  BROKEN HILL</t>
  </si>
  <si>
    <t>317 ARGENT STREET</t>
  </si>
  <si>
    <t>'AT242750003000010224515'</t>
  </si>
  <si>
    <t>'AT242460004000010165778'</t>
  </si>
  <si>
    <t>'AT242470004000010135399'</t>
  </si>
  <si>
    <t>'AT242500004000010143847'</t>
  </si>
  <si>
    <t>'AT242600004000010151522'</t>
  </si>
  <si>
    <t>'AT242620003000010147866'</t>
  </si>
  <si>
    <t>'AT242670004000010164889'</t>
  </si>
  <si>
    <t>'AT242680004000010138100'</t>
  </si>
  <si>
    <t>'AT242740004000010158621'</t>
  </si>
  <si>
    <t>'AT242520003000010170897'</t>
  </si>
  <si>
    <t>'AT242590003000010161255'</t>
  </si>
  <si>
    <t>'10000000010913999992030'</t>
  </si>
  <si>
    <t>LINKEDIN PRE 9923808543 SINGAPORE</t>
  </si>
  <si>
    <t>'AT242600010000010028061'</t>
  </si>
  <si>
    <t>'AT242710009000010010786'</t>
  </si>
  <si>
    <t>'AT242510004000010157161'</t>
  </si>
  <si>
    <t>'AT242580004000010164076'</t>
  </si>
  <si>
    <t>'AT242650004000010182115'</t>
  </si>
  <si>
    <t>'AT242720004000010164810'</t>
  </si>
  <si>
    <t>'AT242460004000010165823'</t>
  </si>
  <si>
    <t>SENZA ESPRESSO BAR      SYDNEY</t>
  </si>
  <si>
    <t>SHOP 1 LOBBY 255 GEORGE ST</t>
  </si>
  <si>
    <t>'AT242510004000010157363'</t>
  </si>
  <si>
    <t>'AT242540003000010137082'</t>
  </si>
  <si>
    <t>'AT242560004000010143062'</t>
  </si>
  <si>
    <t>TEMU.COM                PARRAMATTA</t>
  </si>
  <si>
    <t>'AT242560009000010009777'</t>
  </si>
  <si>
    <t>KURTOSH CROWS NEST 6346 CROWS NEST</t>
  </si>
  <si>
    <t>110-112 WILLOUGHBY ROAD</t>
  </si>
  <si>
    <t>CROWS NEST
NSW</t>
  </si>
  <si>
    <t>'AT242600004000010151536'</t>
  </si>
  <si>
    <t>POCKETMAGS.COM          REIGATE, SURREY</t>
  </si>
  <si>
    <t>31 LONDON ROAD
JELLYFISH LTD</t>
  </si>
  <si>
    <t>"REIGATE, SURREY"
ENG</t>
  </si>
  <si>
    <t>RH2 9SS</t>
  </si>
  <si>
    <t>'AT242660003000010179552'</t>
  </si>
  <si>
    <t>'AT242670004000010164922'</t>
  </si>
  <si>
    <t>'AT242670004000010164921'</t>
  </si>
  <si>
    <t>MOTOR MAINTENANCE</t>
  </si>
  <si>
    <t>XPERT CARWASH MACQUARIE PAR</t>
  </si>
  <si>
    <t>MISCELLANEOUS CREDIT</t>
  </si>
  <si>
    <t>AUTO LATE FEE REVERSAL</t>
  </si>
  <si>
    <t>Refund</t>
  </si>
  <si>
    <t>MISCELLANEOUS DEBIT</t>
  </si>
  <si>
    <t>LATE PAYMENT FEE</t>
  </si>
  <si>
    <t>MEDICAL-SPEECH THERAPY</t>
  </si>
  <si>
    <t>CATE MADILL VOICE MELBOURNE</t>
  </si>
  <si>
    <t>Cate Madill Voice &amp; Speech</t>
  </si>
  <si>
    <t>Zizanos North Ryde</t>
  </si>
  <si>
    <t>Caf√© &amp; coffee</t>
  </si>
  <si>
    <t>Zizanos</t>
  </si>
  <si>
    <t>INTERNET WITHDRAWAL           03SEP06:15 | CP Lease U301</t>
  </si>
  <si>
    <t>ZIPMONEY | ZipMny P622232646</t>
  </si>
  <si>
    <t>TFR WDL BPAY INTERNET         11SEP17:57 | 4303301000182145    nab cards</t>
  </si>
  <si>
    <t>TFR WDL BPAY INTERNET         11SEP17:57 | 5039468427563708    CreditLine</t>
  </si>
  <si>
    <t>INTERNET WITHDRAWAL           12SEP16:52 | 30001608667</t>
  </si>
  <si>
    <t>1300 NUMBER</t>
  </si>
  <si>
    <t>Waverley Council | 239674</t>
  </si>
  <si>
    <t>INTERNET WITHDRAWAL           13SEP02:48 | INV-7076 Masters Le Mesu</t>
  </si>
  <si>
    <t>PROFESSIONAL FEES (ACCOUNTANT)</t>
  </si>
  <si>
    <t>INTERNET WITHDRAWAL           13SEP02:51 | INV-7076 Masters Le Mesu</t>
  </si>
  <si>
    <t>Ambulance Servic | 7849347</t>
  </si>
  <si>
    <t>INTERNET WITHDRAWAL           17SEP06:16 | CP Lease U301</t>
  </si>
  <si>
    <t>INTERNET WITHDRAWAL           19SEP16:59 | SubCont IreneLomis</t>
  </si>
  <si>
    <t>INTERNET WITHDRAWAL           19SEP16:59 | SubCont MichaelaB</t>
  </si>
  <si>
    <t>INTERNET WITHDRAWAL           19SEP16:59 | SubCont PaulMarsh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</si>
</sst>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165" formatCode="[$$-C09]#,##0.00"/>
    <numFmt numFmtId="166" formatCode="&quot;$&quot;#,##0.00;[Red]&quot;$&quot;#,##0.00"/>
    <numFmt numFmtId="167" formatCode="&quot;$&quot;#,##0.00"/>
    <numFmt numFmtId="168" formatCode="dd/mm/yyyy;@"/>
    <numFmt numFmtId="169" formatCode="d/m/yyyy;@"/>
    <numFmt numFmtId="170" formatCode="d/mm/yyyy;@"/>
  </numFmts>
  <fonts count="17">
    <font>
      <sz val="12"/>
      <color theme="1"/>
      <name val="Calibri"/>
      <family val="2"/>
      <scheme val="minor"/>
    </font>
    <font>
      <b/>
      <sz val="12"/>
      <color rgb="FF000000"/>
      <name val="Sansation Regular"/>
    </font>
    <font>
      <b/>
      <sz val="12"/>
      <name val="Sansation Regula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494949"/>
      <name val="Arial"/>
      <family val="2"/>
    </font>
    <font>
      <sz val="16"/>
      <color rgb="FF494949"/>
      <name val="Myriad-pro"/>
    </font>
    <font>
      <sz val="14"/>
      <color rgb="FF008A02"/>
      <name val="Arial"/>
      <family val="2"/>
    </font>
    <font>
      <sz val="14"/>
      <color rgb="FF0072AC"/>
      <name val="Arial"/>
      <family val="2"/>
    </font>
    <font>
      <sz val="12"/>
      <color rgb="FF000000"/>
      <name val="Calibri"/>
      <family val="2"/>
      <scheme val="minor"/>
    </font>
    <font>
      <sz val="14"/>
      <color rgb="FF33363E"/>
      <name val="Helvetica"/>
      <family val="2"/>
    </font>
    <font>
      <sz val="12"/>
      <color rgb="FF33363E"/>
      <name val="Helvetica"/>
      <family val="2"/>
    </font>
    <font>
      <b/>
      <sz val="12"/>
      <color rgb="FFFF0000"/>
      <name val="Calibri"/>
      <family val="2"/>
      <scheme val="minor"/>
    </font>
    <font>
      <b/>
      <sz val="11"/>
      <color indexed="1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2F2F2"/>
      </patternFill>
    </fill>
    <fill>
      <patternFill patternType="solid">
        <fgColor indexed="9"/>
      </patternFill>
    </fill>
  </fills>
  <borders count="3">
    <border>
      <left/>
      <right/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 style="medium">
        <color rgb="FFF2F2F2"/>
      </left>
      <right/>
      <top/>
      <bottom/>
      <diagonal/>
    </border>
  </borders>
  <cellStyleXfs count="1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5">
    <xf numFmtId="0" fontId="0" fillId="0" borderId="0" xfId="0"/>
    <xf numFmtId="4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right"/>
    </xf>
    <xf numFmtId="165" fontId="5" fillId="0" borderId="0" xfId="0" applyNumberFormat="1" applyFont="1"/>
    <xf numFmtId="8" fontId="0" fillId="0" borderId="0" xfId="0" applyNumberFormat="1"/>
    <xf numFmtId="4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15" fontId="0" fillId="0" borderId="0" xfId="0" applyNumberFormat="1"/>
    <xf numFmtId="165" fontId="0" fillId="0" borderId="0" xfId="0" applyNumberFormat="1" applyAlignment="1">
      <alignment horizontal="right"/>
    </xf>
    <xf numFmtId="167" fontId="0" fillId="0" borderId="0" xfId="0" applyNumberFormat="1"/>
    <xf numFmtId="40" fontId="0" fillId="0" borderId="0" xfId="0" applyNumberFormat="1"/>
    <xf numFmtId="0" fontId="0" fillId="0" borderId="0" xfId="0" applyAlignment="1">
      <alignment wrapText="1"/>
    </xf>
    <xf numFmtId="40" fontId="0" fillId="0" borderId="0" xfId="0" applyNumberFormat="1" applyAlignment="1">
      <alignment wrapText="1"/>
    </xf>
    <xf numFmtId="16" fontId="7" fillId="0" borderId="0" xfId="0" applyNumberFormat="1" applyFont="1"/>
    <xf numFmtId="0" fontId="6" fillId="0" borderId="0" xfId="0" applyFont="1"/>
    <xf numFmtId="8" fontId="8" fillId="0" borderId="0" xfId="0" applyNumberFormat="1" applyFont="1"/>
    <xf numFmtId="8" fontId="7" fillId="0" borderId="0" xfId="0" applyNumberFormat="1" applyFont="1"/>
    <xf numFmtId="0" fontId="9" fillId="0" borderId="0" xfId="0" applyFont="1"/>
    <xf numFmtId="168" fontId="1" fillId="2" borderId="0" xfId="0" applyNumberFormat="1" applyFont="1" applyFill="1" applyAlignment="1">
      <alignment horizontal="center" vertical="center"/>
    </xf>
    <xf numFmtId="168" fontId="0" fillId="0" borderId="0" xfId="0" applyNumberFormat="1"/>
    <xf numFmtId="0" fontId="10" fillId="0" borderId="0" xfId="0" applyFont="1"/>
    <xf numFmtId="166" fontId="10" fillId="0" borderId="0" xfId="0" applyNumberFormat="1" applyFont="1"/>
    <xf numFmtId="0" fontId="11" fillId="0" borderId="0" xfId="0" applyFont="1"/>
    <xf numFmtId="167" fontId="12" fillId="0" borderId="0" xfId="0" applyNumberFormat="1" applyFont="1"/>
    <xf numFmtId="0" fontId="0" fillId="0" borderId="0" xfId="0" applyAlignment="1">
      <alignment horizontal="left"/>
    </xf>
    <xf numFmtId="0" fontId="13" fillId="0" borderId="0" xfId="0" applyFont="1"/>
    <xf numFmtId="0" fontId="15" fillId="4" borderId="2" xfId="0" applyFont="1" applyFill="1" applyBorder="1" applyAlignment="1">
      <alignment horizontal="left" wrapText="1"/>
    </xf>
    <xf numFmtId="2" fontId="15" fillId="4" borderId="2" xfId="0" applyNumberFormat="1" applyFont="1" applyFill="1" applyBorder="1" applyAlignment="1">
      <alignment horizontal="right" wrapText="1"/>
    </xf>
    <xf numFmtId="2" fontId="15" fillId="4" borderId="2" xfId="0" applyNumberFormat="1" applyFont="1" applyFill="1" applyBorder="1" applyAlignment="1">
      <alignment horizontal="center" wrapText="1"/>
    </xf>
    <xf numFmtId="2" fontId="15" fillId="4" borderId="2" xfId="0" applyNumberFormat="1" applyFont="1" applyFill="1" applyBorder="1" applyAlignment="1">
      <alignment horizontal="left" wrapText="1"/>
    </xf>
    <xf numFmtId="0" fontId="15" fillId="3" borderId="2" xfId="0" applyFont="1" applyFill="1" applyBorder="1" applyAlignment="1">
      <alignment horizontal="left" wrapText="1"/>
    </xf>
    <xf numFmtId="2" fontId="15" fillId="3" borderId="2" xfId="0" applyNumberFormat="1" applyFont="1" applyFill="1" applyBorder="1" applyAlignment="1">
      <alignment horizontal="right" wrapText="1"/>
    </xf>
    <xf numFmtId="2" fontId="15" fillId="3" borderId="2" xfId="0" applyNumberFormat="1" applyFont="1" applyFill="1" applyBorder="1" applyAlignment="1">
      <alignment horizontal="center" wrapText="1"/>
    </xf>
    <xf numFmtId="2" fontId="15" fillId="3" borderId="2" xfId="0" applyNumberFormat="1" applyFont="1" applyFill="1" applyBorder="1" applyAlignment="1">
      <alignment horizontal="left" wrapText="1"/>
    </xf>
    <xf numFmtId="0" fontId="14" fillId="4" borderId="0" xfId="0" applyFont="1" applyFill="1" applyAlignment="1">
      <alignment horizontal="left" vertical="center" wrapText="1"/>
    </xf>
    <xf numFmtId="0" fontId="16" fillId="4" borderId="0" xfId="0" applyFont="1" applyFill="1" applyAlignment="1">
      <alignment horizontal="left" wrapText="1"/>
    </xf>
    <xf numFmtId="0" fontId="15" fillId="4" borderId="0" xfId="0" applyFont="1" applyFill="1" applyAlignment="1">
      <alignment horizontal="left" wrapText="1"/>
    </xf>
    <xf numFmtId="167" fontId="15" fillId="4" borderId="2" xfId="0" applyNumberFormat="1" applyFont="1" applyFill="1" applyBorder="1" applyAlignment="1">
      <alignment horizontal="right" wrapText="1"/>
    </xf>
    <xf numFmtId="167" fontId="15" fillId="3" borderId="2" xfId="0" applyNumberFormat="1" applyFont="1" applyFill="1" applyBorder="1" applyAlignment="1">
      <alignment horizontal="right" wrapText="1"/>
    </xf>
    <xf numFmtId="0" fontId="5" fillId="0" borderId="0" xfId="0" applyFont="1" applyAlignment="1">
      <alignment wrapText="1"/>
    </xf>
    <xf numFmtId="0" fontId="5" fillId="0" borderId="0" xfId="0" applyFont="1"/>
    <xf numFmtId="166" fontId="5" fillId="0" borderId="0" xfId="0" applyNumberFormat="1" applyFont="1"/>
    <xf numFmtId="0" fontId="5" fillId="0" borderId="1" xfId="0" applyFont="1" applyBorder="1" applyAlignment="1">
      <alignment wrapText="1"/>
    </xf>
    <xf numFmtId="0" fontId="5" fillId="0" borderId="1" xfId="0" applyFont="1" applyBorder="1"/>
    <xf numFmtId="167" fontId="5" fillId="0" borderId="1" xfId="0" applyNumberFormat="1" applyFont="1" applyBorder="1"/>
    <xf numFmtId="0" fontId="15" fillId="3" borderId="0" xfId="0" applyFont="1" applyFill="1" applyAlignment="1">
      <alignment horizontal="left" wrapText="1"/>
    </xf>
    <xf numFmtId="169" fontId="15" fillId="4" borderId="2" xfId="0" applyNumberFormat="1" applyFont="1" applyFill="1" applyBorder="1" applyAlignment="1">
      <alignment horizontal="left" vertical="center" wrapText="1"/>
    </xf>
    <xf numFmtId="0" fontId="15" fillId="4" borderId="2" xfId="0" applyFont="1" applyFill="1" applyBorder="1" applyAlignment="1">
      <alignment horizontal="left" vertical="center" wrapText="1"/>
    </xf>
    <xf numFmtId="0" fontId="15" fillId="4" borderId="2" xfId="0" applyFont="1" applyFill="1" applyBorder="1" applyAlignment="1">
      <alignment horizontal="center" vertical="center" wrapText="1"/>
    </xf>
    <xf numFmtId="165" fontId="15" fillId="4" borderId="2" xfId="0" applyNumberFormat="1" applyFont="1" applyFill="1" applyBorder="1" applyAlignment="1">
      <alignment horizontal="center" vertical="center" wrapText="1"/>
    </xf>
    <xf numFmtId="2" fontId="15" fillId="4" borderId="2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2" fontId="0" fillId="0" borderId="0" xfId="0" applyNumberFormat="1"/>
    <xf numFmtId="170" fontId="0" fillId="0" borderId="0" xfId="0" applyNumberFormat="1"/>
    <xf numFmtId="167" fontId="15" fillId="3" borderId="0" xfId="0" applyNumberFormat="1" applyFont="1" applyFill="1" applyAlignment="1">
      <alignment horizontal="right" wrapText="1"/>
    </xf>
    <xf numFmtId="14" fontId="0" fillId="0" borderId="0" xfId="0" applyNumberFormat="1" applyAlignment="1">
      <alignment horizontal="center" vertical="center"/>
    </xf>
    <xf numFmtId="165" fontId="15" fillId="4" borderId="2" xfId="0" applyNumberFormat="1" applyFont="1" applyFill="1" applyBorder="1" applyAlignment="1">
      <alignment horizontal="left" wrapText="1"/>
    </xf>
  </cellXfs>
  <cellStyles count="19"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13" builtinId="8" hidden="1"/>
    <cellStyle name="Hyperlink" xfId="17" builtinId="8" hidden="1"/>
    <cellStyle name="Hyperlink" xfId="15" builtinId="8" hidden="1"/>
    <cellStyle name="Hyperlink" xfId="7" builtinId="8" hidden="1"/>
    <cellStyle name="Hyperlink" xfId="9" builtinId="8" hidden="1"/>
    <cellStyle name="Hyperlink" xfId="11" builtinId="8" hidden="1"/>
    <cellStyle name="Hyperlink" xfId="3" builtinId="8" hidden="1"/>
    <cellStyle name="Hyperlink" xfId="5" builtinId="8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R61"/>
  <sheetViews>
    <sheetView topLeftCell="A23" zoomScale="125" zoomScaleNormal="125" workbookViewId="0">
      <selection activeCell="H42" sqref="H42"/>
    </sheetView>
  </sheetViews>
  <sheetFormatPr baseColWidth="10" defaultColWidth="11" defaultRowHeight="16"/>
  <cols>
    <col min="5" max="5" width="11.6640625" bestFit="1" customWidth="1"/>
    <col min="6" max="6" width="16.6640625" bestFit="1" customWidth="1"/>
    <col min="7" max="7" width="11" style="8"/>
    <col min="9" max="9" width="13.1640625" bestFit="1" customWidth="1"/>
    <col min="13" max="13" width="26.6640625" bestFit="1" customWidth="1"/>
    <col min="18" max="18" width="13.6640625" style="8" bestFit="1" customWidth="1"/>
  </cols>
  <sheetData>
    <row r="6" spans="2:18">
      <c r="B6" t="s">
        <v>10</v>
      </c>
      <c r="D6" t="s">
        <v>1</v>
      </c>
      <c r="E6" s="8">
        <f>'AMEX CHARGE'!F47</f>
        <v>3723.3699999999972</v>
      </c>
      <c r="F6" s="8" t="s">
        <v>2</v>
      </c>
      <c r="G6" s="8">
        <f>'AMEX CHARGE'!F48</f>
        <v>338.48818181818154</v>
      </c>
      <c r="I6" s="8" t="s">
        <v>3</v>
      </c>
      <c r="J6" s="8">
        <f>'AMEX CHARGE'!F77</f>
        <v>1600.67</v>
      </c>
      <c r="M6" t="s">
        <v>4</v>
      </c>
      <c r="P6" t="s">
        <v>5</v>
      </c>
      <c r="R6" s="8">
        <f>'MAIN TXN ACC 000 0465 083 897'!H20</f>
        <v>-499.60909090909087</v>
      </c>
    </row>
    <row r="7" spans="2:18">
      <c r="D7" t="s">
        <v>6</v>
      </c>
      <c r="E7" s="8">
        <f>'AMEX CHARGE'!F77</f>
        <v>1600.67</v>
      </c>
      <c r="F7" s="8"/>
      <c r="H7" s="8"/>
      <c r="P7" t="s">
        <v>7</v>
      </c>
      <c r="R7" s="8">
        <f>-G28</f>
        <v>-397.04181818181792</v>
      </c>
    </row>
    <row r="8" spans="2:18">
      <c r="C8" s="8"/>
      <c r="D8" s="16" t="s">
        <v>8</v>
      </c>
      <c r="E8" s="8">
        <v>0</v>
      </c>
      <c r="F8" s="8"/>
      <c r="H8" s="8"/>
      <c r="I8" s="8"/>
      <c r="J8" s="8"/>
    </row>
    <row r="9" spans="2:18">
      <c r="E9" s="8"/>
      <c r="F9" s="8"/>
      <c r="H9" s="8"/>
      <c r="I9" s="8"/>
      <c r="J9" s="8"/>
      <c r="N9" s="8"/>
      <c r="P9" t="s">
        <v>9</v>
      </c>
      <c r="R9" s="10">
        <f>SUM(R6:R8)</f>
        <v>-896.65090909090873</v>
      </c>
    </row>
    <row r="10" spans="2:18">
      <c r="B10" t="s">
        <v>0</v>
      </c>
      <c r="D10" t="s">
        <v>1</v>
      </c>
      <c r="E10" s="8">
        <f>'AMEX CREDIT'!H17</f>
        <v>463.79</v>
      </c>
      <c r="F10" s="8" t="s">
        <v>2</v>
      </c>
      <c r="G10" s="8">
        <f>'AMEX CREDIT'!H18</f>
        <v>42.162727272727274</v>
      </c>
      <c r="H10" s="8"/>
      <c r="I10" s="8" t="s">
        <v>3</v>
      </c>
      <c r="J10" s="8">
        <f>'AMEX CREDIT'!H37</f>
        <v>26</v>
      </c>
      <c r="N10" s="8"/>
    </row>
    <row r="11" spans="2:18">
      <c r="D11" t="s">
        <v>6</v>
      </c>
      <c r="E11" s="8">
        <f>'AMEX CREDIT'!H29</f>
        <v>237.51</v>
      </c>
      <c r="F11" s="8"/>
      <c r="H11" s="8"/>
      <c r="N11" s="8"/>
    </row>
    <row r="12" spans="2:18">
      <c r="D12" s="16" t="s">
        <v>8</v>
      </c>
      <c r="E12" s="8">
        <v>0</v>
      </c>
      <c r="F12" s="8"/>
      <c r="H12" s="8"/>
      <c r="I12" s="8"/>
      <c r="J12" s="8"/>
      <c r="N12" s="8"/>
    </row>
    <row r="13" spans="2:18">
      <c r="E13" s="8"/>
      <c r="F13" s="8"/>
      <c r="H13" s="8"/>
      <c r="I13" s="8"/>
      <c r="J13" s="8"/>
      <c r="N13" s="8"/>
    </row>
    <row r="14" spans="2:18">
      <c r="E14" s="8"/>
      <c r="F14" s="8"/>
      <c r="H14" s="8"/>
      <c r="I14" s="8"/>
      <c r="J14" s="8"/>
    </row>
    <row r="15" spans="2:18">
      <c r="B15" t="s">
        <v>11</v>
      </c>
      <c r="D15" t="s">
        <v>1</v>
      </c>
      <c r="E15" s="8">
        <f>'ANZ CARDS'!B5</f>
        <v>83.87</v>
      </c>
      <c r="F15" s="8" t="s">
        <v>2</v>
      </c>
      <c r="G15" s="8">
        <f>'ANZ CARDS'!B6</f>
        <v>7.624545454545455</v>
      </c>
      <c r="H15" s="8"/>
      <c r="I15" s="8" t="s">
        <v>3</v>
      </c>
      <c r="J15" s="8">
        <f>'ANZ CARDS'!B14</f>
        <v>187.41</v>
      </c>
    </row>
    <row r="16" spans="2:18">
      <c r="D16" t="s">
        <v>6</v>
      </c>
      <c r="E16" s="8">
        <f>'ANZ CARDS'!B10</f>
        <v>83.87</v>
      </c>
      <c r="F16" s="8"/>
      <c r="H16" s="8"/>
      <c r="I16" s="8"/>
      <c r="J16" s="8"/>
    </row>
    <row r="17" spans="2:10">
      <c r="E17" s="8"/>
      <c r="F17" s="8"/>
      <c r="H17" s="8"/>
      <c r="I17" s="8"/>
      <c r="J17" s="8"/>
    </row>
    <row r="18" spans="2:10">
      <c r="E18" s="8"/>
      <c r="F18" s="8"/>
      <c r="H18" s="8"/>
      <c r="I18" s="8"/>
      <c r="J18" s="8"/>
    </row>
    <row r="19" spans="2:10">
      <c r="B19" t="s">
        <v>12</v>
      </c>
      <c r="D19" t="s">
        <v>1</v>
      </c>
      <c r="E19" s="8">
        <f>NAB!B4</f>
        <v>96.43</v>
      </c>
      <c r="F19" s="8" t="s">
        <v>2</v>
      </c>
      <c r="G19" s="8">
        <f>NAB!B5</f>
        <v>8.7663636363636375</v>
      </c>
      <c r="H19" s="8"/>
      <c r="I19" s="8" t="s">
        <v>3</v>
      </c>
      <c r="J19" s="8">
        <f>NAB!B19</f>
        <v>2961.64</v>
      </c>
    </row>
    <row r="20" spans="2:10">
      <c r="D20" t="s">
        <v>6</v>
      </c>
      <c r="E20" s="8">
        <f>NAB!B11</f>
        <v>30</v>
      </c>
      <c r="F20" s="8"/>
      <c r="H20" s="8"/>
      <c r="I20" s="8"/>
      <c r="J20" s="8"/>
    </row>
    <row r="21" spans="2:10">
      <c r="E21" s="8"/>
      <c r="F21" s="8"/>
      <c r="H21" s="8"/>
      <c r="I21" s="8"/>
      <c r="J21" s="8"/>
    </row>
    <row r="22" spans="2:10">
      <c r="B22" t="s">
        <v>13</v>
      </c>
      <c r="D22" t="s">
        <v>14</v>
      </c>
      <c r="E22" s="8"/>
      <c r="F22" s="8"/>
      <c r="H22" s="8"/>
      <c r="I22" s="8"/>
      <c r="J22" s="8"/>
    </row>
    <row r="23" spans="2:10">
      <c r="D23" t="s">
        <v>6</v>
      </c>
      <c r="E23" s="8">
        <v>0</v>
      </c>
      <c r="F23" s="8"/>
      <c r="H23" s="8"/>
      <c r="I23" s="8"/>
      <c r="J23" s="8"/>
    </row>
    <row r="24" spans="2:10">
      <c r="E24" s="8"/>
      <c r="F24" s="8"/>
      <c r="H24" s="8"/>
      <c r="I24" s="8"/>
      <c r="J24" s="8"/>
    </row>
    <row r="25" spans="2:10">
      <c r="B25" t="s">
        <v>106</v>
      </c>
      <c r="D25" t="s">
        <v>14</v>
      </c>
      <c r="E25" s="8">
        <f>'ANZ - Advocating for Humanity'!B6</f>
        <v>0</v>
      </c>
      <c r="F25" s="8"/>
      <c r="G25" s="8">
        <f>'ANZ - Advocating for Humanity'!B7</f>
        <v>0</v>
      </c>
      <c r="H25" s="8"/>
      <c r="I25" s="8"/>
      <c r="J25" s="8"/>
    </row>
    <row r="26" spans="2:10">
      <c r="D26" t="s">
        <v>107</v>
      </c>
      <c r="E26" s="8">
        <f>'ANZ - Advocating for Humanity'!B12</f>
        <v>0</v>
      </c>
      <c r="F26" s="8"/>
      <c r="H26" s="8"/>
      <c r="I26" s="8"/>
      <c r="J26" s="8"/>
    </row>
    <row r="27" spans="2:10">
      <c r="E27" s="8"/>
      <c r="F27" s="8"/>
      <c r="H27" s="8"/>
      <c r="I27" s="8"/>
      <c r="J27" s="8"/>
    </row>
    <row r="28" spans="2:10">
      <c r="B28" t="s">
        <v>15</v>
      </c>
      <c r="E28" s="8">
        <f>SUM(E6:E23)</f>
        <v>6319.5099999999975</v>
      </c>
      <c r="F28" s="8" t="s">
        <v>2</v>
      </c>
      <c r="G28" s="8">
        <f>SUM(G6:G19)</f>
        <v>397.04181818181792</v>
      </c>
      <c r="H28" s="8"/>
      <c r="I28" s="8"/>
      <c r="J28" s="8"/>
    </row>
    <row r="29" spans="2:10">
      <c r="E29" s="8"/>
      <c r="F29" s="8"/>
      <c r="H29" s="8"/>
      <c r="I29" s="8"/>
      <c r="J29" s="8"/>
    </row>
    <row r="30" spans="2:10">
      <c r="E30" s="8"/>
      <c r="F30" s="8"/>
      <c r="H30" s="8"/>
      <c r="I30" s="8"/>
      <c r="J30" s="8"/>
    </row>
    <row r="31" spans="2:10">
      <c r="B31" t="s">
        <v>16</v>
      </c>
      <c r="C31" s="5"/>
      <c r="E31" s="8"/>
      <c r="F31" s="8"/>
      <c r="H31" s="8"/>
      <c r="I31" s="8"/>
      <c r="J31" s="8"/>
    </row>
    <row r="32" spans="2:10">
      <c r="C32" s="5"/>
      <c r="E32" s="8"/>
      <c r="F32" s="8"/>
      <c r="H32" s="8"/>
      <c r="I32" s="8"/>
      <c r="J32" s="8"/>
    </row>
    <row r="33" spans="2:10">
      <c r="E33" s="8"/>
      <c r="F33" s="8"/>
      <c r="H33" s="8"/>
      <c r="I33" s="8"/>
      <c r="J33" s="8"/>
    </row>
    <row r="34" spans="2:10">
      <c r="C34" t="s">
        <v>17</v>
      </c>
      <c r="E34" s="8">
        <f>SUM(E28:E33)</f>
        <v>6319.5099999999975</v>
      </c>
      <c r="F34" s="8"/>
      <c r="H34" s="8"/>
      <c r="I34" s="8"/>
      <c r="J34" s="8"/>
    </row>
    <row r="35" spans="2:10">
      <c r="D35" s="9" t="s">
        <v>18</v>
      </c>
      <c r="E35" s="8">
        <f>F35</f>
        <v>316678.94</v>
      </c>
      <c r="F35" s="8">
        <v>316678.94</v>
      </c>
      <c r="H35" s="8"/>
      <c r="I35" s="8">
        <v>316678.94</v>
      </c>
      <c r="J35" s="8"/>
    </row>
    <row r="36" spans="2:10">
      <c r="C36" s="5" t="s">
        <v>19</v>
      </c>
      <c r="E36" s="8"/>
      <c r="F36" s="8"/>
      <c r="H36" s="8"/>
      <c r="I36" s="8"/>
      <c r="J36" s="8"/>
    </row>
    <row r="37" spans="2:10">
      <c r="E37" s="8"/>
      <c r="F37" s="8"/>
      <c r="H37" s="8"/>
      <c r="I37" s="8"/>
      <c r="J37" s="8"/>
    </row>
    <row r="38" spans="2:10">
      <c r="C38" t="s">
        <v>17</v>
      </c>
      <c r="E38" s="8">
        <f>SUM(E34:E37)</f>
        <v>322998.45</v>
      </c>
      <c r="F38" s="8"/>
      <c r="H38" s="8"/>
      <c r="I38" s="8"/>
      <c r="J38" s="8"/>
    </row>
    <row r="39" spans="2:10">
      <c r="E39" s="8"/>
      <c r="F39" s="8"/>
      <c r="H39" s="8"/>
      <c r="I39" s="8"/>
      <c r="J39" s="8"/>
    </row>
    <row r="40" spans="2:10">
      <c r="B40" s="5">
        <v>45546</v>
      </c>
      <c r="C40">
        <v>9000</v>
      </c>
      <c r="D40" s="13"/>
      <c r="E40" s="8">
        <f>E38-C40</f>
        <v>313998.45</v>
      </c>
      <c r="F40" s="32"/>
      <c r="H40" s="8"/>
      <c r="I40" s="8"/>
      <c r="J40" s="8"/>
    </row>
    <row r="41" spans="2:10">
      <c r="B41" s="5"/>
      <c r="D41" s="13"/>
      <c r="E41" s="8">
        <f>E40-C41</f>
        <v>313998.45</v>
      </c>
      <c r="F41" s="8"/>
      <c r="H41" s="8"/>
      <c r="I41" s="8"/>
      <c r="J41" s="8"/>
    </row>
    <row r="42" spans="2:10">
      <c r="B42" s="5"/>
      <c r="E42" s="8">
        <f t="shared" ref="E42:E48" si="0">E41-C42</f>
        <v>313998.45</v>
      </c>
      <c r="F42" s="8"/>
      <c r="H42" s="8"/>
      <c r="I42" s="8"/>
      <c r="J42" s="8"/>
    </row>
    <row r="43" spans="2:10">
      <c r="C43" s="5"/>
      <c r="D43" s="8"/>
      <c r="E43" s="8">
        <f t="shared" si="0"/>
        <v>313998.45</v>
      </c>
      <c r="F43" s="8"/>
    </row>
    <row r="44" spans="2:10">
      <c r="C44" s="5"/>
      <c r="D44" s="8"/>
      <c r="E44" s="8">
        <f t="shared" si="0"/>
        <v>313998.45</v>
      </c>
      <c r="F44" s="8"/>
    </row>
    <row r="45" spans="2:10">
      <c r="C45" s="5"/>
      <c r="D45" s="8"/>
      <c r="E45" s="8">
        <f t="shared" si="0"/>
        <v>313998.45</v>
      </c>
      <c r="F45" s="8"/>
    </row>
    <row r="46" spans="2:10">
      <c r="C46" s="5"/>
      <c r="D46" s="8"/>
      <c r="E46" s="8">
        <f t="shared" si="0"/>
        <v>313998.45</v>
      </c>
      <c r="F46" s="8"/>
    </row>
    <row r="47" spans="2:10">
      <c r="C47" s="5"/>
      <c r="D47" s="8"/>
      <c r="E47" s="8">
        <f t="shared" si="0"/>
        <v>313998.45</v>
      </c>
    </row>
    <row r="48" spans="2:10">
      <c r="C48" s="5"/>
      <c r="D48" s="8"/>
      <c r="E48" s="8">
        <f t="shared" si="0"/>
        <v>313998.45</v>
      </c>
    </row>
    <row r="49" spans="1:13">
      <c r="D49" s="8"/>
      <c r="E49" s="8"/>
    </row>
    <row r="52" spans="1:13">
      <c r="A52" s="33"/>
      <c r="B52" s="33"/>
      <c r="C52" s="33"/>
    </row>
    <row r="59" spans="1:13">
      <c r="B59" s="11"/>
      <c r="M59" s="11"/>
    </row>
    <row r="60" spans="1:13">
      <c r="M60" s="12"/>
    </row>
    <row r="61" spans="1:13">
      <c r="M61" s="11"/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F0ABD-187F-B44A-AA98-96BEF0C5E964}">
  <sheetPr>
    <tabColor rgb="FF00B050"/>
  </sheetPr>
  <dimension ref="A1:R141"/>
  <sheetViews>
    <sheetView topLeftCell="B1" zoomScale="107" workbookViewId="0">
      <selection activeCell="A38" sqref="A2:XFD38"/>
    </sheetView>
  </sheetViews>
  <sheetFormatPr baseColWidth="10" defaultRowHeight="16"/>
  <cols>
    <col min="1" max="1" width="11.33203125" bestFit="1" customWidth="1"/>
    <col min="2" max="2" width="10.83203125" bestFit="1" customWidth="1"/>
    <col min="3" max="3" width="10.83203125" style="14"/>
    <col min="4" max="4" width="26" bestFit="1" customWidth="1"/>
    <col min="5" max="5" width="15.83203125" style="17" bestFit="1" customWidth="1"/>
    <col min="6" max="6" width="24.6640625" bestFit="1" customWidth="1"/>
    <col min="7" max="7" width="23.6640625" customWidth="1"/>
    <col min="14" max="14" width="28.5" customWidth="1"/>
  </cols>
  <sheetData>
    <row r="1" spans="1:18">
      <c r="A1" s="5" t="s">
        <v>20</v>
      </c>
      <c r="B1" t="s">
        <v>251</v>
      </c>
      <c r="C1" t="s">
        <v>117</v>
      </c>
      <c r="D1" t="s">
        <v>118</v>
      </c>
      <c r="E1" t="s">
        <v>119</v>
      </c>
      <c r="F1" t="s">
        <v>21</v>
      </c>
      <c r="G1" s="14" t="s">
        <v>281</v>
      </c>
      <c r="H1" t="s">
        <v>22</v>
      </c>
      <c r="I1" t="s">
        <v>120</v>
      </c>
      <c r="J1" t="s">
        <v>121</v>
      </c>
      <c r="K1" t="s">
        <v>122</v>
      </c>
      <c r="L1" t="s">
        <v>123</v>
      </c>
      <c r="M1" t="s">
        <v>124</v>
      </c>
      <c r="N1" t="s">
        <v>125</v>
      </c>
      <c r="O1" t="s">
        <v>126</v>
      </c>
      <c r="P1" t="s">
        <v>66</v>
      </c>
      <c r="Q1" t="s">
        <v>67</v>
      </c>
      <c r="R1" t="s">
        <v>127</v>
      </c>
    </row>
    <row r="2" spans="1:18" ht="119">
      <c r="A2" s="5">
        <v>45536</v>
      </c>
      <c r="B2" s="5">
        <v>45536</v>
      </c>
      <c r="C2" t="s">
        <v>128</v>
      </c>
      <c r="D2" t="s">
        <v>129</v>
      </c>
      <c r="E2">
        <v>-74020</v>
      </c>
      <c r="F2">
        <v>145.08000000000001</v>
      </c>
      <c r="G2" s="14" t="s">
        <v>26</v>
      </c>
      <c r="H2" t="s">
        <v>282</v>
      </c>
      <c r="L2" s="19" t="s">
        <v>501</v>
      </c>
      <c r="M2" t="s">
        <v>128</v>
      </c>
      <c r="N2" t="s">
        <v>131</v>
      </c>
      <c r="O2" s="19" t="s">
        <v>132</v>
      </c>
      <c r="P2">
        <v>2000</v>
      </c>
      <c r="Q2" t="s">
        <v>133</v>
      </c>
      <c r="R2" t="s">
        <v>502</v>
      </c>
    </row>
    <row r="3" spans="1:18" ht="34">
      <c r="A3" s="5">
        <v>45538</v>
      </c>
      <c r="B3" s="5">
        <v>45539</v>
      </c>
      <c r="C3" t="s">
        <v>188</v>
      </c>
      <c r="D3" t="s">
        <v>134</v>
      </c>
      <c r="E3">
        <v>-76009</v>
      </c>
      <c r="F3">
        <v>137.76</v>
      </c>
      <c r="G3" s="14" t="s">
        <v>26</v>
      </c>
      <c r="H3" t="s">
        <v>283</v>
      </c>
      <c r="M3" t="s">
        <v>188</v>
      </c>
      <c r="N3" s="19" t="s">
        <v>189</v>
      </c>
      <c r="O3" s="19" t="s">
        <v>132</v>
      </c>
      <c r="P3">
        <v>2000</v>
      </c>
      <c r="Q3" t="s">
        <v>133</v>
      </c>
      <c r="R3" t="s">
        <v>503</v>
      </c>
    </row>
    <row r="4" spans="1:18" ht="34">
      <c r="A4" s="5">
        <v>45538</v>
      </c>
      <c r="B4" s="5">
        <v>45538</v>
      </c>
      <c r="C4" t="s">
        <v>188</v>
      </c>
      <c r="D4" t="s">
        <v>134</v>
      </c>
      <c r="E4">
        <v>-76009</v>
      </c>
      <c r="F4">
        <v>244.68</v>
      </c>
      <c r="G4" s="14" t="s">
        <v>26</v>
      </c>
      <c r="H4" t="s">
        <v>283</v>
      </c>
      <c r="M4" t="s">
        <v>188</v>
      </c>
      <c r="N4" s="19" t="s">
        <v>189</v>
      </c>
      <c r="O4" s="19" t="s">
        <v>132</v>
      </c>
      <c r="P4">
        <v>2000</v>
      </c>
      <c r="Q4" t="s">
        <v>133</v>
      </c>
      <c r="R4" t="s">
        <v>504</v>
      </c>
    </row>
    <row r="5" spans="1:18" ht="51">
      <c r="A5" s="5">
        <v>45538</v>
      </c>
      <c r="B5" s="5">
        <v>45539</v>
      </c>
      <c r="C5" t="s">
        <v>226</v>
      </c>
      <c r="D5" t="s">
        <v>134</v>
      </c>
      <c r="E5">
        <v>-76009</v>
      </c>
      <c r="F5">
        <v>30</v>
      </c>
      <c r="G5" s="14" t="s">
        <v>26</v>
      </c>
      <c r="H5" t="s">
        <v>234</v>
      </c>
      <c r="M5" t="s">
        <v>226</v>
      </c>
      <c r="N5" s="19" t="s">
        <v>135</v>
      </c>
      <c r="O5" s="19" t="s">
        <v>136</v>
      </c>
      <c r="P5">
        <v>2010</v>
      </c>
      <c r="Q5" t="s">
        <v>133</v>
      </c>
      <c r="R5" t="s">
        <v>505</v>
      </c>
    </row>
    <row r="6" spans="1:18" ht="34">
      <c r="A6" s="5">
        <v>45542</v>
      </c>
      <c r="B6" s="5">
        <v>45543</v>
      </c>
      <c r="C6" t="s">
        <v>138</v>
      </c>
      <c r="D6" t="s">
        <v>129</v>
      </c>
      <c r="E6">
        <v>-74020</v>
      </c>
      <c r="F6">
        <v>64.989999999999995</v>
      </c>
      <c r="G6" s="14" t="s">
        <v>26</v>
      </c>
      <c r="H6" t="s">
        <v>234</v>
      </c>
      <c r="M6" t="s">
        <v>138</v>
      </c>
      <c r="N6" t="s">
        <v>139</v>
      </c>
      <c r="O6" s="19" t="s">
        <v>140</v>
      </c>
      <c r="P6">
        <v>2009</v>
      </c>
      <c r="Q6" t="s">
        <v>133</v>
      </c>
      <c r="R6" t="s">
        <v>506</v>
      </c>
    </row>
    <row r="7" spans="1:18" ht="34">
      <c r="A7" s="5">
        <v>45543</v>
      </c>
      <c r="B7" s="5">
        <v>45544</v>
      </c>
      <c r="C7" t="s">
        <v>154</v>
      </c>
      <c r="D7" t="s">
        <v>134</v>
      </c>
      <c r="E7">
        <v>-76009</v>
      </c>
      <c r="F7">
        <v>19.989999999999998</v>
      </c>
      <c r="G7" s="14" t="s">
        <v>26</v>
      </c>
      <c r="H7" t="s">
        <v>234</v>
      </c>
      <c r="M7" t="s">
        <v>154</v>
      </c>
      <c r="N7" s="19" t="s">
        <v>155</v>
      </c>
      <c r="O7" s="19" t="s">
        <v>132</v>
      </c>
      <c r="P7">
        <v>2000</v>
      </c>
      <c r="Q7" t="s">
        <v>133</v>
      </c>
      <c r="R7" t="s">
        <v>507</v>
      </c>
    </row>
    <row r="8" spans="1:18" ht="34">
      <c r="A8" s="5">
        <v>45544</v>
      </c>
      <c r="B8" s="5">
        <v>45546</v>
      </c>
      <c r="C8" t="s">
        <v>188</v>
      </c>
      <c r="D8" t="s">
        <v>129</v>
      </c>
      <c r="E8">
        <v>-74020</v>
      </c>
      <c r="F8">
        <v>100.81</v>
      </c>
      <c r="G8" s="14" t="s">
        <v>26</v>
      </c>
      <c r="H8" t="s">
        <v>283</v>
      </c>
      <c r="M8" t="s">
        <v>188</v>
      </c>
      <c r="N8" s="19" t="s">
        <v>189</v>
      </c>
      <c r="O8" s="19" t="s">
        <v>132</v>
      </c>
      <c r="P8">
        <v>2000</v>
      </c>
      <c r="Q8" t="s">
        <v>133</v>
      </c>
      <c r="R8" t="s">
        <v>508</v>
      </c>
    </row>
    <row r="9" spans="1:18" ht="51">
      <c r="A9" s="5">
        <v>45544</v>
      </c>
      <c r="B9" s="5">
        <v>45545</v>
      </c>
      <c r="C9" t="s">
        <v>108</v>
      </c>
      <c r="D9" t="s">
        <v>141</v>
      </c>
      <c r="E9">
        <v>-71034</v>
      </c>
      <c r="F9">
        <v>766.2</v>
      </c>
      <c r="G9" s="14" t="s">
        <v>26</v>
      </c>
      <c r="H9" t="s">
        <v>110</v>
      </c>
      <c r="L9" s="19" t="s">
        <v>348</v>
      </c>
      <c r="M9" t="s">
        <v>108</v>
      </c>
      <c r="N9" s="19" t="s">
        <v>260</v>
      </c>
      <c r="O9" s="19" t="s">
        <v>142</v>
      </c>
      <c r="P9">
        <v>4000</v>
      </c>
      <c r="Q9" t="s">
        <v>133</v>
      </c>
      <c r="R9" t="s">
        <v>509</v>
      </c>
    </row>
    <row r="10" spans="1:18" ht="34">
      <c r="A10" s="5">
        <v>45545</v>
      </c>
      <c r="B10" s="5">
        <v>45547</v>
      </c>
      <c r="C10" t="s">
        <v>319</v>
      </c>
      <c r="D10" t="s">
        <v>129</v>
      </c>
      <c r="E10">
        <v>-74020</v>
      </c>
      <c r="F10">
        <v>20.82</v>
      </c>
      <c r="G10" s="14" t="s">
        <v>26</v>
      </c>
      <c r="H10" t="s">
        <v>289</v>
      </c>
      <c r="M10" t="s">
        <v>319</v>
      </c>
      <c r="N10" s="19" t="s">
        <v>146</v>
      </c>
      <c r="O10" s="19" t="s">
        <v>140</v>
      </c>
      <c r="P10">
        <v>2009</v>
      </c>
      <c r="Q10" t="s">
        <v>133</v>
      </c>
      <c r="R10" t="s">
        <v>510</v>
      </c>
    </row>
    <row r="11" spans="1:18" ht="34">
      <c r="A11" s="5">
        <v>45545</v>
      </c>
      <c r="B11" s="5">
        <v>45546</v>
      </c>
      <c r="C11" t="s">
        <v>249</v>
      </c>
      <c r="D11" t="s">
        <v>129</v>
      </c>
      <c r="E11">
        <v>-74020</v>
      </c>
      <c r="F11">
        <v>144.19999999999999</v>
      </c>
      <c r="G11" s="14" t="s">
        <v>26</v>
      </c>
      <c r="H11" t="s">
        <v>295</v>
      </c>
      <c r="M11" t="s">
        <v>249</v>
      </c>
      <c r="N11" t="s">
        <v>250</v>
      </c>
      <c r="O11" s="19" t="s">
        <v>132</v>
      </c>
      <c r="P11">
        <v>2000</v>
      </c>
      <c r="Q11" t="s">
        <v>133</v>
      </c>
      <c r="R11" t="s">
        <v>511</v>
      </c>
    </row>
    <row r="12" spans="1:18" ht="34">
      <c r="A12" s="5">
        <v>45546</v>
      </c>
      <c r="B12" s="5">
        <v>45546</v>
      </c>
      <c r="C12" t="s">
        <v>309</v>
      </c>
      <c r="D12" t="s">
        <v>134</v>
      </c>
      <c r="E12">
        <v>-76009</v>
      </c>
      <c r="F12">
        <v>216.94</v>
      </c>
      <c r="G12" s="14" t="s">
        <v>26</v>
      </c>
      <c r="H12" t="s">
        <v>221</v>
      </c>
      <c r="M12" t="s">
        <v>309</v>
      </c>
      <c r="N12" s="19" t="s">
        <v>189</v>
      </c>
      <c r="O12" s="19" t="s">
        <v>132</v>
      </c>
      <c r="P12">
        <v>2000</v>
      </c>
      <c r="Q12" t="s">
        <v>133</v>
      </c>
      <c r="R12" t="s">
        <v>512</v>
      </c>
    </row>
    <row r="13" spans="1:18" ht="34">
      <c r="A13" s="5">
        <v>45546</v>
      </c>
      <c r="B13" s="5">
        <v>45547</v>
      </c>
      <c r="C13" t="s">
        <v>188</v>
      </c>
      <c r="D13" t="s">
        <v>134</v>
      </c>
      <c r="E13">
        <v>-76009</v>
      </c>
      <c r="F13">
        <v>29.99</v>
      </c>
      <c r="G13" s="14" t="s">
        <v>26</v>
      </c>
      <c r="H13" t="s">
        <v>513</v>
      </c>
      <c r="M13" t="s">
        <v>188</v>
      </c>
      <c r="N13" s="19" t="s">
        <v>189</v>
      </c>
      <c r="O13" s="19" t="s">
        <v>132</v>
      </c>
      <c r="P13">
        <v>2000</v>
      </c>
      <c r="Q13" t="s">
        <v>133</v>
      </c>
      <c r="R13" t="s">
        <v>514</v>
      </c>
    </row>
    <row r="14" spans="1:18" ht="51">
      <c r="A14" s="5">
        <v>45546</v>
      </c>
      <c r="B14" s="5">
        <v>45547</v>
      </c>
      <c r="C14" t="s">
        <v>236</v>
      </c>
      <c r="D14" t="s">
        <v>129</v>
      </c>
      <c r="E14">
        <v>-74020</v>
      </c>
      <c r="F14">
        <v>101</v>
      </c>
      <c r="G14" s="14" t="s">
        <v>26</v>
      </c>
      <c r="H14" t="s">
        <v>92</v>
      </c>
      <c r="M14" t="s">
        <v>236</v>
      </c>
      <c r="N14" t="s">
        <v>237</v>
      </c>
      <c r="O14" s="19" t="s">
        <v>151</v>
      </c>
      <c r="P14">
        <v>2060</v>
      </c>
      <c r="Q14" t="s">
        <v>133</v>
      </c>
      <c r="R14" t="s">
        <v>515</v>
      </c>
    </row>
    <row r="15" spans="1:18" ht="51">
      <c r="A15" s="5">
        <v>45548</v>
      </c>
      <c r="B15" s="5">
        <v>45548</v>
      </c>
      <c r="C15" t="s">
        <v>147</v>
      </c>
      <c r="D15" t="s">
        <v>141</v>
      </c>
      <c r="E15">
        <v>-71034</v>
      </c>
      <c r="F15">
        <v>148.5</v>
      </c>
      <c r="G15" s="14" t="s">
        <v>26</v>
      </c>
      <c r="H15" t="s">
        <v>290</v>
      </c>
      <c r="M15" t="s">
        <v>147</v>
      </c>
      <c r="N15" t="s">
        <v>148</v>
      </c>
      <c r="O15" s="19" t="s">
        <v>149</v>
      </c>
      <c r="P15">
        <v>2008</v>
      </c>
      <c r="Q15" t="s">
        <v>133</v>
      </c>
      <c r="R15" t="s">
        <v>516</v>
      </c>
    </row>
    <row r="16" spans="1:18" ht="51">
      <c r="A16" s="5">
        <v>45549</v>
      </c>
      <c r="B16" s="5">
        <v>45551</v>
      </c>
      <c r="C16" t="s">
        <v>257</v>
      </c>
      <c r="D16" t="s">
        <v>129</v>
      </c>
      <c r="E16">
        <v>-74020</v>
      </c>
      <c r="F16">
        <v>20</v>
      </c>
      <c r="G16" s="14" t="s">
        <v>26</v>
      </c>
      <c r="H16" t="s">
        <v>242</v>
      </c>
      <c r="M16" t="s">
        <v>257</v>
      </c>
      <c r="N16" s="19" t="s">
        <v>245</v>
      </c>
      <c r="O16" s="19" t="s">
        <v>159</v>
      </c>
      <c r="P16">
        <v>2150</v>
      </c>
      <c r="Q16" t="s">
        <v>133</v>
      </c>
      <c r="R16" t="s">
        <v>517</v>
      </c>
    </row>
    <row r="17" spans="1:18" ht="51">
      <c r="A17" s="5">
        <v>45550</v>
      </c>
      <c r="B17" s="5">
        <v>45550</v>
      </c>
      <c r="C17" t="s">
        <v>150</v>
      </c>
      <c r="D17" t="s">
        <v>129</v>
      </c>
      <c r="E17">
        <v>-74020</v>
      </c>
      <c r="F17">
        <v>108.9</v>
      </c>
      <c r="G17" s="14" t="s">
        <v>26</v>
      </c>
      <c r="H17" t="s">
        <v>278</v>
      </c>
      <c r="M17" t="s">
        <v>150</v>
      </c>
      <c r="N17" s="19" t="s">
        <v>291</v>
      </c>
      <c r="O17" s="19" t="s">
        <v>182</v>
      </c>
      <c r="P17">
        <v>2153</v>
      </c>
      <c r="Q17" t="s">
        <v>133</v>
      </c>
      <c r="R17" t="s">
        <v>518</v>
      </c>
    </row>
    <row r="18" spans="1:18" ht="51">
      <c r="A18" s="5">
        <v>45551</v>
      </c>
      <c r="B18" s="5">
        <v>45551</v>
      </c>
      <c r="C18" t="s">
        <v>147</v>
      </c>
      <c r="D18" t="s">
        <v>141</v>
      </c>
      <c r="E18">
        <v>-71034</v>
      </c>
      <c r="F18">
        <v>155.36000000000001</v>
      </c>
      <c r="G18" s="14" t="s">
        <v>26</v>
      </c>
      <c r="H18" t="s">
        <v>290</v>
      </c>
      <c r="M18" t="s">
        <v>147</v>
      </c>
      <c r="N18" t="s">
        <v>148</v>
      </c>
      <c r="O18" s="19" t="s">
        <v>149</v>
      </c>
      <c r="P18">
        <v>2008</v>
      </c>
      <c r="Q18" t="s">
        <v>133</v>
      </c>
      <c r="R18" t="s">
        <v>519</v>
      </c>
    </row>
    <row r="19" spans="1:18" ht="34">
      <c r="A19" s="5">
        <v>45551</v>
      </c>
      <c r="B19" s="5">
        <v>45552</v>
      </c>
      <c r="C19" t="s">
        <v>320</v>
      </c>
      <c r="D19" t="s">
        <v>141</v>
      </c>
      <c r="E19">
        <v>-71034</v>
      </c>
      <c r="F19">
        <v>16.5</v>
      </c>
      <c r="G19" s="14" t="s">
        <v>26</v>
      </c>
      <c r="H19" t="s">
        <v>292</v>
      </c>
      <c r="M19" t="s">
        <v>320</v>
      </c>
      <c r="N19" s="19" t="s">
        <v>293</v>
      </c>
      <c r="O19" s="19" t="s">
        <v>132</v>
      </c>
      <c r="P19">
        <v>2000</v>
      </c>
      <c r="Q19" t="s">
        <v>133</v>
      </c>
      <c r="R19" t="s">
        <v>520</v>
      </c>
    </row>
    <row r="20" spans="1:18" ht="34">
      <c r="A20" s="5">
        <v>45552</v>
      </c>
      <c r="B20" s="5">
        <v>45553</v>
      </c>
      <c r="C20" t="s">
        <v>154</v>
      </c>
      <c r="D20" t="s">
        <v>134</v>
      </c>
      <c r="E20">
        <v>-76009</v>
      </c>
      <c r="F20">
        <f>35.48-12.49</f>
        <v>22.989999999999995</v>
      </c>
      <c r="G20" s="14" t="s">
        <v>26</v>
      </c>
      <c r="H20" t="s">
        <v>278</v>
      </c>
      <c r="L20">
        <v>35.479999999999997</v>
      </c>
      <c r="M20" t="s">
        <v>154</v>
      </c>
      <c r="N20" s="19" t="s">
        <v>155</v>
      </c>
      <c r="O20" s="19" t="s">
        <v>132</v>
      </c>
      <c r="P20">
        <v>2000</v>
      </c>
      <c r="Q20" t="s">
        <v>133</v>
      </c>
      <c r="R20" t="s">
        <v>521</v>
      </c>
    </row>
    <row r="21" spans="1:18" ht="51">
      <c r="A21" s="5">
        <v>45552</v>
      </c>
      <c r="B21" s="5">
        <v>45554</v>
      </c>
      <c r="C21" t="s">
        <v>361</v>
      </c>
      <c r="D21" t="s">
        <v>129</v>
      </c>
      <c r="E21">
        <v>-74020</v>
      </c>
      <c r="F21">
        <v>64.989999999999995</v>
      </c>
      <c r="G21" s="14" t="s">
        <v>26</v>
      </c>
      <c r="H21" t="s">
        <v>321</v>
      </c>
      <c r="M21" t="s">
        <v>361</v>
      </c>
      <c r="N21" t="s">
        <v>363</v>
      </c>
      <c r="O21" s="19" t="s">
        <v>364</v>
      </c>
      <c r="P21">
        <v>2022</v>
      </c>
      <c r="Q21" t="s">
        <v>133</v>
      </c>
      <c r="R21" t="s">
        <v>522</v>
      </c>
    </row>
    <row r="22" spans="1:18" ht="51">
      <c r="A22" s="5">
        <v>45554</v>
      </c>
      <c r="B22" s="5">
        <v>45555</v>
      </c>
      <c r="C22" t="s">
        <v>523</v>
      </c>
      <c r="D22" t="s">
        <v>129</v>
      </c>
      <c r="E22">
        <v>-74020</v>
      </c>
      <c r="F22">
        <v>113.38</v>
      </c>
      <c r="G22" s="14" t="s">
        <v>26</v>
      </c>
      <c r="H22" t="s">
        <v>243</v>
      </c>
      <c r="M22" t="s">
        <v>523</v>
      </c>
      <c r="N22" t="s">
        <v>524</v>
      </c>
      <c r="O22" s="19" t="s">
        <v>158</v>
      </c>
      <c r="P22">
        <v>2113</v>
      </c>
      <c r="Q22" t="s">
        <v>133</v>
      </c>
      <c r="R22" t="s">
        <v>525</v>
      </c>
    </row>
    <row r="23" spans="1:18" ht="34">
      <c r="A23" s="5">
        <v>45555</v>
      </c>
      <c r="B23" s="5">
        <v>45555</v>
      </c>
      <c r="C23" t="s">
        <v>188</v>
      </c>
      <c r="D23" t="s">
        <v>134</v>
      </c>
      <c r="E23">
        <v>-76009</v>
      </c>
      <c r="F23">
        <v>89.99</v>
      </c>
      <c r="G23" s="14" t="s">
        <v>26</v>
      </c>
      <c r="H23" t="s">
        <v>513</v>
      </c>
      <c r="M23" t="s">
        <v>188</v>
      </c>
      <c r="N23" s="19" t="s">
        <v>189</v>
      </c>
      <c r="O23" s="19" t="s">
        <v>132</v>
      </c>
      <c r="P23">
        <v>2000</v>
      </c>
      <c r="Q23" t="s">
        <v>133</v>
      </c>
      <c r="R23" t="s">
        <v>526</v>
      </c>
    </row>
    <row r="24" spans="1:18" ht="34">
      <c r="A24" s="5">
        <v>45555</v>
      </c>
      <c r="B24" s="5">
        <v>45555</v>
      </c>
      <c r="C24" t="s">
        <v>188</v>
      </c>
      <c r="D24" t="s">
        <v>134</v>
      </c>
      <c r="E24">
        <v>-76009</v>
      </c>
      <c r="F24">
        <v>209.99</v>
      </c>
      <c r="G24" s="14" t="s">
        <v>26</v>
      </c>
      <c r="H24" t="s">
        <v>221</v>
      </c>
      <c r="M24" t="s">
        <v>188</v>
      </c>
      <c r="N24" s="19" t="s">
        <v>189</v>
      </c>
      <c r="O24" s="19" t="s">
        <v>132</v>
      </c>
      <c r="P24">
        <v>2000</v>
      </c>
      <c r="Q24" t="s">
        <v>133</v>
      </c>
      <c r="R24" t="s">
        <v>527</v>
      </c>
    </row>
    <row r="25" spans="1:18" ht="34">
      <c r="A25" s="5">
        <v>45555</v>
      </c>
      <c r="B25" s="5">
        <v>45556</v>
      </c>
      <c r="C25" t="s">
        <v>154</v>
      </c>
      <c r="D25" t="s">
        <v>134</v>
      </c>
      <c r="E25">
        <v>-76009</v>
      </c>
      <c r="F25">
        <v>19.48</v>
      </c>
      <c r="G25" s="14" t="s">
        <v>26</v>
      </c>
      <c r="H25" t="s">
        <v>234</v>
      </c>
      <c r="M25" t="s">
        <v>154</v>
      </c>
      <c r="N25" s="19" t="s">
        <v>155</v>
      </c>
      <c r="O25" s="19" t="s">
        <v>132</v>
      </c>
      <c r="P25">
        <v>2000</v>
      </c>
      <c r="Q25" t="s">
        <v>133</v>
      </c>
      <c r="R25" t="s">
        <v>528</v>
      </c>
    </row>
    <row r="26" spans="1:18" ht="34">
      <c r="A26" s="5">
        <v>45556</v>
      </c>
      <c r="B26" s="5">
        <v>45557</v>
      </c>
      <c r="C26" t="s">
        <v>154</v>
      </c>
      <c r="D26" t="s">
        <v>134</v>
      </c>
      <c r="E26">
        <v>-76009</v>
      </c>
      <c r="F26">
        <v>14.99</v>
      </c>
      <c r="G26" s="14" t="s">
        <v>26</v>
      </c>
      <c r="H26" t="s">
        <v>294</v>
      </c>
      <c r="M26" t="s">
        <v>154</v>
      </c>
      <c r="N26" s="19" t="s">
        <v>155</v>
      </c>
      <c r="O26" s="19" t="s">
        <v>132</v>
      </c>
      <c r="P26">
        <v>2000</v>
      </c>
      <c r="Q26" t="s">
        <v>133</v>
      </c>
      <c r="R26" t="s">
        <v>529</v>
      </c>
    </row>
    <row r="27" spans="1:18" ht="34">
      <c r="A27" s="5">
        <v>45556</v>
      </c>
      <c r="B27" s="5">
        <v>45558</v>
      </c>
      <c r="C27" t="s">
        <v>154</v>
      </c>
      <c r="D27" t="s">
        <v>134</v>
      </c>
      <c r="E27">
        <v>-76009</v>
      </c>
      <c r="F27">
        <v>19</v>
      </c>
      <c r="G27" s="14" t="s">
        <v>26</v>
      </c>
      <c r="H27" t="s">
        <v>278</v>
      </c>
      <c r="M27" t="s">
        <v>154</v>
      </c>
      <c r="N27" s="19" t="s">
        <v>155</v>
      </c>
      <c r="O27" s="19" t="s">
        <v>132</v>
      </c>
      <c r="P27">
        <v>2000</v>
      </c>
      <c r="Q27" t="s">
        <v>133</v>
      </c>
      <c r="R27" t="s">
        <v>530</v>
      </c>
    </row>
    <row r="28" spans="1:18" ht="34">
      <c r="A28" s="5">
        <v>45556</v>
      </c>
      <c r="B28" s="5">
        <v>45557</v>
      </c>
      <c r="C28" t="s">
        <v>154</v>
      </c>
      <c r="D28" t="s">
        <v>134</v>
      </c>
      <c r="E28">
        <v>-76009</v>
      </c>
      <c r="F28">
        <v>20.49</v>
      </c>
      <c r="G28" s="14" t="s">
        <v>26</v>
      </c>
      <c r="H28" t="s">
        <v>248</v>
      </c>
      <c r="M28" t="s">
        <v>154</v>
      </c>
      <c r="N28" s="19" t="s">
        <v>155</v>
      </c>
      <c r="O28" s="19" t="s">
        <v>132</v>
      </c>
      <c r="P28">
        <v>2000</v>
      </c>
      <c r="Q28" t="s">
        <v>133</v>
      </c>
      <c r="R28" t="s">
        <v>531</v>
      </c>
    </row>
    <row r="29" spans="1:18" ht="34">
      <c r="A29" s="5">
        <v>45558</v>
      </c>
      <c r="B29" s="5">
        <v>45560</v>
      </c>
      <c r="C29" t="s">
        <v>154</v>
      </c>
      <c r="D29" t="s">
        <v>134</v>
      </c>
      <c r="E29">
        <v>-76009</v>
      </c>
      <c r="F29">
        <v>4.49</v>
      </c>
      <c r="G29" s="14" t="s">
        <v>26</v>
      </c>
      <c r="H29" t="s">
        <v>294</v>
      </c>
      <c r="M29" t="s">
        <v>154</v>
      </c>
      <c r="N29" s="19" t="s">
        <v>155</v>
      </c>
      <c r="O29" s="19" t="s">
        <v>132</v>
      </c>
      <c r="P29">
        <v>2000</v>
      </c>
      <c r="Q29" t="s">
        <v>133</v>
      </c>
      <c r="R29" t="s">
        <v>532</v>
      </c>
    </row>
    <row r="30" spans="1:18" ht="51">
      <c r="A30" s="5">
        <v>45558</v>
      </c>
      <c r="B30" s="5">
        <v>45559</v>
      </c>
      <c r="C30" t="s">
        <v>236</v>
      </c>
      <c r="D30" t="s">
        <v>129</v>
      </c>
      <c r="E30">
        <v>-74020</v>
      </c>
      <c r="F30">
        <v>-24.51</v>
      </c>
      <c r="G30" s="14" t="s">
        <v>26</v>
      </c>
      <c r="H30" t="s">
        <v>92</v>
      </c>
      <c r="M30" t="s">
        <v>236</v>
      </c>
      <c r="N30" t="s">
        <v>237</v>
      </c>
      <c r="O30" s="19" t="s">
        <v>151</v>
      </c>
      <c r="P30">
        <v>2060</v>
      </c>
      <c r="Q30" t="s">
        <v>133</v>
      </c>
      <c r="R30" t="s">
        <v>533</v>
      </c>
    </row>
    <row r="31" spans="1:18" ht="34">
      <c r="A31" s="5">
        <v>45559</v>
      </c>
      <c r="B31" s="5">
        <v>45560</v>
      </c>
      <c r="C31" t="s">
        <v>154</v>
      </c>
      <c r="D31" t="s">
        <v>129</v>
      </c>
      <c r="E31">
        <v>-74020</v>
      </c>
      <c r="F31">
        <v>1.49</v>
      </c>
      <c r="G31" s="14" t="s">
        <v>26</v>
      </c>
      <c r="H31" t="s">
        <v>294</v>
      </c>
      <c r="M31" t="s">
        <v>154</v>
      </c>
      <c r="N31" s="19" t="s">
        <v>155</v>
      </c>
      <c r="O31" s="19" t="s">
        <v>132</v>
      </c>
      <c r="P31">
        <v>2000</v>
      </c>
      <c r="Q31" t="s">
        <v>133</v>
      </c>
      <c r="R31" t="s">
        <v>534</v>
      </c>
    </row>
    <row r="32" spans="1:18" ht="51">
      <c r="A32" s="5">
        <v>45559</v>
      </c>
      <c r="B32" s="5">
        <v>45559</v>
      </c>
      <c r="C32" t="s">
        <v>535</v>
      </c>
      <c r="D32" t="s">
        <v>129</v>
      </c>
      <c r="E32">
        <v>-74020</v>
      </c>
      <c r="F32">
        <v>54.85</v>
      </c>
      <c r="G32" s="14" t="s">
        <v>26</v>
      </c>
      <c r="H32" t="s">
        <v>283</v>
      </c>
      <c r="M32" t="s">
        <v>535</v>
      </c>
      <c r="N32" t="s">
        <v>536</v>
      </c>
      <c r="O32" s="19" t="s">
        <v>537</v>
      </c>
      <c r="P32">
        <v>4169</v>
      </c>
      <c r="Q32" t="s">
        <v>133</v>
      </c>
      <c r="R32" t="s">
        <v>538</v>
      </c>
    </row>
    <row r="33" spans="1:18" ht="51">
      <c r="A33" s="5">
        <v>45559</v>
      </c>
      <c r="B33" s="5">
        <v>45560</v>
      </c>
      <c r="C33" t="s">
        <v>539</v>
      </c>
      <c r="D33" t="s">
        <v>129</v>
      </c>
      <c r="E33">
        <v>-74020</v>
      </c>
      <c r="F33">
        <v>30</v>
      </c>
      <c r="G33" s="14" t="s">
        <v>26</v>
      </c>
      <c r="H33" t="s">
        <v>301</v>
      </c>
      <c r="M33" t="s">
        <v>539</v>
      </c>
      <c r="N33" t="s">
        <v>540</v>
      </c>
      <c r="O33" s="19" t="s">
        <v>541</v>
      </c>
      <c r="P33">
        <v>2323</v>
      </c>
      <c r="Q33" t="s">
        <v>133</v>
      </c>
      <c r="R33" t="s">
        <v>542</v>
      </c>
    </row>
    <row r="34" spans="1:18" ht="51">
      <c r="A34" s="5">
        <v>45559</v>
      </c>
      <c r="B34" s="5">
        <v>45561</v>
      </c>
      <c r="C34" t="s">
        <v>543</v>
      </c>
      <c r="D34" t="s">
        <v>129</v>
      </c>
      <c r="E34">
        <v>-74020</v>
      </c>
      <c r="F34">
        <v>243.7</v>
      </c>
      <c r="G34" s="14" t="s">
        <v>26</v>
      </c>
      <c r="H34" t="s">
        <v>349</v>
      </c>
      <c r="M34" t="s">
        <v>543</v>
      </c>
      <c r="N34" t="s">
        <v>544</v>
      </c>
      <c r="O34" s="19" t="s">
        <v>545</v>
      </c>
      <c r="P34">
        <v>2170</v>
      </c>
      <c r="Q34" t="s">
        <v>133</v>
      </c>
      <c r="R34" t="s">
        <v>546</v>
      </c>
    </row>
    <row r="35" spans="1:18" ht="51">
      <c r="A35" s="5">
        <v>45560</v>
      </c>
      <c r="B35" s="5">
        <v>45561</v>
      </c>
      <c r="C35" t="s">
        <v>547</v>
      </c>
      <c r="D35" t="s">
        <v>129</v>
      </c>
      <c r="E35">
        <v>-74020</v>
      </c>
      <c r="F35">
        <v>50</v>
      </c>
      <c r="G35" s="14" t="s">
        <v>26</v>
      </c>
      <c r="H35" t="s">
        <v>283</v>
      </c>
      <c r="M35" t="s">
        <v>547</v>
      </c>
      <c r="N35" t="s">
        <v>536</v>
      </c>
      <c r="O35" s="19" t="s">
        <v>537</v>
      </c>
      <c r="P35">
        <v>4169</v>
      </c>
      <c r="Q35" t="s">
        <v>133</v>
      </c>
      <c r="R35" t="s">
        <v>548</v>
      </c>
    </row>
    <row r="36" spans="1:18" ht="51">
      <c r="A36" s="5">
        <v>45561</v>
      </c>
      <c r="B36" s="5">
        <v>45563</v>
      </c>
      <c r="C36" t="s">
        <v>543</v>
      </c>
      <c r="D36" t="s">
        <v>129</v>
      </c>
      <c r="E36">
        <v>-74020</v>
      </c>
      <c r="F36">
        <v>81.45</v>
      </c>
      <c r="G36" s="14" t="s">
        <v>26</v>
      </c>
      <c r="H36" t="s">
        <v>349</v>
      </c>
      <c r="M36" t="s">
        <v>543</v>
      </c>
      <c r="N36" t="s">
        <v>544</v>
      </c>
      <c r="O36" s="19" t="s">
        <v>545</v>
      </c>
      <c r="P36">
        <v>2170</v>
      </c>
      <c r="Q36" t="s">
        <v>133</v>
      </c>
      <c r="R36" t="s">
        <v>549</v>
      </c>
    </row>
    <row r="37" spans="1:18" ht="34">
      <c r="A37" s="5">
        <v>45562</v>
      </c>
      <c r="B37" s="5">
        <v>45563</v>
      </c>
      <c r="C37" t="s">
        <v>247</v>
      </c>
      <c r="D37" t="s">
        <v>134</v>
      </c>
      <c r="E37">
        <v>-76009</v>
      </c>
      <c r="F37">
        <v>91.49</v>
      </c>
      <c r="G37" s="14" t="s">
        <v>26</v>
      </c>
      <c r="H37" t="s">
        <v>284</v>
      </c>
      <c r="L37" t="s">
        <v>285</v>
      </c>
      <c r="M37" t="s">
        <v>247</v>
      </c>
      <c r="N37" s="19" t="s">
        <v>286</v>
      </c>
      <c r="O37" s="19" t="s">
        <v>132</v>
      </c>
      <c r="P37">
        <v>2000</v>
      </c>
      <c r="Q37" t="s">
        <v>133</v>
      </c>
      <c r="R37" t="s">
        <v>550</v>
      </c>
    </row>
    <row r="38" spans="1:18" ht="51">
      <c r="A38" s="5">
        <v>45562</v>
      </c>
      <c r="B38" s="5">
        <v>45563</v>
      </c>
      <c r="C38" t="s">
        <v>287</v>
      </c>
      <c r="D38" t="s">
        <v>134</v>
      </c>
      <c r="E38">
        <v>-76009</v>
      </c>
      <c r="F38">
        <v>7.5</v>
      </c>
      <c r="G38" s="14" t="s">
        <v>26</v>
      </c>
      <c r="H38" t="s">
        <v>284</v>
      </c>
      <c r="L38" t="s">
        <v>285</v>
      </c>
      <c r="M38" t="s">
        <v>287</v>
      </c>
      <c r="N38" t="s">
        <v>288</v>
      </c>
      <c r="O38" s="19" t="s">
        <v>158</v>
      </c>
      <c r="P38">
        <v>2113</v>
      </c>
      <c r="Q38" t="s">
        <v>133</v>
      </c>
      <c r="R38" t="s">
        <v>551</v>
      </c>
    </row>
    <row r="39" spans="1:18" ht="34">
      <c r="A39" s="5">
        <v>45562</v>
      </c>
      <c r="B39" s="5">
        <v>45563</v>
      </c>
      <c r="C39" t="s">
        <v>223</v>
      </c>
      <c r="D39" t="s">
        <v>129</v>
      </c>
      <c r="E39">
        <v>-74020</v>
      </c>
      <c r="F39">
        <v>13.99</v>
      </c>
      <c r="G39" s="14" t="s">
        <v>26</v>
      </c>
      <c r="H39" t="s">
        <v>234</v>
      </c>
      <c r="M39" t="s">
        <v>223</v>
      </c>
      <c r="N39" t="s">
        <v>224</v>
      </c>
      <c r="O39" s="19" t="s">
        <v>225</v>
      </c>
      <c r="P39">
        <v>98109</v>
      </c>
      <c r="Q39" t="s">
        <v>156</v>
      </c>
      <c r="R39" t="s">
        <v>552</v>
      </c>
    </row>
    <row r="40" spans="1:18" ht="51">
      <c r="A40" s="5">
        <v>45562</v>
      </c>
      <c r="B40" s="5">
        <v>45562</v>
      </c>
      <c r="C40" t="s">
        <v>553</v>
      </c>
      <c r="D40" t="s">
        <v>129</v>
      </c>
      <c r="E40">
        <v>-74020</v>
      </c>
      <c r="F40">
        <v>59.99</v>
      </c>
      <c r="G40" s="14" t="s">
        <v>26</v>
      </c>
      <c r="H40" t="s">
        <v>234</v>
      </c>
      <c r="M40" t="s">
        <v>553</v>
      </c>
      <c r="N40" t="s">
        <v>322</v>
      </c>
      <c r="O40" s="19" t="s">
        <v>323</v>
      </c>
      <c r="P40">
        <v>3066</v>
      </c>
      <c r="Q40" t="s">
        <v>133</v>
      </c>
      <c r="R40" t="s">
        <v>554</v>
      </c>
    </row>
    <row r="41" spans="1:18" ht="51">
      <c r="A41" s="5">
        <v>45564</v>
      </c>
      <c r="B41" s="5">
        <v>45565</v>
      </c>
      <c r="C41" t="s">
        <v>555</v>
      </c>
      <c r="D41" t="s">
        <v>129</v>
      </c>
      <c r="E41">
        <v>-74020</v>
      </c>
      <c r="F41">
        <v>12.33</v>
      </c>
      <c r="G41" s="14" t="s">
        <v>26</v>
      </c>
      <c r="H41" t="s">
        <v>296</v>
      </c>
      <c r="M41" t="s">
        <v>555</v>
      </c>
      <c r="N41" t="s">
        <v>556</v>
      </c>
      <c r="O41" s="19" t="s">
        <v>222</v>
      </c>
      <c r="P41">
        <v>2880</v>
      </c>
      <c r="Q41" t="s">
        <v>133</v>
      </c>
      <c r="R41" t="s">
        <v>557</v>
      </c>
    </row>
    <row r="42" spans="1:18" ht="68">
      <c r="A42" s="5">
        <v>45564</v>
      </c>
      <c r="B42" s="5">
        <v>45565</v>
      </c>
      <c r="C42" t="s">
        <v>558</v>
      </c>
      <c r="D42" t="s">
        <v>129</v>
      </c>
      <c r="E42">
        <v>-74020</v>
      </c>
      <c r="F42">
        <v>7.09</v>
      </c>
      <c r="G42" s="14" t="s">
        <v>26</v>
      </c>
      <c r="H42" t="s">
        <v>296</v>
      </c>
      <c r="M42" t="s">
        <v>558</v>
      </c>
      <c r="N42" s="19" t="s">
        <v>559</v>
      </c>
      <c r="O42" s="19" t="s">
        <v>137</v>
      </c>
      <c r="P42">
        <v>2020</v>
      </c>
      <c r="Q42" t="s">
        <v>133</v>
      </c>
      <c r="R42" t="s">
        <v>560</v>
      </c>
    </row>
    <row r="43" spans="1:18" ht="51">
      <c r="A43" s="5">
        <v>45564</v>
      </c>
      <c r="B43" s="5">
        <v>45564</v>
      </c>
      <c r="C43" t="s">
        <v>257</v>
      </c>
      <c r="D43" t="s">
        <v>129</v>
      </c>
      <c r="E43">
        <v>-74020</v>
      </c>
      <c r="F43">
        <v>20</v>
      </c>
      <c r="G43" s="14" t="s">
        <v>26</v>
      </c>
      <c r="H43" t="s">
        <v>242</v>
      </c>
      <c r="M43" t="s">
        <v>257</v>
      </c>
      <c r="N43" s="19" t="s">
        <v>245</v>
      </c>
      <c r="O43" s="19" t="s">
        <v>159</v>
      </c>
      <c r="P43">
        <v>2150</v>
      </c>
      <c r="Q43" t="s">
        <v>133</v>
      </c>
      <c r="R43" t="s">
        <v>561</v>
      </c>
    </row>
    <row r="44" spans="1:18" ht="34">
      <c r="A44" s="5">
        <v>45565</v>
      </c>
      <c r="B44" s="5">
        <v>45567</v>
      </c>
      <c r="C44" t="s">
        <v>154</v>
      </c>
      <c r="D44" t="s">
        <v>134</v>
      </c>
      <c r="E44">
        <v>-76009</v>
      </c>
      <c r="F44">
        <v>1.49</v>
      </c>
      <c r="G44" s="14" t="s">
        <v>26</v>
      </c>
      <c r="H44" t="s">
        <v>294</v>
      </c>
      <c r="M44" t="s">
        <v>154</v>
      </c>
      <c r="N44" s="19" t="s">
        <v>155</v>
      </c>
      <c r="O44" s="19" t="s">
        <v>132</v>
      </c>
      <c r="P44">
        <v>2000</v>
      </c>
      <c r="Q44" t="s">
        <v>133</v>
      </c>
      <c r="R44" t="s">
        <v>562</v>
      </c>
    </row>
    <row r="45" spans="1:18" ht="51">
      <c r="A45" s="5">
        <v>45565</v>
      </c>
      <c r="B45" s="5">
        <v>45566</v>
      </c>
      <c r="C45" t="s">
        <v>563</v>
      </c>
      <c r="D45" t="s">
        <v>129</v>
      </c>
      <c r="E45">
        <v>-74020</v>
      </c>
      <c r="F45">
        <v>21</v>
      </c>
      <c r="G45" s="14" t="s">
        <v>26</v>
      </c>
      <c r="H45" t="s">
        <v>296</v>
      </c>
      <c r="M45" t="s">
        <v>563</v>
      </c>
      <c r="N45" t="s">
        <v>564</v>
      </c>
      <c r="O45" s="19" t="s">
        <v>222</v>
      </c>
      <c r="P45">
        <v>2880</v>
      </c>
      <c r="Q45" t="s">
        <v>133</v>
      </c>
      <c r="R45" t="s">
        <v>565</v>
      </c>
    </row>
    <row r="46" spans="1:18" s="59" customFormat="1" ht="60" customHeight="1">
      <c r="A46" s="54"/>
      <c r="B46" s="55"/>
      <c r="C46" s="56"/>
      <c r="D46" s="55"/>
      <c r="E46" s="55"/>
      <c r="F46" s="55"/>
      <c r="G46" s="55"/>
      <c r="H46" s="57"/>
      <c r="I46" s="55"/>
      <c r="J46" s="58"/>
      <c r="K46" s="55"/>
      <c r="L46" s="55"/>
      <c r="M46" s="55"/>
      <c r="N46" s="55"/>
      <c r="O46" s="55"/>
      <c r="P46" s="55"/>
      <c r="Q46" s="55"/>
      <c r="R46" s="55"/>
    </row>
    <row r="47" spans="1:18" s="59" customFormat="1" ht="60" customHeight="1">
      <c r="A47" s="54"/>
      <c r="B47" s="55"/>
      <c r="C47" s="56"/>
      <c r="D47" s="55"/>
      <c r="E47" s="38" t="s">
        <v>27</v>
      </c>
      <c r="F47" s="46">
        <f>SUM(F2:F46)</f>
        <v>3723.3699999999972</v>
      </c>
      <c r="I47" s="55"/>
      <c r="J47" s="58"/>
      <c r="K47" s="55"/>
      <c r="L47" s="55"/>
      <c r="M47" s="55"/>
      <c r="N47" s="55"/>
      <c r="O47" s="55"/>
      <c r="P47" s="55"/>
      <c r="Q47" s="55"/>
      <c r="R47" s="55"/>
    </row>
    <row r="48" spans="1:18" s="59" customFormat="1" ht="60" customHeight="1">
      <c r="A48" s="54"/>
      <c r="B48" s="55"/>
      <c r="C48" s="56"/>
      <c r="D48" s="55"/>
      <c r="E48" s="38" t="s">
        <v>2</v>
      </c>
      <c r="F48" s="46">
        <f>F47/11</f>
        <v>338.48818181818154</v>
      </c>
      <c r="I48" s="55"/>
      <c r="J48" s="58"/>
      <c r="K48" s="55"/>
      <c r="L48" s="55"/>
      <c r="M48" s="55"/>
      <c r="N48" s="55"/>
      <c r="O48" s="55"/>
      <c r="P48" s="55"/>
      <c r="Q48" s="55"/>
      <c r="R48" s="55"/>
    </row>
    <row r="49" spans="1:18" s="59" customFormat="1" ht="44" customHeight="1">
      <c r="A49" s="54"/>
      <c r="B49" s="55"/>
      <c r="C49" s="56"/>
      <c r="D49" s="55"/>
      <c r="E49" s="55"/>
      <c r="F49" s="55"/>
      <c r="G49" s="55"/>
      <c r="H49" s="57"/>
      <c r="I49" s="55"/>
      <c r="J49" s="58"/>
      <c r="K49" s="55"/>
      <c r="L49" s="55"/>
      <c r="M49" s="55"/>
      <c r="N49" s="55"/>
      <c r="O49" s="55"/>
      <c r="P49" s="55"/>
      <c r="Q49" s="55"/>
      <c r="R49" s="55"/>
    </row>
    <row r="50" spans="1:18">
      <c r="A50" s="5">
        <v>45505</v>
      </c>
      <c r="B50" s="5">
        <v>45505</v>
      </c>
      <c r="C50" t="s">
        <v>350</v>
      </c>
      <c r="D50" t="s">
        <v>134</v>
      </c>
      <c r="E50">
        <v>-76009</v>
      </c>
      <c r="F50">
        <v>6</v>
      </c>
      <c r="G50" s="14" t="s">
        <v>28</v>
      </c>
      <c r="H50" t="s">
        <v>351</v>
      </c>
      <c r="M50" t="s">
        <v>350</v>
      </c>
      <c r="R50" t="s">
        <v>352</v>
      </c>
    </row>
    <row r="51" spans="1:18" ht="34">
      <c r="A51" s="5">
        <v>45510</v>
      </c>
      <c r="B51" s="5">
        <v>45511</v>
      </c>
      <c r="C51" t="s">
        <v>338</v>
      </c>
      <c r="D51" t="s">
        <v>129</v>
      </c>
      <c r="E51">
        <v>-74020</v>
      </c>
      <c r="F51">
        <v>1611.79</v>
      </c>
      <c r="G51" s="14" t="s">
        <v>28</v>
      </c>
      <c r="H51" t="s">
        <v>353</v>
      </c>
      <c r="M51" t="s">
        <v>338</v>
      </c>
      <c r="N51" s="19" t="s">
        <v>339</v>
      </c>
      <c r="O51" s="19" t="s">
        <v>142</v>
      </c>
      <c r="P51">
        <v>4001</v>
      </c>
      <c r="Q51" t="s">
        <v>133</v>
      </c>
      <c r="R51" t="s">
        <v>354</v>
      </c>
    </row>
    <row r="52" spans="1:18" ht="34">
      <c r="A52" s="5">
        <v>45510</v>
      </c>
      <c r="B52" s="5">
        <v>45511</v>
      </c>
      <c r="C52" t="s">
        <v>355</v>
      </c>
      <c r="D52" t="s">
        <v>129</v>
      </c>
      <c r="E52">
        <v>-74020</v>
      </c>
      <c r="F52">
        <v>20</v>
      </c>
      <c r="G52" s="14" t="s">
        <v>28</v>
      </c>
      <c r="H52" t="s">
        <v>234</v>
      </c>
      <c r="M52" t="s">
        <v>355</v>
      </c>
      <c r="N52" t="s">
        <v>356</v>
      </c>
      <c r="O52" s="19" t="s">
        <v>165</v>
      </c>
      <c r="P52">
        <v>10018</v>
      </c>
      <c r="Q52" t="s">
        <v>156</v>
      </c>
      <c r="R52" t="s">
        <v>357</v>
      </c>
    </row>
    <row r="53" spans="1:18" ht="51">
      <c r="A53" s="5">
        <v>45514</v>
      </c>
      <c r="B53" s="5">
        <v>45515</v>
      </c>
      <c r="C53" t="s">
        <v>358</v>
      </c>
      <c r="D53" t="s">
        <v>141</v>
      </c>
      <c r="E53">
        <v>-71034</v>
      </c>
      <c r="F53">
        <v>18.260000000000002</v>
      </c>
      <c r="G53" s="14" t="s">
        <v>28</v>
      </c>
      <c r="H53" t="s">
        <v>278</v>
      </c>
      <c r="M53" t="s">
        <v>358</v>
      </c>
      <c r="N53" s="19" t="s">
        <v>359</v>
      </c>
      <c r="P53" t="s">
        <v>297</v>
      </c>
      <c r="Q53" t="s">
        <v>298</v>
      </c>
      <c r="R53" t="s">
        <v>360</v>
      </c>
    </row>
    <row r="54" spans="1:18" ht="51">
      <c r="A54" s="5">
        <v>45516</v>
      </c>
      <c r="B54" s="5">
        <v>45517</v>
      </c>
      <c r="C54" t="s">
        <v>361</v>
      </c>
      <c r="D54" t="s">
        <v>129</v>
      </c>
      <c r="E54">
        <v>-74020</v>
      </c>
      <c r="F54">
        <v>940.26</v>
      </c>
      <c r="G54" s="14" t="s">
        <v>28</v>
      </c>
      <c r="H54" t="s">
        <v>362</v>
      </c>
      <c r="M54" t="s">
        <v>361</v>
      </c>
      <c r="N54" t="s">
        <v>363</v>
      </c>
      <c r="O54" s="19" t="s">
        <v>364</v>
      </c>
      <c r="P54">
        <v>2022</v>
      </c>
      <c r="Q54" t="s">
        <v>133</v>
      </c>
      <c r="R54" t="s">
        <v>365</v>
      </c>
    </row>
    <row r="55" spans="1:18" ht="51">
      <c r="A55" s="5">
        <v>45518</v>
      </c>
      <c r="B55" s="5">
        <v>45519</v>
      </c>
      <c r="C55" t="s">
        <v>366</v>
      </c>
      <c r="D55" t="s">
        <v>129</v>
      </c>
      <c r="E55">
        <v>-74020</v>
      </c>
      <c r="F55">
        <v>225.13</v>
      </c>
      <c r="G55" s="14" t="s">
        <v>28</v>
      </c>
      <c r="H55" t="s">
        <v>278</v>
      </c>
      <c r="I55" t="s">
        <v>367</v>
      </c>
      <c r="J55">
        <v>6.56</v>
      </c>
      <c r="M55" t="s">
        <v>366</v>
      </c>
      <c r="N55" t="s">
        <v>368</v>
      </c>
      <c r="O55" s="19" t="s">
        <v>254</v>
      </c>
      <c r="P55">
        <v>94131</v>
      </c>
      <c r="Q55" t="s">
        <v>156</v>
      </c>
      <c r="R55" t="s">
        <v>369</v>
      </c>
    </row>
    <row r="56" spans="1:18" ht="34">
      <c r="A56" s="5">
        <v>45522</v>
      </c>
      <c r="B56" s="5">
        <v>45523</v>
      </c>
      <c r="C56" t="s">
        <v>209</v>
      </c>
      <c r="D56" t="s">
        <v>129</v>
      </c>
      <c r="E56">
        <v>-74020</v>
      </c>
      <c r="F56">
        <v>163.36000000000001</v>
      </c>
      <c r="G56" s="14" t="s">
        <v>28</v>
      </c>
      <c r="H56" t="s">
        <v>278</v>
      </c>
      <c r="I56" t="s">
        <v>210</v>
      </c>
      <c r="J56">
        <v>4.76</v>
      </c>
      <c r="M56" t="s">
        <v>209</v>
      </c>
      <c r="N56" t="s">
        <v>300</v>
      </c>
      <c r="O56" s="19" t="s">
        <v>299</v>
      </c>
      <c r="P56" t="s">
        <v>211</v>
      </c>
      <c r="Q56" t="s">
        <v>187</v>
      </c>
      <c r="R56" t="s">
        <v>370</v>
      </c>
    </row>
    <row r="57" spans="1:18" ht="51">
      <c r="A57" s="5">
        <v>45529</v>
      </c>
      <c r="B57" s="5">
        <v>45530</v>
      </c>
      <c r="C57" t="s">
        <v>332</v>
      </c>
      <c r="D57" t="s">
        <v>134</v>
      </c>
      <c r="E57">
        <v>-76009</v>
      </c>
      <c r="F57">
        <v>61.33</v>
      </c>
      <c r="G57" s="14" t="s">
        <v>28</v>
      </c>
      <c r="H57" t="s">
        <v>278</v>
      </c>
      <c r="I57" t="s">
        <v>371</v>
      </c>
      <c r="J57">
        <v>1.79</v>
      </c>
      <c r="M57" t="s">
        <v>332</v>
      </c>
      <c r="N57" s="19" t="s">
        <v>333</v>
      </c>
      <c r="P57">
        <v>11612</v>
      </c>
      <c r="Q57" t="s">
        <v>334</v>
      </c>
      <c r="R57" t="s">
        <v>372</v>
      </c>
    </row>
    <row r="58" spans="1:18" ht="68">
      <c r="A58" s="5">
        <v>45530</v>
      </c>
      <c r="B58" s="5">
        <v>45531</v>
      </c>
      <c r="C58" t="s">
        <v>373</v>
      </c>
      <c r="D58" t="s">
        <v>129</v>
      </c>
      <c r="E58">
        <v>-74020</v>
      </c>
      <c r="F58">
        <v>109.58</v>
      </c>
      <c r="G58" s="14" t="s">
        <v>28</v>
      </c>
      <c r="H58" t="s">
        <v>278</v>
      </c>
      <c r="I58" t="s">
        <v>374</v>
      </c>
      <c r="J58">
        <v>3.19</v>
      </c>
      <c r="M58" t="s">
        <v>373</v>
      </c>
      <c r="N58" s="19" t="s">
        <v>375</v>
      </c>
      <c r="P58" t="s">
        <v>297</v>
      </c>
      <c r="Q58" t="s">
        <v>298</v>
      </c>
      <c r="R58" t="s">
        <v>376</v>
      </c>
    </row>
    <row r="59" spans="1:18" ht="34">
      <c r="A59" s="5">
        <v>45530</v>
      </c>
      <c r="B59" s="5">
        <v>45531</v>
      </c>
      <c r="C59" t="s">
        <v>377</v>
      </c>
      <c r="D59" t="s">
        <v>134</v>
      </c>
      <c r="E59">
        <v>-76009</v>
      </c>
      <c r="F59">
        <v>79.989999999999995</v>
      </c>
      <c r="G59" s="14" t="s">
        <v>28</v>
      </c>
      <c r="H59" t="s">
        <v>278</v>
      </c>
      <c r="M59" t="s">
        <v>377</v>
      </c>
      <c r="N59" s="19" t="s">
        <v>378</v>
      </c>
      <c r="O59" s="19" t="s">
        <v>379</v>
      </c>
      <c r="P59">
        <v>94301</v>
      </c>
      <c r="Q59" t="s">
        <v>156</v>
      </c>
      <c r="R59" t="s">
        <v>380</v>
      </c>
    </row>
    <row r="60" spans="1:18" ht="34">
      <c r="A60" s="5">
        <v>45532</v>
      </c>
      <c r="B60" s="5">
        <v>45533</v>
      </c>
      <c r="C60" t="s">
        <v>381</v>
      </c>
      <c r="D60" t="s">
        <v>129</v>
      </c>
      <c r="E60">
        <v>-74020</v>
      </c>
      <c r="F60">
        <v>152</v>
      </c>
      <c r="G60" s="14" t="s">
        <v>28</v>
      </c>
      <c r="H60" t="s">
        <v>278</v>
      </c>
      <c r="M60" t="s">
        <v>381</v>
      </c>
      <c r="N60" s="19" t="s">
        <v>382</v>
      </c>
      <c r="O60" s="19" t="s">
        <v>383</v>
      </c>
      <c r="P60">
        <v>2210</v>
      </c>
      <c r="Q60" t="s">
        <v>156</v>
      </c>
      <c r="R60" t="s">
        <v>384</v>
      </c>
    </row>
    <row r="61" spans="1:18" ht="34">
      <c r="A61" s="5">
        <v>45532</v>
      </c>
      <c r="B61" s="5">
        <v>45533</v>
      </c>
      <c r="C61" t="s">
        <v>162</v>
      </c>
      <c r="D61" t="s">
        <v>129</v>
      </c>
      <c r="E61">
        <v>-74020</v>
      </c>
      <c r="F61">
        <v>83.69</v>
      </c>
      <c r="G61" s="14" t="s">
        <v>28</v>
      </c>
      <c r="H61" t="s">
        <v>278</v>
      </c>
      <c r="I61" t="s">
        <v>163</v>
      </c>
      <c r="J61">
        <v>2.44</v>
      </c>
      <c r="M61" t="s">
        <v>162</v>
      </c>
      <c r="N61" t="s">
        <v>164</v>
      </c>
      <c r="O61" s="19" t="s">
        <v>165</v>
      </c>
      <c r="P61">
        <v>10010</v>
      </c>
      <c r="Q61" t="s">
        <v>156</v>
      </c>
      <c r="R61" t="s">
        <v>385</v>
      </c>
    </row>
    <row r="62" spans="1:18" ht="51">
      <c r="A62" s="5">
        <v>45532</v>
      </c>
      <c r="B62" s="5">
        <v>45533</v>
      </c>
      <c r="C62" t="s">
        <v>166</v>
      </c>
      <c r="D62" t="s">
        <v>129</v>
      </c>
      <c r="E62">
        <v>-74020</v>
      </c>
      <c r="F62">
        <v>22.82</v>
      </c>
      <c r="G62" s="14" t="s">
        <v>28</v>
      </c>
      <c r="H62" t="s">
        <v>301</v>
      </c>
      <c r="I62" t="s">
        <v>167</v>
      </c>
      <c r="J62">
        <v>0.66</v>
      </c>
      <c r="M62" t="s">
        <v>166</v>
      </c>
      <c r="N62" t="s">
        <v>168</v>
      </c>
      <c r="O62" s="19" t="s">
        <v>169</v>
      </c>
      <c r="P62" t="s">
        <v>170</v>
      </c>
      <c r="Q62" t="s">
        <v>161</v>
      </c>
      <c r="R62" t="s">
        <v>386</v>
      </c>
    </row>
    <row r="63" spans="1:18" ht="34">
      <c r="A63" s="5">
        <v>45533</v>
      </c>
      <c r="B63" s="5">
        <v>45535</v>
      </c>
      <c r="C63" t="s">
        <v>387</v>
      </c>
      <c r="D63" t="s">
        <v>129</v>
      </c>
      <c r="E63">
        <v>-74020</v>
      </c>
      <c r="F63">
        <v>499.5</v>
      </c>
      <c r="G63" s="14" t="s">
        <v>28</v>
      </c>
      <c r="H63" t="s">
        <v>278</v>
      </c>
      <c r="I63" t="s">
        <v>388</v>
      </c>
      <c r="J63">
        <v>14.55</v>
      </c>
      <c r="M63" t="s">
        <v>387</v>
      </c>
      <c r="N63" s="19" t="s">
        <v>389</v>
      </c>
      <c r="P63">
        <v>50933</v>
      </c>
      <c r="Q63" t="s">
        <v>390</v>
      </c>
      <c r="R63" t="s">
        <v>391</v>
      </c>
    </row>
    <row r="64" spans="1:18" ht="51">
      <c r="A64" s="5">
        <v>45534</v>
      </c>
      <c r="B64" s="5">
        <v>45535</v>
      </c>
      <c r="C64" t="s">
        <v>335</v>
      </c>
      <c r="D64" t="s">
        <v>129</v>
      </c>
      <c r="E64">
        <v>-74020</v>
      </c>
      <c r="F64">
        <v>33.409999999999997</v>
      </c>
      <c r="G64" s="14" t="s">
        <v>28</v>
      </c>
      <c r="H64" t="s">
        <v>278</v>
      </c>
      <c r="I64" t="s">
        <v>336</v>
      </c>
      <c r="J64">
        <v>0.97</v>
      </c>
      <c r="M64" t="s">
        <v>335</v>
      </c>
      <c r="N64" s="19" t="s">
        <v>337</v>
      </c>
      <c r="O64" s="19" t="s">
        <v>254</v>
      </c>
      <c r="P64">
        <v>94110</v>
      </c>
      <c r="Q64" t="s">
        <v>156</v>
      </c>
      <c r="R64" t="s">
        <v>392</v>
      </c>
    </row>
    <row r="65" spans="1:18">
      <c r="A65" s="38"/>
      <c r="B65" s="38"/>
      <c r="C65" s="38"/>
      <c r="D65" s="38"/>
      <c r="E65" s="46"/>
      <c r="F65" s="36"/>
      <c r="G65" s="37"/>
      <c r="H65" s="38"/>
      <c r="I65" s="39"/>
      <c r="J65" s="38"/>
      <c r="K65" s="38"/>
      <c r="L65" s="38"/>
      <c r="M65" s="38"/>
      <c r="N65" s="38"/>
      <c r="O65" s="38"/>
      <c r="P65" s="38"/>
      <c r="Q65" s="38"/>
      <c r="R65" s="38"/>
    </row>
    <row r="66" spans="1:18">
      <c r="A66" s="38"/>
      <c r="B66" s="38"/>
      <c r="C66" s="53"/>
      <c r="D66" s="53"/>
      <c r="E66" s="62"/>
      <c r="F66" s="36"/>
      <c r="G66" s="37"/>
      <c r="H66" s="38"/>
      <c r="I66" s="39"/>
      <c r="J66" s="38"/>
      <c r="K66" s="38"/>
      <c r="L66" s="38"/>
      <c r="M66" s="38"/>
      <c r="N66" s="38"/>
      <c r="O66" s="38"/>
      <c r="P66" s="38"/>
      <c r="Q66" s="38"/>
      <c r="R66" s="38"/>
    </row>
    <row r="67" spans="1:18">
      <c r="A67" s="38"/>
      <c r="B67" s="38"/>
      <c r="E67" s="38" t="s">
        <v>27</v>
      </c>
      <c r="F67" s="46">
        <f>SUM(F50:F66)</f>
        <v>4027.12</v>
      </c>
      <c r="G67" s="38"/>
      <c r="H67" s="46"/>
      <c r="I67" s="39"/>
      <c r="J67" s="38"/>
      <c r="K67" s="38"/>
      <c r="L67" s="38"/>
      <c r="M67" s="38"/>
      <c r="N67" s="38"/>
      <c r="O67" s="38"/>
      <c r="P67" s="38"/>
      <c r="Q67" s="38"/>
      <c r="R67" s="38"/>
    </row>
    <row r="68" spans="1:18">
      <c r="A68" s="38"/>
      <c r="B68" s="38"/>
      <c r="C68" s="38"/>
      <c r="D68" s="38"/>
      <c r="E68" s="46"/>
      <c r="F68" s="36"/>
      <c r="G68" s="37"/>
      <c r="H68" s="38"/>
      <c r="I68" s="39"/>
      <c r="J68" s="38"/>
      <c r="K68" s="38"/>
      <c r="L68" s="38"/>
      <c r="M68" s="38"/>
      <c r="N68" s="38"/>
      <c r="O68" s="38"/>
      <c r="P68" s="38"/>
      <c r="Q68" s="38"/>
      <c r="R68" s="38"/>
    </row>
    <row r="69" spans="1:18">
      <c r="A69" s="38"/>
      <c r="B69" s="38"/>
      <c r="C69" s="38"/>
      <c r="D69" s="38"/>
      <c r="E69" s="46"/>
      <c r="F69" s="36"/>
      <c r="G69" s="37"/>
      <c r="H69" s="38"/>
      <c r="I69" s="39"/>
      <c r="J69" s="38"/>
      <c r="K69" s="38"/>
      <c r="L69" s="38"/>
      <c r="M69" s="38"/>
      <c r="N69" s="38"/>
      <c r="O69" s="38"/>
      <c r="P69" s="38"/>
      <c r="Q69" s="38"/>
      <c r="R69" s="38"/>
    </row>
    <row r="70" spans="1:18" ht="51">
      <c r="A70" s="5">
        <v>45514</v>
      </c>
      <c r="B70" s="5">
        <v>45515</v>
      </c>
      <c r="C70" t="s">
        <v>171</v>
      </c>
      <c r="D70" t="s">
        <v>129</v>
      </c>
      <c r="E70">
        <v>-74020</v>
      </c>
      <c r="F70">
        <v>684.35</v>
      </c>
      <c r="G70" s="14" t="s">
        <v>29</v>
      </c>
      <c r="H70" t="s">
        <v>302</v>
      </c>
      <c r="M70" t="s">
        <v>171</v>
      </c>
      <c r="N70" t="s">
        <v>157</v>
      </c>
      <c r="O70" s="19" t="s">
        <v>158</v>
      </c>
      <c r="P70">
        <v>2113</v>
      </c>
      <c r="Q70" t="s">
        <v>133</v>
      </c>
      <c r="R70" t="s">
        <v>393</v>
      </c>
    </row>
    <row r="71" spans="1:18" ht="51">
      <c r="A71" s="5">
        <v>45516</v>
      </c>
      <c r="B71" s="5">
        <v>45518</v>
      </c>
      <c r="C71" t="s">
        <v>171</v>
      </c>
      <c r="D71" t="s">
        <v>129</v>
      </c>
      <c r="E71">
        <v>-74020</v>
      </c>
      <c r="F71">
        <v>32.99</v>
      </c>
      <c r="G71" s="14" t="s">
        <v>29</v>
      </c>
      <c r="H71" t="s">
        <v>302</v>
      </c>
      <c r="M71" t="s">
        <v>171</v>
      </c>
      <c r="N71" t="s">
        <v>157</v>
      </c>
      <c r="O71" s="19" t="s">
        <v>158</v>
      </c>
      <c r="P71">
        <v>2113</v>
      </c>
      <c r="Q71" t="s">
        <v>133</v>
      </c>
      <c r="R71" t="s">
        <v>394</v>
      </c>
    </row>
    <row r="72" spans="1:18" ht="34">
      <c r="A72" s="5">
        <v>45518</v>
      </c>
      <c r="B72" s="5">
        <v>45519</v>
      </c>
      <c r="C72" t="s">
        <v>303</v>
      </c>
      <c r="D72" t="s">
        <v>129</v>
      </c>
      <c r="E72">
        <v>-74020</v>
      </c>
      <c r="F72">
        <v>378</v>
      </c>
      <c r="G72" s="14" t="s">
        <v>29</v>
      </c>
      <c r="H72" t="s">
        <v>304</v>
      </c>
      <c r="M72" t="s">
        <v>303</v>
      </c>
      <c r="N72" t="s">
        <v>305</v>
      </c>
      <c r="O72" s="19" t="s">
        <v>306</v>
      </c>
      <c r="P72">
        <v>2121</v>
      </c>
      <c r="Q72" t="s">
        <v>133</v>
      </c>
      <c r="R72" t="s">
        <v>395</v>
      </c>
    </row>
    <row r="73" spans="1:18" ht="51">
      <c r="A73" s="5">
        <v>45524</v>
      </c>
      <c r="B73" s="5">
        <v>45526</v>
      </c>
      <c r="C73" t="s">
        <v>307</v>
      </c>
      <c r="D73" t="s">
        <v>129</v>
      </c>
      <c r="E73">
        <v>-74020</v>
      </c>
      <c r="F73">
        <v>95.49</v>
      </c>
      <c r="G73" s="14" t="s">
        <v>29</v>
      </c>
      <c r="H73" t="s">
        <v>302</v>
      </c>
      <c r="M73" t="s">
        <v>307</v>
      </c>
      <c r="N73" t="s">
        <v>308</v>
      </c>
      <c r="O73" s="19" t="s">
        <v>158</v>
      </c>
      <c r="P73">
        <v>2113</v>
      </c>
      <c r="Q73" t="s">
        <v>133</v>
      </c>
      <c r="R73" t="s">
        <v>396</v>
      </c>
    </row>
    <row r="74" spans="1:18" ht="51">
      <c r="A74" s="5">
        <v>45527</v>
      </c>
      <c r="B74" s="5">
        <v>45528</v>
      </c>
      <c r="C74" t="s">
        <v>171</v>
      </c>
      <c r="D74" t="s">
        <v>129</v>
      </c>
      <c r="E74">
        <v>-74020</v>
      </c>
      <c r="F74">
        <v>356.84</v>
      </c>
      <c r="G74" s="14" t="s">
        <v>29</v>
      </c>
      <c r="H74" t="s">
        <v>302</v>
      </c>
      <c r="M74" t="s">
        <v>171</v>
      </c>
      <c r="N74" t="s">
        <v>157</v>
      </c>
      <c r="O74" s="19" t="s">
        <v>158</v>
      </c>
      <c r="P74">
        <v>2113</v>
      </c>
      <c r="Q74" t="s">
        <v>133</v>
      </c>
      <c r="R74" t="s">
        <v>397</v>
      </c>
    </row>
    <row r="75" spans="1:18" ht="51">
      <c r="A75" s="5">
        <v>45527</v>
      </c>
      <c r="B75" s="5">
        <v>45528</v>
      </c>
      <c r="C75" t="s">
        <v>398</v>
      </c>
      <c r="D75" t="s">
        <v>134</v>
      </c>
      <c r="E75">
        <v>-76009</v>
      </c>
      <c r="F75">
        <v>53</v>
      </c>
      <c r="G75" s="14" t="s">
        <v>29</v>
      </c>
      <c r="H75" t="s">
        <v>399</v>
      </c>
      <c r="M75" t="s">
        <v>398</v>
      </c>
      <c r="N75" t="s">
        <v>400</v>
      </c>
      <c r="O75" s="19" t="s">
        <v>158</v>
      </c>
      <c r="P75">
        <v>2113</v>
      </c>
      <c r="Q75" t="s">
        <v>133</v>
      </c>
      <c r="R75" t="s">
        <v>401</v>
      </c>
    </row>
    <row r="76" spans="1:18">
      <c r="A76" s="34"/>
      <c r="B76" s="34"/>
      <c r="C76" s="34"/>
      <c r="D76" s="34"/>
      <c r="E76" s="45"/>
      <c r="F76" s="36"/>
      <c r="G76" s="37"/>
      <c r="H76" s="34"/>
      <c r="I76" s="35"/>
      <c r="J76" s="34"/>
      <c r="K76" s="34"/>
      <c r="L76" s="34"/>
      <c r="M76" s="34"/>
      <c r="N76" s="34"/>
      <c r="O76" s="34"/>
      <c r="P76" s="34"/>
      <c r="Q76" s="34"/>
      <c r="R76" s="34"/>
    </row>
    <row r="77" spans="1:18">
      <c r="A77" s="34"/>
      <c r="B77" s="34"/>
      <c r="C77" s="34"/>
      <c r="E77" s="34" t="s">
        <v>27</v>
      </c>
      <c r="F77" s="45">
        <f>SUM(F70:F76)</f>
        <v>1600.67</v>
      </c>
      <c r="I77" s="35"/>
      <c r="J77" s="34"/>
      <c r="K77" s="34"/>
      <c r="L77" s="34"/>
      <c r="M77" s="34"/>
      <c r="N77" s="34"/>
      <c r="O77" s="34"/>
      <c r="P77" s="34"/>
      <c r="Q77" s="34"/>
      <c r="R77" s="34"/>
    </row>
    <row r="78" spans="1:18">
      <c r="A78" s="34"/>
      <c r="B78" s="34"/>
      <c r="C78" s="34"/>
      <c r="D78" s="34"/>
      <c r="E78" s="45"/>
      <c r="F78" s="36"/>
      <c r="G78" s="37"/>
      <c r="H78" s="34"/>
      <c r="I78" s="35"/>
      <c r="J78" s="34"/>
      <c r="K78" s="34"/>
      <c r="L78" s="34"/>
      <c r="M78" s="34"/>
      <c r="N78" s="34"/>
      <c r="O78" s="34"/>
      <c r="P78" s="34"/>
      <c r="Q78" s="34"/>
      <c r="R78" s="34"/>
    </row>
    <row r="79" spans="1:18">
      <c r="A79" s="38"/>
      <c r="B79" s="38"/>
      <c r="C79" s="38"/>
      <c r="D79" s="38"/>
      <c r="E79" s="46"/>
      <c r="F79" s="40"/>
      <c r="G79" s="41"/>
      <c r="H79" s="38"/>
      <c r="I79" s="39"/>
      <c r="J79" s="38"/>
      <c r="K79" s="38"/>
      <c r="L79" s="38"/>
      <c r="M79" s="38"/>
      <c r="N79" s="38"/>
      <c r="O79" s="38"/>
      <c r="P79" s="38"/>
      <c r="Q79" s="38"/>
      <c r="R79" s="38"/>
    </row>
    <row r="80" spans="1:18">
      <c r="A80" s="38"/>
      <c r="B80" s="38"/>
      <c r="C80" s="38"/>
      <c r="D80" s="38"/>
      <c r="E80" s="46"/>
      <c r="F80" s="40"/>
      <c r="G80" s="41"/>
      <c r="H80" s="38"/>
      <c r="I80" s="39"/>
      <c r="J80" s="38"/>
      <c r="K80" s="38"/>
      <c r="L80" s="38"/>
      <c r="M80" s="38"/>
      <c r="N80" s="38"/>
      <c r="O80" s="38"/>
      <c r="P80" s="38"/>
      <c r="Q80" s="38"/>
      <c r="R80" s="38"/>
    </row>
    <row r="81" spans="1:18">
      <c r="A81" s="5"/>
      <c r="B81" s="5"/>
      <c r="C81"/>
      <c r="E81"/>
      <c r="G81" s="14"/>
      <c r="O81" s="19"/>
    </row>
    <row r="82" spans="1:18" ht="34">
      <c r="A82" s="5">
        <v>45506</v>
      </c>
      <c r="B82" s="5">
        <v>45507</v>
      </c>
      <c r="C82" t="s">
        <v>173</v>
      </c>
      <c r="D82" t="s">
        <v>134</v>
      </c>
      <c r="E82">
        <v>-76009</v>
      </c>
      <c r="F82">
        <v>23.95</v>
      </c>
      <c r="G82" s="14" t="s">
        <v>30</v>
      </c>
      <c r="M82" t="s">
        <v>173</v>
      </c>
      <c r="N82" s="19" t="s">
        <v>174</v>
      </c>
      <c r="O82" s="19" t="s">
        <v>175</v>
      </c>
      <c r="P82">
        <v>2250</v>
      </c>
      <c r="Q82" t="s">
        <v>133</v>
      </c>
      <c r="R82" t="s">
        <v>402</v>
      </c>
    </row>
    <row r="83" spans="1:18" ht="34">
      <c r="A83" s="5">
        <v>45506</v>
      </c>
      <c r="B83" s="5">
        <v>45507</v>
      </c>
      <c r="C83" t="s">
        <v>183</v>
      </c>
      <c r="D83" t="s">
        <v>134</v>
      </c>
      <c r="E83">
        <v>-76009</v>
      </c>
      <c r="F83">
        <v>23.99</v>
      </c>
      <c r="G83" s="14" t="s">
        <v>30</v>
      </c>
      <c r="M83" t="s">
        <v>183</v>
      </c>
      <c r="N83" t="s">
        <v>184</v>
      </c>
      <c r="O83" s="19" t="s">
        <v>185</v>
      </c>
      <c r="P83" t="s">
        <v>186</v>
      </c>
      <c r="Q83" t="s">
        <v>187</v>
      </c>
      <c r="R83" t="s">
        <v>403</v>
      </c>
    </row>
    <row r="84" spans="1:18" ht="34">
      <c r="A84" s="5">
        <v>45508</v>
      </c>
      <c r="B84" s="5">
        <v>45509</v>
      </c>
      <c r="C84" t="s">
        <v>340</v>
      </c>
      <c r="D84" t="s">
        <v>129</v>
      </c>
      <c r="E84">
        <v>-74020</v>
      </c>
      <c r="F84">
        <v>2.99</v>
      </c>
      <c r="G84" s="14" t="s">
        <v>30</v>
      </c>
      <c r="M84" t="s">
        <v>340</v>
      </c>
      <c r="N84" t="s">
        <v>144</v>
      </c>
      <c r="O84" s="19" t="s">
        <v>132</v>
      </c>
      <c r="P84">
        <v>2000</v>
      </c>
      <c r="Q84" t="s">
        <v>133</v>
      </c>
      <c r="R84" t="s">
        <v>404</v>
      </c>
    </row>
    <row r="85" spans="1:18" ht="51">
      <c r="A85" s="5">
        <v>45509</v>
      </c>
      <c r="B85" s="5">
        <v>45509</v>
      </c>
      <c r="C85" t="s">
        <v>94</v>
      </c>
      <c r="D85" t="s">
        <v>129</v>
      </c>
      <c r="E85">
        <v>-74020</v>
      </c>
      <c r="F85">
        <v>85</v>
      </c>
      <c r="G85" s="14" t="s">
        <v>30</v>
      </c>
      <c r="M85" t="s">
        <v>94</v>
      </c>
      <c r="N85" t="s">
        <v>176</v>
      </c>
      <c r="O85" s="19" t="s">
        <v>177</v>
      </c>
      <c r="P85">
        <v>2111</v>
      </c>
      <c r="Q85" t="s">
        <v>133</v>
      </c>
      <c r="R85" t="s">
        <v>405</v>
      </c>
    </row>
    <row r="86" spans="1:18" ht="34">
      <c r="A86" s="5">
        <v>45509</v>
      </c>
      <c r="B86" s="5">
        <v>45510</v>
      </c>
      <c r="C86" t="s">
        <v>341</v>
      </c>
      <c r="D86" t="s">
        <v>134</v>
      </c>
      <c r="E86">
        <v>-76009</v>
      </c>
      <c r="F86">
        <v>10.71</v>
      </c>
      <c r="G86" s="14" t="s">
        <v>30</v>
      </c>
      <c r="L86" s="19" t="s">
        <v>342</v>
      </c>
      <c r="M86" t="s">
        <v>341</v>
      </c>
      <c r="N86" t="s">
        <v>343</v>
      </c>
      <c r="O86" s="19" t="s">
        <v>132</v>
      </c>
      <c r="P86">
        <v>2000</v>
      </c>
      <c r="Q86" t="s">
        <v>133</v>
      </c>
      <c r="R86" t="s">
        <v>406</v>
      </c>
    </row>
    <row r="87" spans="1:18" ht="34">
      <c r="A87" s="5">
        <v>45510</v>
      </c>
      <c r="B87" s="5">
        <v>45511</v>
      </c>
      <c r="C87" t="s">
        <v>178</v>
      </c>
      <c r="D87" t="s">
        <v>129</v>
      </c>
      <c r="E87">
        <v>-74020</v>
      </c>
      <c r="F87">
        <v>79</v>
      </c>
      <c r="G87" s="14" t="s">
        <v>30</v>
      </c>
      <c r="M87" t="s">
        <v>178</v>
      </c>
      <c r="N87" s="19" t="s">
        <v>179</v>
      </c>
      <c r="O87" s="19" t="s">
        <v>132</v>
      </c>
      <c r="P87">
        <v>2000</v>
      </c>
      <c r="Q87" t="s">
        <v>133</v>
      </c>
      <c r="R87" t="s">
        <v>407</v>
      </c>
    </row>
    <row r="88" spans="1:18" ht="34">
      <c r="A88" s="5">
        <v>45511</v>
      </c>
      <c r="B88" s="5">
        <v>45512</v>
      </c>
      <c r="C88" t="s">
        <v>408</v>
      </c>
      <c r="D88" t="s">
        <v>134</v>
      </c>
      <c r="E88">
        <v>-76009</v>
      </c>
      <c r="F88">
        <v>90</v>
      </c>
      <c r="G88" s="14" t="s">
        <v>30</v>
      </c>
      <c r="M88" t="s">
        <v>408</v>
      </c>
      <c r="N88" t="s">
        <v>409</v>
      </c>
      <c r="O88" s="19" t="s">
        <v>132</v>
      </c>
      <c r="P88">
        <v>2000</v>
      </c>
      <c r="Q88" t="s">
        <v>133</v>
      </c>
      <c r="R88" t="s">
        <v>410</v>
      </c>
    </row>
    <row r="89" spans="1:18" ht="51">
      <c r="A89" s="5">
        <v>45511</v>
      </c>
      <c r="B89" s="5">
        <v>45513</v>
      </c>
      <c r="C89" t="s">
        <v>240</v>
      </c>
      <c r="D89" t="s">
        <v>134</v>
      </c>
      <c r="E89">
        <v>-76009</v>
      </c>
      <c r="F89">
        <v>17.36</v>
      </c>
      <c r="G89" s="14" t="s">
        <v>30</v>
      </c>
      <c r="M89" t="s">
        <v>240</v>
      </c>
      <c r="N89" t="s">
        <v>241</v>
      </c>
      <c r="O89" s="19" t="s">
        <v>158</v>
      </c>
      <c r="P89">
        <v>2113</v>
      </c>
      <c r="Q89" t="s">
        <v>133</v>
      </c>
      <c r="R89" t="s">
        <v>411</v>
      </c>
    </row>
    <row r="90" spans="1:18" ht="51">
      <c r="A90" s="5">
        <v>45511</v>
      </c>
      <c r="B90" s="5">
        <v>45512</v>
      </c>
      <c r="C90" t="s">
        <v>180</v>
      </c>
      <c r="D90" t="s">
        <v>134</v>
      </c>
      <c r="E90">
        <v>-76009</v>
      </c>
      <c r="F90">
        <v>13.5</v>
      </c>
      <c r="G90" s="14" t="s">
        <v>30</v>
      </c>
      <c r="M90" t="s">
        <v>180</v>
      </c>
      <c r="N90" t="s">
        <v>181</v>
      </c>
      <c r="O90" s="19" t="s">
        <v>182</v>
      </c>
      <c r="P90">
        <v>2153</v>
      </c>
      <c r="Q90" t="s">
        <v>133</v>
      </c>
      <c r="R90" t="s">
        <v>412</v>
      </c>
    </row>
    <row r="91" spans="1:18" ht="51">
      <c r="A91" s="5">
        <v>45512</v>
      </c>
      <c r="B91" s="5">
        <v>45513</v>
      </c>
      <c r="C91" t="s">
        <v>238</v>
      </c>
      <c r="D91" t="s">
        <v>134</v>
      </c>
      <c r="E91">
        <v>-76009</v>
      </c>
      <c r="F91">
        <v>225.98</v>
      </c>
      <c r="G91" s="14" t="s">
        <v>30</v>
      </c>
      <c r="M91" t="s">
        <v>238</v>
      </c>
      <c r="N91" t="s">
        <v>239</v>
      </c>
      <c r="O91" s="19" t="s">
        <v>172</v>
      </c>
      <c r="P91">
        <v>2113</v>
      </c>
      <c r="Q91" t="s">
        <v>133</v>
      </c>
      <c r="R91" t="s">
        <v>413</v>
      </c>
    </row>
    <row r="92" spans="1:18" ht="51">
      <c r="A92" s="5">
        <v>45512</v>
      </c>
      <c r="B92" s="5">
        <v>45514</v>
      </c>
      <c r="C92" t="s">
        <v>346</v>
      </c>
      <c r="D92" t="s">
        <v>134</v>
      </c>
      <c r="E92">
        <v>-76009</v>
      </c>
      <c r="F92">
        <v>7.98</v>
      </c>
      <c r="G92" s="14" t="s">
        <v>30</v>
      </c>
      <c r="L92" t="s">
        <v>285</v>
      </c>
      <c r="M92" t="s">
        <v>346</v>
      </c>
      <c r="N92" t="s">
        <v>347</v>
      </c>
      <c r="O92" s="19" t="s">
        <v>158</v>
      </c>
      <c r="P92">
        <v>2113</v>
      </c>
      <c r="Q92" t="s">
        <v>133</v>
      </c>
      <c r="R92" t="s">
        <v>414</v>
      </c>
    </row>
    <row r="93" spans="1:18" ht="51">
      <c r="A93" s="5">
        <v>45514</v>
      </c>
      <c r="B93" s="5">
        <v>45516</v>
      </c>
      <c r="C93" t="s">
        <v>415</v>
      </c>
      <c r="D93" t="s">
        <v>134</v>
      </c>
      <c r="E93">
        <v>-76009</v>
      </c>
      <c r="F93">
        <v>43.97</v>
      </c>
      <c r="G93" s="14" t="s">
        <v>30</v>
      </c>
      <c r="M93" t="s">
        <v>415</v>
      </c>
      <c r="N93" s="19" t="s">
        <v>416</v>
      </c>
      <c r="O93" s="19" t="s">
        <v>158</v>
      </c>
      <c r="P93">
        <v>2113</v>
      </c>
      <c r="Q93" t="s">
        <v>133</v>
      </c>
      <c r="R93" t="s">
        <v>417</v>
      </c>
    </row>
    <row r="94" spans="1:18" ht="34">
      <c r="A94" s="5">
        <v>45515</v>
      </c>
      <c r="B94" s="5">
        <v>45517</v>
      </c>
      <c r="C94" t="s">
        <v>188</v>
      </c>
      <c r="D94" t="s">
        <v>134</v>
      </c>
      <c r="E94">
        <v>-76009</v>
      </c>
      <c r="F94">
        <v>58.91</v>
      </c>
      <c r="G94" s="14" t="s">
        <v>30</v>
      </c>
      <c r="M94" t="s">
        <v>188</v>
      </c>
      <c r="N94" s="19" t="s">
        <v>189</v>
      </c>
      <c r="O94" s="19" t="s">
        <v>132</v>
      </c>
      <c r="P94">
        <v>2000</v>
      </c>
      <c r="Q94" t="s">
        <v>133</v>
      </c>
      <c r="R94" t="s">
        <v>418</v>
      </c>
    </row>
    <row r="95" spans="1:18" ht="51">
      <c r="A95" s="5">
        <v>45515</v>
      </c>
      <c r="B95" s="5">
        <v>45516</v>
      </c>
      <c r="C95" t="s">
        <v>143</v>
      </c>
      <c r="D95" t="s">
        <v>129</v>
      </c>
      <c r="E95">
        <v>-74020</v>
      </c>
      <c r="F95">
        <v>16.45</v>
      </c>
      <c r="G95" s="14" t="s">
        <v>30</v>
      </c>
      <c r="M95" t="s">
        <v>143</v>
      </c>
      <c r="N95" t="s">
        <v>144</v>
      </c>
      <c r="O95" s="19" t="s">
        <v>145</v>
      </c>
      <c r="P95">
        <v>2000</v>
      </c>
      <c r="Q95" t="s">
        <v>133</v>
      </c>
      <c r="R95" t="s">
        <v>419</v>
      </c>
    </row>
    <row r="96" spans="1:18" ht="34">
      <c r="A96" s="5">
        <v>45515</v>
      </c>
      <c r="B96" s="5">
        <v>45516</v>
      </c>
      <c r="C96" t="s">
        <v>420</v>
      </c>
      <c r="D96" t="s">
        <v>134</v>
      </c>
      <c r="E96">
        <v>-76009</v>
      </c>
      <c r="F96">
        <v>109.76</v>
      </c>
      <c r="G96" s="14" t="s">
        <v>30</v>
      </c>
      <c r="I96" t="s">
        <v>421</v>
      </c>
      <c r="J96">
        <v>3.2</v>
      </c>
      <c r="M96" t="s">
        <v>420</v>
      </c>
      <c r="N96" t="s">
        <v>422</v>
      </c>
      <c r="O96" s="19" t="s">
        <v>423</v>
      </c>
      <c r="P96" t="s">
        <v>424</v>
      </c>
      <c r="Q96" t="s">
        <v>156</v>
      </c>
      <c r="R96" t="s">
        <v>425</v>
      </c>
    </row>
    <row r="97" spans="1:18" ht="34">
      <c r="A97" s="5">
        <v>45515</v>
      </c>
      <c r="B97" s="5">
        <v>45516</v>
      </c>
      <c r="C97" t="s">
        <v>426</v>
      </c>
      <c r="D97" t="s">
        <v>134</v>
      </c>
      <c r="E97">
        <v>-76009</v>
      </c>
      <c r="F97">
        <v>73.989999999999995</v>
      </c>
      <c r="G97" s="14" t="s">
        <v>30</v>
      </c>
      <c r="M97" t="s">
        <v>426</v>
      </c>
      <c r="N97" t="s">
        <v>409</v>
      </c>
      <c r="O97" s="19" t="s">
        <v>132</v>
      </c>
      <c r="P97">
        <v>2000</v>
      </c>
      <c r="Q97" t="s">
        <v>133</v>
      </c>
      <c r="R97" t="s">
        <v>427</v>
      </c>
    </row>
    <row r="98" spans="1:18" ht="51">
      <c r="A98" s="5">
        <v>45516</v>
      </c>
      <c r="B98" s="5">
        <v>45516</v>
      </c>
      <c r="C98" t="s">
        <v>94</v>
      </c>
      <c r="D98" t="s">
        <v>129</v>
      </c>
      <c r="E98">
        <v>-74020</v>
      </c>
      <c r="F98">
        <v>85</v>
      </c>
      <c r="G98" s="14" t="s">
        <v>30</v>
      </c>
      <c r="M98" t="s">
        <v>94</v>
      </c>
      <c r="N98" t="s">
        <v>176</v>
      </c>
      <c r="O98" s="19" t="s">
        <v>177</v>
      </c>
      <c r="P98">
        <v>2111</v>
      </c>
      <c r="Q98" t="s">
        <v>133</v>
      </c>
      <c r="R98" t="s">
        <v>428</v>
      </c>
    </row>
    <row r="99" spans="1:18" ht="34">
      <c r="A99" s="5">
        <v>45516</v>
      </c>
      <c r="B99" s="5">
        <v>45517</v>
      </c>
      <c r="C99" t="s">
        <v>183</v>
      </c>
      <c r="D99" t="s">
        <v>134</v>
      </c>
      <c r="E99">
        <v>-76009</v>
      </c>
      <c r="F99">
        <v>13.99</v>
      </c>
      <c r="G99" s="14" t="s">
        <v>30</v>
      </c>
      <c r="M99" t="s">
        <v>183</v>
      </c>
      <c r="N99" t="s">
        <v>184</v>
      </c>
      <c r="O99" s="19" t="s">
        <v>185</v>
      </c>
      <c r="P99" t="s">
        <v>186</v>
      </c>
      <c r="Q99" t="s">
        <v>187</v>
      </c>
      <c r="R99" t="s">
        <v>429</v>
      </c>
    </row>
    <row r="100" spans="1:18" ht="34">
      <c r="A100" s="5">
        <v>45517</v>
      </c>
      <c r="B100" s="5">
        <v>45519</v>
      </c>
      <c r="C100" t="s">
        <v>430</v>
      </c>
      <c r="D100" t="s">
        <v>134</v>
      </c>
      <c r="E100">
        <v>-76009</v>
      </c>
      <c r="F100">
        <v>9.9</v>
      </c>
      <c r="G100" s="14" t="s">
        <v>30</v>
      </c>
      <c r="M100" t="s">
        <v>430</v>
      </c>
      <c r="N100" s="19" t="s">
        <v>431</v>
      </c>
      <c r="O100" s="19" t="s">
        <v>132</v>
      </c>
      <c r="P100">
        <v>2000</v>
      </c>
      <c r="Q100" t="s">
        <v>133</v>
      </c>
      <c r="R100" t="s">
        <v>432</v>
      </c>
    </row>
    <row r="101" spans="1:18" ht="34">
      <c r="A101" s="5">
        <v>45518</v>
      </c>
      <c r="B101" s="5">
        <v>45519</v>
      </c>
      <c r="C101" t="s">
        <v>154</v>
      </c>
      <c r="D101" t="s">
        <v>129</v>
      </c>
      <c r="E101">
        <v>-74020</v>
      </c>
      <c r="F101">
        <v>99.99</v>
      </c>
      <c r="G101" s="14" t="s">
        <v>30</v>
      </c>
      <c r="M101" t="s">
        <v>154</v>
      </c>
      <c r="N101" s="19" t="s">
        <v>155</v>
      </c>
      <c r="O101" s="19" t="s">
        <v>132</v>
      </c>
      <c r="P101">
        <v>2000</v>
      </c>
      <c r="Q101" t="s">
        <v>133</v>
      </c>
      <c r="R101" t="s">
        <v>433</v>
      </c>
    </row>
    <row r="102" spans="1:18" ht="34">
      <c r="A102" s="5">
        <v>45519</v>
      </c>
      <c r="B102" s="5">
        <v>45520</v>
      </c>
      <c r="C102" t="s">
        <v>434</v>
      </c>
      <c r="D102" t="s">
        <v>134</v>
      </c>
      <c r="E102">
        <v>-76009</v>
      </c>
      <c r="F102">
        <v>122.4</v>
      </c>
      <c r="G102" s="14" t="s">
        <v>30</v>
      </c>
      <c r="M102" t="s">
        <v>434</v>
      </c>
      <c r="N102" t="s">
        <v>409</v>
      </c>
      <c r="O102" s="19" t="s">
        <v>132</v>
      </c>
      <c r="P102">
        <v>2000</v>
      </c>
      <c r="Q102" t="s">
        <v>133</v>
      </c>
      <c r="R102" t="s">
        <v>435</v>
      </c>
    </row>
    <row r="103" spans="1:18" ht="34">
      <c r="A103" s="5">
        <v>45520</v>
      </c>
      <c r="B103" s="5">
        <v>45520</v>
      </c>
      <c r="C103" t="s">
        <v>173</v>
      </c>
      <c r="D103" t="s">
        <v>134</v>
      </c>
      <c r="E103">
        <v>-76009</v>
      </c>
      <c r="F103">
        <v>23.95</v>
      </c>
      <c r="G103" s="14" t="s">
        <v>30</v>
      </c>
      <c r="M103" t="s">
        <v>173</v>
      </c>
      <c r="N103" s="19" t="s">
        <v>174</v>
      </c>
      <c r="O103" s="19" t="s">
        <v>175</v>
      </c>
      <c r="P103">
        <v>2250</v>
      </c>
      <c r="Q103" t="s">
        <v>133</v>
      </c>
      <c r="R103" t="s">
        <v>436</v>
      </c>
    </row>
    <row r="104" spans="1:18" ht="51">
      <c r="A104" s="5">
        <v>45521</v>
      </c>
      <c r="B104" s="5">
        <v>45523</v>
      </c>
      <c r="C104" t="s">
        <v>240</v>
      </c>
      <c r="D104" t="s">
        <v>134</v>
      </c>
      <c r="E104">
        <v>-76009</v>
      </c>
      <c r="F104">
        <v>29.35</v>
      </c>
      <c r="G104" s="14" t="s">
        <v>30</v>
      </c>
      <c r="M104" t="s">
        <v>240</v>
      </c>
      <c r="N104" t="s">
        <v>241</v>
      </c>
      <c r="O104" s="19" t="s">
        <v>158</v>
      </c>
      <c r="P104">
        <v>2113</v>
      </c>
      <c r="Q104" t="s">
        <v>133</v>
      </c>
      <c r="R104" t="s">
        <v>437</v>
      </c>
    </row>
    <row r="105" spans="1:18" ht="34">
      <c r="A105" s="5">
        <v>45522</v>
      </c>
      <c r="B105" s="5">
        <v>45523</v>
      </c>
      <c r="C105" t="s">
        <v>154</v>
      </c>
      <c r="D105" t="s">
        <v>134</v>
      </c>
      <c r="E105">
        <v>-76009</v>
      </c>
      <c r="F105">
        <f>50.47-12.49</f>
        <v>37.979999999999997</v>
      </c>
      <c r="G105" s="14" t="s">
        <v>30</v>
      </c>
      <c r="H105" t="s">
        <v>234</v>
      </c>
      <c r="L105">
        <v>50.47</v>
      </c>
      <c r="M105" t="s">
        <v>154</v>
      </c>
      <c r="N105" s="19" t="s">
        <v>155</v>
      </c>
      <c r="O105" s="19" t="s">
        <v>132</v>
      </c>
      <c r="P105">
        <v>2000</v>
      </c>
      <c r="Q105" t="s">
        <v>133</v>
      </c>
      <c r="R105" t="s">
        <v>438</v>
      </c>
    </row>
    <row r="106" spans="1:18" ht="34">
      <c r="A106" s="5">
        <v>45522</v>
      </c>
      <c r="B106" s="5">
        <v>45523</v>
      </c>
      <c r="C106" t="s">
        <v>154</v>
      </c>
      <c r="D106" t="s">
        <v>129</v>
      </c>
      <c r="E106">
        <v>-74020</v>
      </c>
      <c r="F106">
        <v>99.99</v>
      </c>
      <c r="G106" s="14" t="s">
        <v>30</v>
      </c>
      <c r="L106">
        <v>50.47</v>
      </c>
      <c r="M106" t="s">
        <v>154</v>
      </c>
      <c r="N106" s="19" t="s">
        <v>155</v>
      </c>
      <c r="O106" s="19" t="s">
        <v>132</v>
      </c>
      <c r="P106">
        <v>2000</v>
      </c>
      <c r="Q106" t="s">
        <v>133</v>
      </c>
      <c r="R106" t="s">
        <v>439</v>
      </c>
    </row>
    <row r="107" spans="1:18" ht="51">
      <c r="A107" s="5">
        <v>45522</v>
      </c>
      <c r="B107" s="5">
        <v>45524</v>
      </c>
      <c r="C107" t="s">
        <v>440</v>
      </c>
      <c r="D107" t="s">
        <v>134</v>
      </c>
      <c r="E107">
        <v>-76009</v>
      </c>
      <c r="F107">
        <v>36.5</v>
      </c>
      <c r="G107" s="14" t="s">
        <v>30</v>
      </c>
      <c r="M107" t="s">
        <v>440</v>
      </c>
      <c r="N107" t="s">
        <v>441</v>
      </c>
      <c r="O107" s="19" t="s">
        <v>177</v>
      </c>
      <c r="P107">
        <v>2111</v>
      </c>
      <c r="Q107" t="s">
        <v>133</v>
      </c>
      <c r="R107" t="s">
        <v>442</v>
      </c>
    </row>
    <row r="108" spans="1:18" ht="51">
      <c r="A108" s="5">
        <v>45523</v>
      </c>
      <c r="B108" s="5">
        <v>45523</v>
      </c>
      <c r="C108" t="s">
        <v>94</v>
      </c>
      <c r="D108" t="s">
        <v>129</v>
      </c>
      <c r="E108">
        <v>-74020</v>
      </c>
      <c r="F108">
        <v>85</v>
      </c>
      <c r="G108" s="14" t="s">
        <v>30</v>
      </c>
      <c r="M108" t="s">
        <v>94</v>
      </c>
      <c r="N108" t="s">
        <v>176</v>
      </c>
      <c r="O108" s="19" t="s">
        <v>177</v>
      </c>
      <c r="P108">
        <v>2111</v>
      </c>
      <c r="Q108" t="s">
        <v>133</v>
      </c>
      <c r="R108" t="s">
        <v>443</v>
      </c>
    </row>
    <row r="109" spans="1:18">
      <c r="A109" s="5">
        <v>45523</v>
      </c>
      <c r="B109" s="5">
        <v>45525</v>
      </c>
      <c r="C109" t="s">
        <v>444</v>
      </c>
      <c r="D109" t="s">
        <v>134</v>
      </c>
      <c r="E109">
        <v>-76009</v>
      </c>
      <c r="F109">
        <v>3.07</v>
      </c>
      <c r="G109" s="14" t="s">
        <v>30</v>
      </c>
      <c r="I109" t="s">
        <v>445</v>
      </c>
      <c r="J109">
        <v>0.09</v>
      </c>
      <c r="M109" t="s">
        <v>444</v>
      </c>
      <c r="N109" t="s">
        <v>446</v>
      </c>
      <c r="O109" t="s">
        <v>447</v>
      </c>
      <c r="P109">
        <v>0</v>
      </c>
      <c r="Q109" t="s">
        <v>156</v>
      </c>
      <c r="R109" t="s">
        <v>448</v>
      </c>
    </row>
    <row r="110" spans="1:18" ht="34">
      <c r="A110" s="5">
        <v>45523</v>
      </c>
      <c r="B110" s="5">
        <v>45524</v>
      </c>
      <c r="C110" t="s">
        <v>341</v>
      </c>
      <c r="D110" t="s">
        <v>134</v>
      </c>
      <c r="E110">
        <v>-76009</v>
      </c>
      <c r="F110">
        <v>10.71</v>
      </c>
      <c r="G110" s="14" t="s">
        <v>30</v>
      </c>
      <c r="L110" s="19" t="s">
        <v>342</v>
      </c>
      <c r="M110" t="s">
        <v>341</v>
      </c>
      <c r="N110" t="s">
        <v>343</v>
      </c>
      <c r="O110" s="19" t="s">
        <v>132</v>
      </c>
      <c r="P110">
        <v>2000</v>
      </c>
      <c r="Q110" t="s">
        <v>133</v>
      </c>
      <c r="R110" t="s">
        <v>449</v>
      </c>
    </row>
    <row r="111" spans="1:18" ht="51">
      <c r="A111" s="5">
        <v>45523</v>
      </c>
      <c r="B111" s="5">
        <v>45524</v>
      </c>
      <c r="C111" t="s">
        <v>450</v>
      </c>
      <c r="D111" t="s">
        <v>134</v>
      </c>
      <c r="E111">
        <v>-76009</v>
      </c>
      <c r="F111">
        <v>209</v>
      </c>
      <c r="G111" s="14" t="s">
        <v>30</v>
      </c>
      <c r="M111" t="s">
        <v>450</v>
      </c>
      <c r="N111" s="19" t="s">
        <v>451</v>
      </c>
      <c r="O111" s="19" t="s">
        <v>177</v>
      </c>
      <c r="P111">
        <v>2111</v>
      </c>
      <c r="Q111" t="s">
        <v>133</v>
      </c>
      <c r="R111" t="s">
        <v>452</v>
      </c>
    </row>
    <row r="112" spans="1:18" ht="34">
      <c r="A112" s="5">
        <v>45525</v>
      </c>
      <c r="B112" s="5">
        <v>45526</v>
      </c>
      <c r="C112" t="s">
        <v>453</v>
      </c>
      <c r="D112" t="s">
        <v>129</v>
      </c>
      <c r="E112">
        <v>-74020</v>
      </c>
      <c r="F112">
        <v>76.489999999999995</v>
      </c>
      <c r="G112" s="14" t="s">
        <v>30</v>
      </c>
      <c r="M112" t="s">
        <v>453</v>
      </c>
      <c r="N112" t="s">
        <v>454</v>
      </c>
      <c r="O112" s="19" t="s">
        <v>455</v>
      </c>
      <c r="P112">
        <v>2114</v>
      </c>
      <c r="Q112" t="s">
        <v>133</v>
      </c>
      <c r="R112" t="s">
        <v>456</v>
      </c>
    </row>
    <row r="113" spans="1:18" ht="51">
      <c r="A113" s="5">
        <v>45525</v>
      </c>
      <c r="B113" s="5">
        <v>45526</v>
      </c>
      <c r="C113" t="s">
        <v>261</v>
      </c>
      <c r="D113" t="s">
        <v>134</v>
      </c>
      <c r="E113">
        <v>-76009</v>
      </c>
      <c r="F113">
        <v>12.92</v>
      </c>
      <c r="G113" s="14" t="s">
        <v>310</v>
      </c>
      <c r="I113" t="s">
        <v>262</v>
      </c>
      <c r="J113">
        <v>0.38</v>
      </c>
      <c r="M113" t="s">
        <v>261</v>
      </c>
      <c r="N113" t="s">
        <v>263</v>
      </c>
      <c r="O113" s="19" t="s">
        <v>264</v>
      </c>
      <c r="P113" t="s">
        <v>265</v>
      </c>
      <c r="Q113" t="s">
        <v>161</v>
      </c>
      <c r="R113" t="s">
        <v>457</v>
      </c>
    </row>
    <row r="114" spans="1:18" ht="34">
      <c r="A114" s="5">
        <v>45525</v>
      </c>
      <c r="B114" s="5">
        <v>45526</v>
      </c>
      <c r="C114" t="s">
        <v>458</v>
      </c>
      <c r="D114" t="s">
        <v>134</v>
      </c>
      <c r="E114">
        <v>-76009</v>
      </c>
      <c r="F114">
        <v>119.99</v>
      </c>
      <c r="G114" s="14" t="s">
        <v>30</v>
      </c>
      <c r="M114" t="s">
        <v>458</v>
      </c>
      <c r="N114" s="19" t="s">
        <v>459</v>
      </c>
      <c r="O114" s="19" t="s">
        <v>219</v>
      </c>
      <c r="P114">
        <v>3121</v>
      </c>
      <c r="Q114" t="s">
        <v>133</v>
      </c>
      <c r="R114" t="s">
        <v>460</v>
      </c>
    </row>
    <row r="115" spans="1:18" ht="51">
      <c r="A115" s="5">
        <v>45525</v>
      </c>
      <c r="B115" s="5">
        <v>45525</v>
      </c>
      <c r="C115" t="s">
        <v>252</v>
      </c>
      <c r="D115" t="s">
        <v>134</v>
      </c>
      <c r="E115">
        <v>-76009</v>
      </c>
      <c r="F115">
        <v>6.8</v>
      </c>
      <c r="G115" s="14" t="s">
        <v>30</v>
      </c>
      <c r="M115" t="s">
        <v>252</v>
      </c>
      <c r="N115" t="s">
        <v>253</v>
      </c>
      <c r="O115" s="19" t="s">
        <v>158</v>
      </c>
      <c r="P115">
        <v>2113</v>
      </c>
      <c r="Q115" t="s">
        <v>133</v>
      </c>
      <c r="R115" t="s">
        <v>461</v>
      </c>
    </row>
    <row r="116" spans="1:18" ht="34">
      <c r="A116" s="5">
        <v>45525</v>
      </c>
      <c r="B116" s="5">
        <v>45526</v>
      </c>
      <c r="C116" t="s">
        <v>235</v>
      </c>
      <c r="D116" t="s">
        <v>129</v>
      </c>
      <c r="E116">
        <v>-74020</v>
      </c>
      <c r="F116">
        <v>9.99</v>
      </c>
      <c r="G116" s="14" t="s">
        <v>30</v>
      </c>
      <c r="M116" t="s">
        <v>235</v>
      </c>
      <c r="N116" s="19" t="s">
        <v>152</v>
      </c>
      <c r="O116" s="19" t="s">
        <v>153</v>
      </c>
      <c r="P116">
        <v>2007</v>
      </c>
      <c r="Q116" t="s">
        <v>133</v>
      </c>
      <c r="R116" t="s">
        <v>462</v>
      </c>
    </row>
    <row r="117" spans="1:18" ht="34">
      <c r="A117" s="5">
        <v>45526</v>
      </c>
      <c r="B117" s="5">
        <v>45528</v>
      </c>
      <c r="C117" t="s">
        <v>154</v>
      </c>
      <c r="D117" t="s">
        <v>129</v>
      </c>
      <c r="E117">
        <v>-74020</v>
      </c>
      <c r="F117">
        <v>56.99</v>
      </c>
      <c r="G117" s="14" t="s">
        <v>30</v>
      </c>
      <c r="M117" t="s">
        <v>154</v>
      </c>
      <c r="N117" s="19" t="s">
        <v>155</v>
      </c>
      <c r="O117" s="19" t="s">
        <v>132</v>
      </c>
      <c r="P117">
        <v>2000</v>
      </c>
      <c r="Q117" t="s">
        <v>133</v>
      </c>
      <c r="R117" t="s">
        <v>463</v>
      </c>
    </row>
    <row r="118" spans="1:18" ht="34">
      <c r="A118" s="5">
        <v>45526</v>
      </c>
      <c r="B118" s="5">
        <v>45528</v>
      </c>
      <c r="C118" t="s">
        <v>464</v>
      </c>
      <c r="D118" t="s">
        <v>134</v>
      </c>
      <c r="E118">
        <v>-76009</v>
      </c>
      <c r="F118">
        <v>179.85</v>
      </c>
      <c r="G118" s="14" t="s">
        <v>30</v>
      </c>
      <c r="M118" t="s">
        <v>464</v>
      </c>
      <c r="N118" s="19" t="s">
        <v>465</v>
      </c>
      <c r="O118" s="19" t="s">
        <v>466</v>
      </c>
      <c r="P118">
        <v>2112</v>
      </c>
      <c r="Q118" t="s">
        <v>133</v>
      </c>
      <c r="R118" t="s">
        <v>467</v>
      </c>
    </row>
    <row r="119" spans="1:18" ht="51">
      <c r="A119" s="5">
        <v>45526</v>
      </c>
      <c r="B119" s="5">
        <v>45527</v>
      </c>
      <c r="C119" t="s">
        <v>450</v>
      </c>
      <c r="D119" t="s">
        <v>134</v>
      </c>
      <c r="E119">
        <v>-76009</v>
      </c>
      <c r="F119">
        <v>20</v>
      </c>
      <c r="G119" s="14" t="s">
        <v>30</v>
      </c>
      <c r="M119" t="s">
        <v>450</v>
      </c>
      <c r="N119" s="19" t="s">
        <v>451</v>
      </c>
      <c r="O119" s="19" t="s">
        <v>177</v>
      </c>
      <c r="P119">
        <v>2111</v>
      </c>
      <c r="Q119" t="s">
        <v>133</v>
      </c>
      <c r="R119" t="s">
        <v>468</v>
      </c>
    </row>
    <row r="120" spans="1:18" ht="34">
      <c r="A120" s="5">
        <v>45527</v>
      </c>
      <c r="B120" s="5">
        <v>45528</v>
      </c>
      <c r="C120" t="s">
        <v>173</v>
      </c>
      <c r="D120" t="s">
        <v>134</v>
      </c>
      <c r="E120">
        <v>-76009</v>
      </c>
      <c r="F120">
        <v>23.95</v>
      </c>
      <c r="G120" s="14" t="s">
        <v>30</v>
      </c>
      <c r="M120" t="s">
        <v>173</v>
      </c>
      <c r="N120" s="19" t="s">
        <v>174</v>
      </c>
      <c r="O120" s="19" t="s">
        <v>175</v>
      </c>
      <c r="P120">
        <v>2250</v>
      </c>
      <c r="Q120" t="s">
        <v>133</v>
      </c>
      <c r="R120" t="s">
        <v>469</v>
      </c>
    </row>
    <row r="121" spans="1:18" ht="51">
      <c r="A121" s="5">
        <v>45527</v>
      </c>
      <c r="B121" s="5">
        <v>45528</v>
      </c>
      <c r="C121" t="s">
        <v>324</v>
      </c>
      <c r="D121" t="s">
        <v>134</v>
      </c>
      <c r="E121">
        <v>-76009</v>
      </c>
      <c r="F121">
        <v>13.33</v>
      </c>
      <c r="G121" s="14" t="s">
        <v>30</v>
      </c>
      <c r="M121" t="s">
        <v>324</v>
      </c>
      <c r="N121" t="s">
        <v>325</v>
      </c>
      <c r="O121" s="19" t="s">
        <v>158</v>
      </c>
      <c r="P121">
        <v>2113</v>
      </c>
      <c r="Q121" t="s">
        <v>133</v>
      </c>
      <c r="R121" t="s">
        <v>470</v>
      </c>
    </row>
    <row r="122" spans="1:18" ht="34">
      <c r="A122" s="5">
        <v>45528</v>
      </c>
      <c r="B122" s="5">
        <v>45530</v>
      </c>
      <c r="C122" t="s">
        <v>471</v>
      </c>
      <c r="D122" t="s">
        <v>134</v>
      </c>
      <c r="E122">
        <v>-76009</v>
      </c>
      <c r="F122">
        <v>8.8000000000000007</v>
      </c>
      <c r="G122" s="14" t="s">
        <v>30</v>
      </c>
      <c r="M122" t="s">
        <v>471</v>
      </c>
      <c r="N122" s="19" t="s">
        <v>472</v>
      </c>
      <c r="O122" s="19" t="s">
        <v>137</v>
      </c>
      <c r="P122">
        <v>2020</v>
      </c>
      <c r="Q122" t="s">
        <v>133</v>
      </c>
      <c r="R122" t="s">
        <v>473</v>
      </c>
    </row>
    <row r="123" spans="1:18" ht="34">
      <c r="A123" s="5">
        <v>45529</v>
      </c>
      <c r="B123" s="5">
        <v>45531</v>
      </c>
      <c r="C123" t="s">
        <v>154</v>
      </c>
      <c r="D123" t="s">
        <v>134</v>
      </c>
      <c r="E123">
        <v>-76009</v>
      </c>
      <c r="F123">
        <v>25.99</v>
      </c>
      <c r="G123" s="14" t="s">
        <v>30</v>
      </c>
      <c r="M123" t="s">
        <v>154</v>
      </c>
      <c r="N123" s="19" t="s">
        <v>155</v>
      </c>
      <c r="O123" s="19" t="s">
        <v>132</v>
      </c>
      <c r="P123">
        <v>2000</v>
      </c>
      <c r="Q123" t="s">
        <v>133</v>
      </c>
      <c r="R123" t="s">
        <v>474</v>
      </c>
    </row>
    <row r="124" spans="1:18" ht="51">
      <c r="A124" s="5">
        <v>45530</v>
      </c>
      <c r="B124" s="5">
        <v>45530</v>
      </c>
      <c r="C124" t="s">
        <v>94</v>
      </c>
      <c r="D124" t="s">
        <v>129</v>
      </c>
      <c r="E124">
        <v>-74020</v>
      </c>
      <c r="F124">
        <v>85</v>
      </c>
      <c r="G124" s="14" t="s">
        <v>30</v>
      </c>
      <c r="M124" t="s">
        <v>94</v>
      </c>
      <c r="N124" t="s">
        <v>176</v>
      </c>
      <c r="O124" s="19" t="s">
        <v>177</v>
      </c>
      <c r="P124">
        <v>2111</v>
      </c>
      <c r="Q124" t="s">
        <v>133</v>
      </c>
      <c r="R124" t="s">
        <v>475</v>
      </c>
    </row>
    <row r="125" spans="1:18" ht="34">
      <c r="A125" s="5">
        <v>45534</v>
      </c>
      <c r="B125" s="5">
        <v>45535</v>
      </c>
      <c r="C125" t="s">
        <v>173</v>
      </c>
      <c r="D125" t="s">
        <v>134</v>
      </c>
      <c r="E125">
        <v>-76009</v>
      </c>
      <c r="F125">
        <v>23.95</v>
      </c>
      <c r="G125" s="14" t="s">
        <v>30</v>
      </c>
      <c r="M125" t="s">
        <v>173</v>
      </c>
      <c r="N125" s="19" t="s">
        <v>174</v>
      </c>
      <c r="O125" s="19" t="s">
        <v>175</v>
      </c>
      <c r="P125">
        <v>2250</v>
      </c>
      <c r="Q125" t="s">
        <v>133</v>
      </c>
      <c r="R125" t="s">
        <v>476</v>
      </c>
    </row>
    <row r="126" spans="1:18" ht="34">
      <c r="A126" s="5">
        <v>45534</v>
      </c>
      <c r="B126" s="5">
        <v>45534</v>
      </c>
      <c r="C126" t="s">
        <v>477</v>
      </c>
      <c r="D126" t="s">
        <v>129</v>
      </c>
      <c r="E126">
        <v>-74020</v>
      </c>
      <c r="F126">
        <v>20.5</v>
      </c>
      <c r="G126" s="14" t="s">
        <v>30</v>
      </c>
      <c r="M126" t="s">
        <v>477</v>
      </c>
      <c r="N126" t="s">
        <v>478</v>
      </c>
      <c r="O126" s="19" t="s">
        <v>479</v>
      </c>
      <c r="P126">
        <v>2131</v>
      </c>
      <c r="Q126" t="s">
        <v>133</v>
      </c>
      <c r="R126" t="s">
        <v>480</v>
      </c>
    </row>
    <row r="127" spans="1:18" ht="34">
      <c r="A127" s="5">
        <v>45513</v>
      </c>
      <c r="B127" s="5">
        <v>45514</v>
      </c>
      <c r="C127" t="s">
        <v>173</v>
      </c>
      <c r="D127" t="s">
        <v>134</v>
      </c>
      <c r="E127">
        <v>-76009</v>
      </c>
      <c r="F127">
        <v>23.95</v>
      </c>
      <c r="G127" s="14" t="s">
        <v>481</v>
      </c>
      <c r="M127" t="s">
        <v>173</v>
      </c>
      <c r="N127" s="19" t="s">
        <v>174</v>
      </c>
      <c r="O127" s="19" t="s">
        <v>175</v>
      </c>
      <c r="P127">
        <v>2250</v>
      </c>
      <c r="Q127" t="s">
        <v>133</v>
      </c>
      <c r="R127" t="s">
        <v>482</v>
      </c>
    </row>
    <row r="128" spans="1:18">
      <c r="A128" s="5"/>
      <c r="B128" s="5"/>
      <c r="C128"/>
      <c r="E128"/>
      <c r="G128" s="14"/>
      <c r="N128" s="19"/>
      <c r="O128" s="19"/>
    </row>
    <row r="129" spans="1:15">
      <c r="A129" s="5"/>
      <c r="B129" s="5"/>
      <c r="C129"/>
      <c r="E129"/>
      <c r="G129" s="14"/>
      <c r="N129" s="19"/>
      <c r="O129" s="19"/>
    </row>
    <row r="130" spans="1:15">
      <c r="A130" s="5"/>
      <c r="B130" s="5"/>
      <c r="C130"/>
      <c r="E130"/>
      <c r="G130" s="14"/>
      <c r="O130" s="19"/>
    </row>
    <row r="131" spans="1:15">
      <c r="A131" s="5"/>
      <c r="B131" s="5"/>
      <c r="C131"/>
      <c r="E131"/>
      <c r="G131" s="14"/>
      <c r="N131" s="19"/>
      <c r="O131" s="19"/>
    </row>
    <row r="132" spans="1:15">
      <c r="A132" s="5"/>
      <c r="B132" s="5"/>
      <c r="C132"/>
      <c r="E132"/>
      <c r="G132" s="14"/>
      <c r="N132" s="19"/>
      <c r="O132" s="19"/>
    </row>
    <row r="133" spans="1:15">
      <c r="A133" s="5"/>
      <c r="B133" s="5"/>
      <c r="C133"/>
      <c r="E133"/>
      <c r="G133" s="14"/>
      <c r="N133" s="19"/>
      <c r="O133" s="19"/>
    </row>
    <row r="134" spans="1:15">
      <c r="A134" s="5"/>
      <c r="B134" s="5"/>
      <c r="C134"/>
      <c r="E134"/>
      <c r="G134" s="14"/>
      <c r="N134" s="19"/>
      <c r="O134" s="19"/>
    </row>
    <row r="135" spans="1:15">
      <c r="A135" s="5"/>
      <c r="B135" s="5"/>
      <c r="C135"/>
      <c r="E135"/>
      <c r="G135" s="14"/>
      <c r="N135" s="19"/>
      <c r="O135" s="19"/>
    </row>
    <row r="136" spans="1:15">
      <c r="A136" s="5"/>
      <c r="B136" s="5"/>
      <c r="C136"/>
      <c r="E136"/>
      <c r="G136" s="14"/>
      <c r="N136" s="19"/>
      <c r="O136" s="19"/>
    </row>
    <row r="137" spans="1:15">
      <c r="A137" s="5"/>
      <c r="B137" s="5"/>
      <c r="C137"/>
      <c r="E137"/>
      <c r="G137" s="14"/>
      <c r="N137" s="19"/>
      <c r="O137" s="19"/>
    </row>
    <row r="138" spans="1:15">
      <c r="A138" s="5"/>
      <c r="B138" s="5"/>
      <c r="C138"/>
      <c r="E138"/>
      <c r="G138" s="14"/>
      <c r="N138" s="19"/>
      <c r="O138" s="19"/>
    </row>
    <row r="139" spans="1:15">
      <c r="A139" s="5"/>
      <c r="B139" s="5"/>
      <c r="C139"/>
      <c r="E139"/>
      <c r="G139" s="14"/>
      <c r="N139" s="19"/>
      <c r="O139" s="19"/>
    </row>
    <row r="140" spans="1:15">
      <c r="A140" s="5"/>
      <c r="B140" s="5"/>
      <c r="C140"/>
      <c r="E140"/>
      <c r="G140" s="14"/>
      <c r="N140" s="19"/>
      <c r="O140" s="19"/>
    </row>
    <row r="141" spans="1:15">
      <c r="A141" s="5"/>
      <c r="B141" s="5"/>
      <c r="C141"/>
      <c r="E141"/>
      <c r="G141" s="14"/>
      <c r="N141" s="19"/>
      <c r="O141" s="19"/>
    </row>
  </sheetData>
  <sortState xmlns:xlrd2="http://schemas.microsoft.com/office/spreadsheetml/2017/richdata2" ref="A50:H80">
    <sortCondition ref="C50:C80"/>
    <sortCondition ref="D50:D80"/>
    <sortCondition ref="A50:A80"/>
  </sortState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R49"/>
  <sheetViews>
    <sheetView topLeftCell="A30" zoomScale="126" zoomScaleNormal="125" zoomScalePageLayoutView="125" workbookViewId="0">
      <selection activeCell="A39" sqref="A39:XFD48"/>
    </sheetView>
  </sheetViews>
  <sheetFormatPr baseColWidth="10" defaultColWidth="25.83203125" defaultRowHeight="16"/>
  <cols>
    <col min="1" max="1" width="17.83203125" customWidth="1"/>
    <col min="2" max="2" width="13.6640625" customWidth="1"/>
    <col min="3" max="3" width="10.1640625" customWidth="1"/>
    <col min="5" max="5" width="25.83203125" style="17"/>
    <col min="6" max="6" width="25.83203125" style="14"/>
    <col min="7" max="7" width="0" style="32" hidden="1" customWidth="1"/>
    <col min="8" max="8" width="14.1640625" style="8" customWidth="1"/>
    <col min="9" max="9" width="10" customWidth="1"/>
    <col min="10" max="11" width="0" hidden="1" customWidth="1"/>
    <col min="15" max="15" width="13.33203125" customWidth="1"/>
    <col min="16" max="16" width="7.1640625" customWidth="1"/>
    <col min="17" max="17" width="14.33203125" customWidth="1"/>
  </cols>
  <sheetData>
    <row r="1" spans="1:18" ht="112">
      <c r="A1" s="42" t="s">
        <v>190</v>
      </c>
      <c r="B1" s="42" t="s">
        <v>191</v>
      </c>
    </row>
    <row r="2" spans="1:18">
      <c r="A2" s="43" t="s">
        <v>192</v>
      </c>
      <c r="B2" s="43" t="s">
        <v>116</v>
      </c>
    </row>
    <row r="3" spans="1:18">
      <c r="A3" s="44" t="s">
        <v>134</v>
      </c>
      <c r="B3" s="44" t="s">
        <v>116</v>
      </c>
    </row>
    <row r="4" spans="1:18">
      <c r="A4" s="43" t="s">
        <v>73</v>
      </c>
      <c r="B4" s="43" t="s">
        <v>116</v>
      </c>
    </row>
    <row r="5" spans="1:18">
      <c r="A5" s="44" t="s">
        <v>193</v>
      </c>
      <c r="B5" s="44" t="s">
        <v>116</v>
      </c>
    </row>
    <row r="6" spans="1:18">
      <c r="A6" s="43" t="s">
        <v>116</v>
      </c>
      <c r="B6" s="43" t="s">
        <v>116</v>
      </c>
    </row>
    <row r="7" spans="1:18">
      <c r="A7" t="s">
        <v>20</v>
      </c>
      <c r="B7" t="s">
        <v>251</v>
      </c>
      <c r="C7" s="6" t="s">
        <v>326</v>
      </c>
      <c r="D7" t="s">
        <v>327</v>
      </c>
      <c r="E7" t="s">
        <v>117</v>
      </c>
      <c r="F7" t="s">
        <v>118</v>
      </c>
      <c r="G7" t="s">
        <v>119</v>
      </c>
      <c r="H7" s="8" t="s">
        <v>21</v>
      </c>
      <c r="I7" t="s">
        <v>120</v>
      </c>
      <c r="J7" t="s">
        <v>121</v>
      </c>
      <c r="K7" t="s">
        <v>122</v>
      </c>
      <c r="L7" t="s">
        <v>123</v>
      </c>
      <c r="M7" t="s">
        <v>124</v>
      </c>
      <c r="N7" t="s">
        <v>125</v>
      </c>
      <c r="O7" t="s">
        <v>126</v>
      </c>
      <c r="P7" t="s">
        <v>66</v>
      </c>
      <c r="Q7" t="s">
        <v>67</v>
      </c>
      <c r="R7" t="s">
        <v>127</v>
      </c>
    </row>
    <row r="8" spans="1:18" ht="34">
      <c r="A8" s="5">
        <v>45536</v>
      </c>
      <c r="B8" s="5">
        <v>45537</v>
      </c>
      <c r="C8" s="63" t="s">
        <v>26</v>
      </c>
      <c r="D8" s="5" t="s">
        <v>277</v>
      </c>
      <c r="E8" t="s">
        <v>196</v>
      </c>
      <c r="F8" t="s">
        <v>134</v>
      </c>
      <c r="G8">
        <v>-25008</v>
      </c>
      <c r="H8">
        <v>30</v>
      </c>
      <c r="M8" t="s">
        <v>196</v>
      </c>
      <c r="N8" s="19" t="s">
        <v>197</v>
      </c>
      <c r="O8" s="19" t="s">
        <v>132</v>
      </c>
      <c r="P8">
        <v>2000</v>
      </c>
      <c r="Q8" t="s">
        <v>133</v>
      </c>
      <c r="R8" t="s">
        <v>566</v>
      </c>
    </row>
    <row r="9" spans="1:18" ht="51">
      <c r="A9" s="5">
        <v>45537</v>
      </c>
      <c r="B9" s="5">
        <v>45538</v>
      </c>
      <c r="C9" s="63" t="s">
        <v>26</v>
      </c>
      <c r="D9" s="5" t="s">
        <v>244</v>
      </c>
      <c r="E9" t="s">
        <v>258</v>
      </c>
      <c r="F9" t="s">
        <v>194</v>
      </c>
      <c r="G9">
        <v>-22021</v>
      </c>
      <c r="H9">
        <v>29.5</v>
      </c>
      <c r="M9" t="s">
        <v>258</v>
      </c>
      <c r="N9" t="s">
        <v>259</v>
      </c>
      <c r="O9" s="19" t="s">
        <v>195</v>
      </c>
      <c r="P9">
        <v>3003</v>
      </c>
      <c r="Q9" t="s">
        <v>133</v>
      </c>
      <c r="R9" t="s">
        <v>567</v>
      </c>
    </row>
    <row r="10" spans="1:18" ht="34">
      <c r="A10" s="5">
        <v>45540</v>
      </c>
      <c r="B10" s="5">
        <v>45541</v>
      </c>
      <c r="C10" s="63" t="s">
        <v>26</v>
      </c>
      <c r="D10" s="5" t="s">
        <v>277</v>
      </c>
      <c r="E10" t="s">
        <v>109</v>
      </c>
      <c r="F10" t="s">
        <v>134</v>
      </c>
      <c r="G10">
        <v>-25008</v>
      </c>
      <c r="H10">
        <v>174.34</v>
      </c>
      <c r="M10" t="s">
        <v>109</v>
      </c>
      <c r="N10" t="s">
        <v>198</v>
      </c>
      <c r="O10" s="19" t="s">
        <v>199</v>
      </c>
      <c r="P10">
        <v>5000</v>
      </c>
      <c r="Q10" t="s">
        <v>133</v>
      </c>
      <c r="R10" t="s">
        <v>568</v>
      </c>
    </row>
    <row r="11" spans="1:18" ht="34">
      <c r="A11" s="5">
        <v>45550</v>
      </c>
      <c r="B11" s="5">
        <v>45551</v>
      </c>
      <c r="C11" s="63" t="s">
        <v>26</v>
      </c>
      <c r="D11" s="5" t="s">
        <v>234</v>
      </c>
      <c r="E11" t="s">
        <v>226</v>
      </c>
      <c r="F11" t="s">
        <v>134</v>
      </c>
      <c r="G11">
        <v>-25008</v>
      </c>
      <c r="H11">
        <v>40</v>
      </c>
      <c r="M11" t="s">
        <v>226</v>
      </c>
      <c r="N11" s="19" t="s">
        <v>135</v>
      </c>
      <c r="O11" s="19" t="s">
        <v>136</v>
      </c>
      <c r="P11">
        <v>2010</v>
      </c>
      <c r="Q11" t="s">
        <v>133</v>
      </c>
      <c r="R11" t="s">
        <v>569</v>
      </c>
    </row>
    <row r="12" spans="1:18" ht="51">
      <c r="A12" s="5">
        <v>45552</v>
      </c>
      <c r="B12" s="5">
        <v>45553</v>
      </c>
      <c r="C12" s="63" t="s">
        <v>26</v>
      </c>
      <c r="D12" s="5" t="s">
        <v>242</v>
      </c>
      <c r="E12" t="s">
        <v>257</v>
      </c>
      <c r="F12" t="s">
        <v>194</v>
      </c>
      <c r="G12">
        <v>-22021</v>
      </c>
      <c r="H12">
        <v>40</v>
      </c>
      <c r="M12" t="s">
        <v>257</v>
      </c>
      <c r="N12" s="19" t="s">
        <v>245</v>
      </c>
      <c r="O12" s="19" t="s">
        <v>159</v>
      </c>
      <c r="P12">
        <v>2150</v>
      </c>
      <c r="Q12" t="s">
        <v>133</v>
      </c>
      <c r="R12" t="s">
        <v>570</v>
      </c>
    </row>
    <row r="13" spans="1:18" ht="51">
      <c r="A13" s="5">
        <v>45557</v>
      </c>
      <c r="B13" s="5">
        <v>45558</v>
      </c>
      <c r="C13" s="63" t="s">
        <v>26</v>
      </c>
      <c r="D13" s="5" t="s">
        <v>278</v>
      </c>
      <c r="E13" t="s">
        <v>200</v>
      </c>
      <c r="F13" t="s">
        <v>134</v>
      </c>
      <c r="G13">
        <v>-25008</v>
      </c>
      <c r="H13">
        <v>89.95</v>
      </c>
      <c r="M13" t="s">
        <v>200</v>
      </c>
      <c r="N13" s="19" t="s">
        <v>201</v>
      </c>
      <c r="O13" s="19" t="s">
        <v>202</v>
      </c>
      <c r="P13">
        <v>2086</v>
      </c>
      <c r="Q13" t="s">
        <v>133</v>
      </c>
      <c r="R13" t="s">
        <v>571</v>
      </c>
    </row>
    <row r="14" spans="1:18" ht="34">
      <c r="A14" s="5">
        <v>45558</v>
      </c>
      <c r="B14" s="5">
        <v>45559</v>
      </c>
      <c r="C14" s="63" t="s">
        <v>26</v>
      </c>
      <c r="D14" s="5" t="s">
        <v>277</v>
      </c>
      <c r="E14" t="s">
        <v>196</v>
      </c>
      <c r="F14" t="s">
        <v>134</v>
      </c>
      <c r="G14">
        <v>-25008</v>
      </c>
      <c r="H14">
        <v>30</v>
      </c>
      <c r="M14" t="s">
        <v>196</v>
      </c>
      <c r="N14" s="19" t="s">
        <v>197</v>
      </c>
      <c r="O14" s="19" t="s">
        <v>132</v>
      </c>
      <c r="P14">
        <v>2000</v>
      </c>
      <c r="Q14" t="s">
        <v>133</v>
      </c>
      <c r="R14" t="s">
        <v>572</v>
      </c>
    </row>
    <row r="15" spans="1:18" ht="34">
      <c r="A15" s="5">
        <v>45564</v>
      </c>
      <c r="B15" s="5">
        <v>45565</v>
      </c>
      <c r="C15" s="63" t="s">
        <v>26</v>
      </c>
      <c r="D15" s="5" t="s">
        <v>277</v>
      </c>
      <c r="E15" t="s">
        <v>196</v>
      </c>
      <c r="F15" t="s">
        <v>134</v>
      </c>
      <c r="G15">
        <v>-25008</v>
      </c>
      <c r="H15">
        <v>30</v>
      </c>
      <c r="M15" t="s">
        <v>196</v>
      </c>
      <c r="N15" s="19" t="s">
        <v>197</v>
      </c>
      <c r="O15" s="19" t="s">
        <v>132</v>
      </c>
      <c r="P15">
        <v>2000</v>
      </c>
      <c r="Q15" t="s">
        <v>133</v>
      </c>
      <c r="R15" t="s">
        <v>573</v>
      </c>
    </row>
    <row r="16" spans="1:18">
      <c r="A16" s="5"/>
      <c r="B16" s="5"/>
      <c r="C16" s="63"/>
      <c r="D16" s="5"/>
      <c r="E16"/>
      <c r="F16"/>
      <c r="G16"/>
      <c r="N16" s="19"/>
      <c r="O16" s="19"/>
    </row>
    <row r="17" spans="1:18">
      <c r="A17" s="5"/>
      <c r="B17" s="5"/>
      <c r="C17" s="63"/>
      <c r="D17" s="5"/>
      <c r="E17"/>
      <c r="F17" t="s">
        <v>328</v>
      </c>
      <c r="G17"/>
      <c r="H17" s="8">
        <f>SUM(H8:H16)</f>
        <v>463.79</v>
      </c>
      <c r="N17" s="19"/>
      <c r="O17" s="19"/>
    </row>
    <row r="18" spans="1:18">
      <c r="A18" s="5"/>
      <c r="B18" s="5"/>
      <c r="C18" s="63"/>
      <c r="D18" s="5"/>
      <c r="E18"/>
      <c r="F18" t="s">
        <v>2</v>
      </c>
      <c r="G18"/>
      <c r="H18" s="8">
        <f>H17/11</f>
        <v>42.162727272727274</v>
      </c>
      <c r="N18" s="19"/>
      <c r="O18" s="19"/>
    </row>
    <row r="19" spans="1:18">
      <c r="A19" s="5"/>
      <c r="B19" s="5"/>
      <c r="C19" s="63"/>
      <c r="D19" s="5"/>
      <c r="E19"/>
      <c r="F19"/>
      <c r="G19"/>
      <c r="N19" s="19"/>
      <c r="O19" s="19"/>
    </row>
    <row r="20" spans="1:18">
      <c r="A20" s="5"/>
      <c r="B20" s="5"/>
      <c r="C20" s="63"/>
      <c r="D20" s="5"/>
      <c r="E20"/>
      <c r="F20"/>
      <c r="G20"/>
      <c r="N20" s="19"/>
      <c r="O20" s="19"/>
    </row>
    <row r="21" spans="1:18">
      <c r="A21" s="5"/>
      <c r="B21" s="5"/>
      <c r="C21" s="63"/>
      <c r="D21" s="5"/>
      <c r="E21"/>
      <c r="F21"/>
      <c r="G21"/>
      <c r="N21" s="19"/>
      <c r="O21" s="19"/>
    </row>
    <row r="22" spans="1:18" ht="51">
      <c r="A22" s="5">
        <v>45542</v>
      </c>
      <c r="B22" s="5">
        <v>45543</v>
      </c>
      <c r="C22" s="63" t="s">
        <v>28</v>
      </c>
      <c r="D22" s="5" t="s">
        <v>278</v>
      </c>
      <c r="E22" t="s">
        <v>203</v>
      </c>
      <c r="F22" t="s">
        <v>194</v>
      </c>
      <c r="G22">
        <v>-22021</v>
      </c>
      <c r="H22">
        <v>39.99</v>
      </c>
      <c r="M22" t="s">
        <v>203</v>
      </c>
      <c r="N22" s="19" t="s">
        <v>204</v>
      </c>
      <c r="O22" s="19" t="s">
        <v>151</v>
      </c>
      <c r="P22">
        <v>2060</v>
      </c>
      <c r="Q22" t="s">
        <v>133</v>
      </c>
      <c r="R22" t="s">
        <v>574</v>
      </c>
    </row>
    <row r="23" spans="1:18" ht="85">
      <c r="A23" s="5">
        <v>45548</v>
      </c>
      <c r="B23" s="5">
        <v>45550</v>
      </c>
      <c r="C23" s="63" t="s">
        <v>28</v>
      </c>
      <c r="D23" s="5" t="s">
        <v>278</v>
      </c>
      <c r="E23" t="s">
        <v>255</v>
      </c>
      <c r="F23" t="s">
        <v>134</v>
      </c>
      <c r="G23">
        <v>-25008</v>
      </c>
      <c r="H23">
        <v>79.989999999999995</v>
      </c>
      <c r="M23" t="s">
        <v>255</v>
      </c>
      <c r="N23" s="19" t="s">
        <v>205</v>
      </c>
      <c r="P23">
        <v>24</v>
      </c>
      <c r="Q23" t="s">
        <v>206</v>
      </c>
      <c r="R23" t="s">
        <v>575</v>
      </c>
    </row>
    <row r="24" spans="1:18">
      <c r="A24" s="5">
        <v>45548</v>
      </c>
      <c r="B24" s="5">
        <v>45548</v>
      </c>
      <c r="C24" s="63" t="s">
        <v>28</v>
      </c>
      <c r="D24" s="5" t="s">
        <v>93</v>
      </c>
      <c r="E24" t="s">
        <v>483</v>
      </c>
      <c r="F24" t="s">
        <v>134</v>
      </c>
      <c r="G24">
        <v>-25008</v>
      </c>
      <c r="H24">
        <v>45.75</v>
      </c>
      <c r="M24" t="s">
        <v>483</v>
      </c>
      <c r="R24" t="s">
        <v>576</v>
      </c>
    </row>
    <row r="25" spans="1:18" ht="34">
      <c r="A25" s="5">
        <v>45551</v>
      </c>
      <c r="B25" s="5">
        <v>45551</v>
      </c>
      <c r="C25" s="63" t="s">
        <v>28</v>
      </c>
      <c r="D25" s="5" t="s">
        <v>278</v>
      </c>
      <c r="E25" t="s">
        <v>577</v>
      </c>
      <c r="F25" t="s">
        <v>134</v>
      </c>
      <c r="G25">
        <v>-25008</v>
      </c>
      <c r="H25">
        <v>33.79</v>
      </c>
      <c r="I25" t="s">
        <v>207</v>
      </c>
      <c r="J25">
        <v>0.98</v>
      </c>
      <c r="M25" t="s">
        <v>577</v>
      </c>
      <c r="N25" s="19" t="s">
        <v>208</v>
      </c>
      <c r="P25">
        <v>0</v>
      </c>
      <c r="Q25" t="s">
        <v>160</v>
      </c>
      <c r="R25" t="s">
        <v>578</v>
      </c>
    </row>
    <row r="26" spans="1:18" ht="51">
      <c r="A26" s="5">
        <v>45561</v>
      </c>
      <c r="B26" s="5">
        <v>45562</v>
      </c>
      <c r="C26" s="63" t="s">
        <v>28</v>
      </c>
      <c r="D26" s="63" t="s">
        <v>234</v>
      </c>
      <c r="E26" t="s">
        <v>484</v>
      </c>
      <c r="F26" t="s">
        <v>134</v>
      </c>
      <c r="G26">
        <v>-25008</v>
      </c>
      <c r="H26">
        <v>37.99</v>
      </c>
      <c r="I26" t="s">
        <v>212</v>
      </c>
      <c r="J26">
        <v>1.1100000000000001</v>
      </c>
      <c r="M26" t="s">
        <v>484</v>
      </c>
      <c r="N26" t="s">
        <v>213</v>
      </c>
      <c r="O26" s="19" t="s">
        <v>214</v>
      </c>
      <c r="P26">
        <v>8852</v>
      </c>
      <c r="Q26" t="s">
        <v>156</v>
      </c>
      <c r="R26" t="s">
        <v>579</v>
      </c>
    </row>
    <row r="27" spans="1:18">
      <c r="A27" s="5"/>
      <c r="B27" s="5"/>
      <c r="C27" s="63"/>
      <c r="D27" s="63"/>
      <c r="E27"/>
      <c r="F27"/>
      <c r="G27"/>
      <c r="O27" s="19"/>
    </row>
    <row r="28" spans="1:18">
      <c r="A28" s="34"/>
      <c r="B28" s="34"/>
      <c r="C28" s="34"/>
      <c r="D28" s="34"/>
      <c r="E28" s="45"/>
      <c r="F28" s="36"/>
      <c r="G28" s="37"/>
      <c r="H28" s="64"/>
      <c r="I28" s="35"/>
      <c r="J28" s="34"/>
      <c r="K28" s="34"/>
      <c r="L28" s="34"/>
      <c r="M28" s="34"/>
      <c r="N28" s="34"/>
      <c r="O28" s="34"/>
      <c r="P28" s="34"/>
      <c r="Q28" s="34"/>
      <c r="R28" s="34"/>
    </row>
    <row r="29" spans="1:18">
      <c r="A29" s="34"/>
      <c r="B29" s="34"/>
      <c r="C29" s="34"/>
      <c r="F29" s="34" t="s">
        <v>27</v>
      </c>
      <c r="G29" s="45">
        <f>SUM(E8:E28)</f>
        <v>0</v>
      </c>
      <c r="H29" s="8">
        <f>SUM(H22:H27)</f>
        <v>237.51</v>
      </c>
      <c r="J29" s="34"/>
      <c r="K29" s="34"/>
      <c r="L29" s="34"/>
      <c r="M29" s="34"/>
      <c r="N29" s="34"/>
      <c r="O29" s="34"/>
      <c r="P29" s="34"/>
      <c r="Q29" s="34"/>
      <c r="R29" s="34"/>
    </row>
    <row r="30" spans="1:18">
      <c r="A30" s="34"/>
      <c r="B30" s="34"/>
      <c r="C30" s="34"/>
      <c r="F30" s="34"/>
      <c r="G30" s="45"/>
      <c r="J30" s="34"/>
      <c r="K30" s="34"/>
      <c r="L30" s="34"/>
      <c r="M30" s="34"/>
      <c r="N30" s="34"/>
      <c r="O30" s="34"/>
      <c r="P30" s="34"/>
      <c r="Q30" s="34"/>
      <c r="R30" s="34"/>
    </row>
    <row r="31" spans="1:18">
      <c r="A31" s="34"/>
      <c r="B31" s="34"/>
      <c r="C31" s="34"/>
      <c r="D31" s="34"/>
      <c r="E31" s="45"/>
      <c r="F31" s="36"/>
      <c r="G31" s="37"/>
      <c r="H31" s="64"/>
      <c r="I31" s="35"/>
      <c r="J31" s="34"/>
      <c r="K31" s="34"/>
      <c r="L31" s="34"/>
      <c r="M31" s="34"/>
      <c r="N31" s="34"/>
      <c r="O31" s="34"/>
      <c r="P31" s="34"/>
      <c r="Q31" s="34"/>
      <c r="R31" s="34"/>
    </row>
    <row r="32" spans="1:18" ht="34">
      <c r="A32" s="5">
        <v>45541</v>
      </c>
      <c r="B32" s="5">
        <v>45542</v>
      </c>
      <c r="C32" s="63" t="s">
        <v>29</v>
      </c>
      <c r="D32" s="5" t="s">
        <v>256</v>
      </c>
      <c r="E32" t="s">
        <v>215</v>
      </c>
      <c r="F32" t="s">
        <v>134</v>
      </c>
      <c r="G32">
        <v>-25008</v>
      </c>
      <c r="H32">
        <v>6.5</v>
      </c>
      <c r="M32" t="s">
        <v>215</v>
      </c>
      <c r="N32" t="s">
        <v>216</v>
      </c>
      <c r="O32" s="19" t="s">
        <v>182</v>
      </c>
      <c r="P32">
        <v>2153</v>
      </c>
      <c r="Q32" t="s">
        <v>133</v>
      </c>
      <c r="R32" t="s">
        <v>580</v>
      </c>
    </row>
    <row r="33" spans="1:18" ht="34">
      <c r="A33" s="5">
        <v>45548</v>
      </c>
      <c r="B33" s="5">
        <v>45549</v>
      </c>
      <c r="C33" s="63" t="s">
        <v>29</v>
      </c>
      <c r="D33" s="5" t="s">
        <v>256</v>
      </c>
      <c r="E33" t="s">
        <v>215</v>
      </c>
      <c r="F33" t="s">
        <v>134</v>
      </c>
      <c r="G33">
        <v>-25008</v>
      </c>
      <c r="H33">
        <v>6.5</v>
      </c>
      <c r="M33" t="s">
        <v>215</v>
      </c>
      <c r="N33" t="s">
        <v>216</v>
      </c>
      <c r="O33" s="19" t="s">
        <v>182</v>
      </c>
      <c r="P33">
        <v>2153</v>
      </c>
      <c r="Q33" t="s">
        <v>133</v>
      </c>
      <c r="R33" t="s">
        <v>581</v>
      </c>
    </row>
    <row r="34" spans="1:18" ht="34">
      <c r="A34" s="5">
        <v>45555</v>
      </c>
      <c r="B34" s="5">
        <v>45556</v>
      </c>
      <c r="C34" s="63" t="s">
        <v>29</v>
      </c>
      <c r="D34" s="5" t="s">
        <v>256</v>
      </c>
      <c r="E34" t="s">
        <v>215</v>
      </c>
      <c r="F34" t="s">
        <v>134</v>
      </c>
      <c r="G34">
        <v>-25008</v>
      </c>
      <c r="H34">
        <v>6.5</v>
      </c>
      <c r="M34" t="s">
        <v>215</v>
      </c>
      <c r="N34" t="s">
        <v>216</v>
      </c>
      <c r="O34" s="19" t="s">
        <v>182</v>
      </c>
      <c r="P34">
        <v>2153</v>
      </c>
      <c r="Q34" t="s">
        <v>133</v>
      </c>
      <c r="R34" t="s">
        <v>582</v>
      </c>
    </row>
    <row r="35" spans="1:18" ht="34">
      <c r="A35" s="5">
        <v>45562</v>
      </c>
      <c r="B35" s="5">
        <v>45563</v>
      </c>
      <c r="C35" s="63" t="s">
        <v>29</v>
      </c>
      <c r="D35" s="5" t="s">
        <v>256</v>
      </c>
      <c r="E35" t="s">
        <v>215</v>
      </c>
      <c r="F35" t="s">
        <v>134</v>
      </c>
      <c r="G35">
        <v>-25008</v>
      </c>
      <c r="H35">
        <v>6.5</v>
      </c>
      <c r="M35" t="s">
        <v>215</v>
      </c>
      <c r="N35" t="s">
        <v>216</v>
      </c>
      <c r="O35" s="19" t="s">
        <v>182</v>
      </c>
      <c r="P35">
        <v>2153</v>
      </c>
      <c r="Q35" t="s">
        <v>133</v>
      </c>
      <c r="R35" t="s">
        <v>583</v>
      </c>
    </row>
    <row r="36" spans="1:18">
      <c r="A36" s="61"/>
      <c r="E36"/>
      <c r="F36"/>
      <c r="G36"/>
      <c r="J36" s="60"/>
    </row>
    <row r="37" spans="1:18">
      <c r="A37" s="61"/>
      <c r="E37"/>
      <c r="F37" t="s">
        <v>27</v>
      </c>
      <c r="G37"/>
      <c r="H37" s="8">
        <f>SUM(H32:H36)</f>
        <v>26</v>
      </c>
      <c r="J37" s="60"/>
    </row>
    <row r="38" spans="1:18">
      <c r="A38" s="61"/>
      <c r="E38"/>
      <c r="F38"/>
      <c r="G38"/>
      <c r="J38" s="60"/>
    </row>
    <row r="39" spans="1:18" ht="51">
      <c r="A39" s="5">
        <v>45536</v>
      </c>
      <c r="B39" s="5">
        <v>45537</v>
      </c>
      <c r="C39" s="63" t="s">
        <v>30</v>
      </c>
      <c r="D39" s="5"/>
      <c r="E39" t="s">
        <v>485</v>
      </c>
      <c r="F39" t="s">
        <v>134</v>
      </c>
      <c r="G39">
        <v>-25008</v>
      </c>
      <c r="H39">
        <v>42.5</v>
      </c>
      <c r="M39" t="s">
        <v>485</v>
      </c>
      <c r="N39" s="19" t="s">
        <v>279</v>
      </c>
      <c r="P39" t="s">
        <v>280</v>
      </c>
      <c r="Q39" t="s">
        <v>206</v>
      </c>
      <c r="R39" t="s">
        <v>584</v>
      </c>
    </row>
    <row r="40" spans="1:18" ht="34">
      <c r="A40" s="5">
        <v>45540</v>
      </c>
      <c r="B40" s="5">
        <v>45542</v>
      </c>
      <c r="C40" s="63" t="s">
        <v>30</v>
      </c>
      <c r="D40" s="5"/>
      <c r="E40" t="s">
        <v>585</v>
      </c>
      <c r="F40" t="s">
        <v>134</v>
      </c>
      <c r="G40">
        <v>-25008</v>
      </c>
      <c r="H40">
        <v>6</v>
      </c>
      <c r="M40" t="s">
        <v>585</v>
      </c>
      <c r="N40" t="s">
        <v>586</v>
      </c>
      <c r="O40" s="19" t="s">
        <v>132</v>
      </c>
      <c r="P40">
        <v>2000</v>
      </c>
      <c r="Q40" t="s">
        <v>133</v>
      </c>
      <c r="R40" t="s">
        <v>587</v>
      </c>
    </row>
    <row r="41" spans="1:18" ht="34">
      <c r="A41" s="5">
        <v>45544</v>
      </c>
      <c r="B41" s="5">
        <v>45545</v>
      </c>
      <c r="C41" s="63" t="s">
        <v>30</v>
      </c>
      <c r="D41" s="5" t="s">
        <v>329</v>
      </c>
      <c r="E41" t="s">
        <v>217</v>
      </c>
      <c r="F41" t="s">
        <v>134</v>
      </c>
      <c r="G41">
        <v>-25008</v>
      </c>
      <c r="H41">
        <v>152.19</v>
      </c>
      <c r="M41" t="s">
        <v>217</v>
      </c>
      <c r="N41" t="s">
        <v>218</v>
      </c>
      <c r="O41" s="19" t="s">
        <v>219</v>
      </c>
      <c r="P41">
        <v>3121</v>
      </c>
      <c r="Q41" t="s">
        <v>133</v>
      </c>
      <c r="R41" t="s">
        <v>588</v>
      </c>
    </row>
    <row r="42" spans="1:18" ht="51">
      <c r="A42" s="5">
        <v>45546</v>
      </c>
      <c r="B42" s="5">
        <v>45547</v>
      </c>
      <c r="C42" s="63" t="s">
        <v>30</v>
      </c>
      <c r="D42" s="5"/>
      <c r="E42" t="s">
        <v>485</v>
      </c>
      <c r="F42" t="s">
        <v>134</v>
      </c>
      <c r="G42">
        <v>-25008</v>
      </c>
      <c r="H42">
        <v>17.600000000000001</v>
      </c>
      <c r="M42" t="s">
        <v>485</v>
      </c>
      <c r="N42" s="19" t="s">
        <v>279</v>
      </c>
      <c r="P42" t="s">
        <v>280</v>
      </c>
      <c r="Q42" t="s">
        <v>206</v>
      </c>
      <c r="R42" t="s">
        <v>589</v>
      </c>
    </row>
    <row r="43" spans="1:18" ht="34">
      <c r="A43" s="5">
        <v>45547</v>
      </c>
      <c r="B43" s="5">
        <v>45547</v>
      </c>
      <c r="C43" s="63" t="s">
        <v>30</v>
      </c>
      <c r="D43" s="5"/>
      <c r="E43" t="s">
        <v>590</v>
      </c>
      <c r="F43" t="s">
        <v>134</v>
      </c>
      <c r="G43">
        <v>-25008</v>
      </c>
      <c r="H43">
        <v>104.78</v>
      </c>
      <c r="M43" t="s">
        <v>590</v>
      </c>
      <c r="N43" s="19" t="s">
        <v>331</v>
      </c>
      <c r="O43" s="19" t="s">
        <v>159</v>
      </c>
      <c r="P43">
        <v>2150</v>
      </c>
      <c r="Q43" t="s">
        <v>133</v>
      </c>
      <c r="R43" t="s">
        <v>591</v>
      </c>
    </row>
    <row r="44" spans="1:18" ht="34">
      <c r="A44" s="5">
        <v>45549</v>
      </c>
      <c r="B44" s="5">
        <v>45551</v>
      </c>
      <c r="C44" s="63" t="s">
        <v>30</v>
      </c>
      <c r="D44" s="5"/>
      <c r="E44" t="s">
        <v>592</v>
      </c>
      <c r="F44" t="s">
        <v>134</v>
      </c>
      <c r="G44">
        <v>-25008</v>
      </c>
      <c r="H44">
        <v>45.52</v>
      </c>
      <c r="M44" t="s">
        <v>592</v>
      </c>
      <c r="N44" t="s">
        <v>593</v>
      </c>
      <c r="O44" s="19" t="s">
        <v>594</v>
      </c>
      <c r="P44">
        <v>2065</v>
      </c>
      <c r="Q44" t="s">
        <v>133</v>
      </c>
      <c r="R44" t="s">
        <v>595</v>
      </c>
    </row>
    <row r="45" spans="1:18" ht="51">
      <c r="A45" s="5">
        <v>45556</v>
      </c>
      <c r="B45" s="5">
        <v>45557</v>
      </c>
      <c r="C45" s="63" t="s">
        <v>30</v>
      </c>
      <c r="D45" s="5"/>
      <c r="E45" t="s">
        <v>596</v>
      </c>
      <c r="F45" t="s">
        <v>134</v>
      </c>
      <c r="G45">
        <v>-25008</v>
      </c>
      <c r="H45">
        <v>23.97</v>
      </c>
      <c r="M45" t="s">
        <v>596</v>
      </c>
      <c r="N45" s="19" t="s">
        <v>597</v>
      </c>
      <c r="O45" s="19" t="s">
        <v>598</v>
      </c>
      <c r="P45" t="s">
        <v>599</v>
      </c>
      <c r="Q45" t="s">
        <v>187</v>
      </c>
      <c r="R45" t="s">
        <v>600</v>
      </c>
    </row>
    <row r="46" spans="1:18" ht="34">
      <c r="A46" s="5">
        <v>45557</v>
      </c>
      <c r="B46" s="5">
        <v>45558</v>
      </c>
      <c r="C46" s="63" t="s">
        <v>30</v>
      </c>
      <c r="D46" s="5"/>
      <c r="E46" t="s">
        <v>330</v>
      </c>
      <c r="F46" t="s">
        <v>134</v>
      </c>
      <c r="G46">
        <v>-25008</v>
      </c>
      <c r="H46">
        <v>3.68</v>
      </c>
      <c r="M46" t="s">
        <v>330</v>
      </c>
      <c r="N46" s="19" t="s">
        <v>331</v>
      </c>
      <c r="O46" s="19" t="s">
        <v>159</v>
      </c>
      <c r="P46">
        <v>2150</v>
      </c>
      <c r="Q46" t="s">
        <v>133</v>
      </c>
      <c r="R46" t="s">
        <v>601</v>
      </c>
    </row>
    <row r="47" spans="1:18" ht="34">
      <c r="A47" s="5">
        <v>45557</v>
      </c>
      <c r="B47" s="5">
        <v>45558</v>
      </c>
      <c r="C47" s="63" t="s">
        <v>30</v>
      </c>
      <c r="D47" s="5"/>
      <c r="E47" t="s">
        <v>330</v>
      </c>
      <c r="F47" t="s">
        <v>134</v>
      </c>
      <c r="G47">
        <v>-25008</v>
      </c>
      <c r="H47">
        <v>120.2</v>
      </c>
      <c r="M47" t="s">
        <v>330</v>
      </c>
      <c r="N47" s="19" t="s">
        <v>331</v>
      </c>
      <c r="O47" s="19" t="s">
        <v>159</v>
      </c>
      <c r="P47">
        <v>2150</v>
      </c>
      <c r="Q47" t="s">
        <v>133</v>
      </c>
      <c r="R47" t="s">
        <v>602</v>
      </c>
    </row>
    <row r="48" spans="1:18">
      <c r="E48"/>
      <c r="F48"/>
      <c r="G48"/>
      <c r="H48"/>
    </row>
    <row r="49" spans="1:8">
      <c r="A49" s="5"/>
      <c r="B49" s="5"/>
      <c r="C49" s="63"/>
      <c r="D49" s="5"/>
      <c r="E49"/>
      <c r="F49"/>
      <c r="G49"/>
      <c r="H49"/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H91"/>
  <sheetViews>
    <sheetView workbookViewId="0">
      <selection activeCell="A17" sqref="A17:XFD17"/>
    </sheetView>
  </sheetViews>
  <sheetFormatPr baseColWidth="10" defaultColWidth="11" defaultRowHeight="16"/>
  <cols>
    <col min="1" max="1" width="11" style="27"/>
    <col min="2" max="2" width="10.83203125" style="8"/>
    <col min="3" max="3" width="14.5" style="14" customWidth="1"/>
    <col min="4" max="4" width="31" customWidth="1"/>
    <col min="5" max="5" width="61.33203125" bestFit="1" customWidth="1"/>
    <col min="6" max="6" width="10" bestFit="1" customWidth="1"/>
    <col min="7" max="7" width="14.5" bestFit="1" customWidth="1"/>
  </cols>
  <sheetData>
    <row r="1" spans="1:8" ht="51">
      <c r="A1" s="26" t="s">
        <v>20</v>
      </c>
      <c r="B1" s="7" t="s">
        <v>21</v>
      </c>
      <c r="C1" s="1" t="s">
        <v>31</v>
      </c>
      <c r="D1" s="2" t="s">
        <v>22</v>
      </c>
      <c r="E1" s="3" t="s">
        <v>23</v>
      </c>
      <c r="F1" s="4" t="s">
        <v>24</v>
      </c>
      <c r="G1" s="3" t="s">
        <v>25</v>
      </c>
      <c r="H1" s="3" t="s">
        <v>25</v>
      </c>
    </row>
    <row r="2" spans="1:8">
      <c r="A2" s="5">
        <v>45543</v>
      </c>
      <c r="B2">
        <v>83.87</v>
      </c>
      <c r="C2" s="6" t="s">
        <v>28</v>
      </c>
      <c r="D2" t="s">
        <v>93</v>
      </c>
      <c r="E2" t="s">
        <v>32</v>
      </c>
    </row>
    <row r="3" spans="1:8">
      <c r="A3" s="5"/>
      <c r="B3" s="17"/>
      <c r="C3"/>
    </row>
    <row r="4" spans="1:8">
      <c r="A4" s="5"/>
      <c r="B4" s="17"/>
    </row>
    <row r="5" spans="1:8">
      <c r="A5" s="5"/>
      <c r="B5" s="17">
        <f>SUM(B2:B4)</f>
        <v>83.87</v>
      </c>
      <c r="C5" s="14" t="s">
        <v>27</v>
      </c>
    </row>
    <row r="6" spans="1:8">
      <c r="A6" s="5"/>
      <c r="B6" s="17">
        <f>B5/11</f>
        <v>7.624545454545455</v>
      </c>
      <c r="C6" s="14" t="s">
        <v>2</v>
      </c>
    </row>
    <row r="7" spans="1:8">
      <c r="A7" s="5"/>
      <c r="B7" s="17"/>
    </row>
    <row r="8" spans="1:8">
      <c r="A8" s="5">
        <v>45543</v>
      </c>
      <c r="B8">
        <v>83.87</v>
      </c>
      <c r="C8" s="6" t="s">
        <v>28</v>
      </c>
      <c r="D8" t="s">
        <v>93</v>
      </c>
      <c r="E8" t="s">
        <v>32</v>
      </c>
    </row>
    <row r="9" spans="1:8">
      <c r="A9" s="5"/>
      <c r="B9" s="17"/>
    </row>
    <row r="10" spans="1:8">
      <c r="A10" s="5"/>
      <c r="B10" s="17">
        <f>SUM(B8:B9)</f>
        <v>83.87</v>
      </c>
      <c r="C10" s="14" t="s">
        <v>27</v>
      </c>
    </row>
    <row r="11" spans="1:8">
      <c r="A11" s="5"/>
      <c r="B11" s="17"/>
    </row>
    <row r="12" spans="1:8">
      <c r="A12" s="5">
        <v>45537</v>
      </c>
      <c r="B12">
        <v>187.41</v>
      </c>
      <c r="C12" s="6" t="s">
        <v>29</v>
      </c>
      <c r="D12" t="s">
        <v>220</v>
      </c>
      <c r="E12" t="s">
        <v>488</v>
      </c>
    </row>
    <row r="13" spans="1:8">
      <c r="A13" s="5"/>
      <c r="B13"/>
      <c r="C13" s="6"/>
    </row>
    <row r="14" spans="1:8">
      <c r="A14" s="5"/>
      <c r="B14" s="17">
        <f>SUM(B12)</f>
        <v>187.41</v>
      </c>
      <c r="C14" s="14" t="s">
        <v>27</v>
      </c>
    </row>
    <row r="15" spans="1:8">
      <c r="A15" s="5"/>
      <c r="B15" s="17"/>
    </row>
    <row r="16" spans="1:8">
      <c r="A16" s="5"/>
      <c r="B16"/>
      <c r="C16" s="6"/>
    </row>
    <row r="17" spans="1:5">
      <c r="A17" s="5"/>
      <c r="B17"/>
      <c r="C17" s="6"/>
    </row>
    <row r="18" spans="1:5">
      <c r="A18" s="5">
        <v>45537</v>
      </c>
      <c r="B18">
        <v>22.82</v>
      </c>
      <c r="C18" s="6" t="s">
        <v>30</v>
      </c>
      <c r="E18" t="s">
        <v>489</v>
      </c>
    </row>
    <row r="19" spans="1:5">
      <c r="A19" s="5">
        <v>45537</v>
      </c>
      <c r="B19">
        <v>30.45</v>
      </c>
      <c r="C19" s="6" t="s">
        <v>30</v>
      </c>
      <c r="E19" t="s">
        <v>490</v>
      </c>
    </row>
    <row r="20" spans="1:5">
      <c r="A20" s="5">
        <v>45539</v>
      </c>
      <c r="B20">
        <v>86.88</v>
      </c>
      <c r="C20" s="6" t="s">
        <v>30</v>
      </c>
      <c r="E20" t="s">
        <v>491</v>
      </c>
    </row>
    <row r="21" spans="1:5">
      <c r="A21" s="5">
        <v>45544</v>
      </c>
      <c r="B21">
        <v>78.010000000000005</v>
      </c>
      <c r="C21" s="6" t="s">
        <v>30</v>
      </c>
      <c r="E21" t="s">
        <v>492</v>
      </c>
    </row>
    <row r="22" spans="1:5">
      <c r="A22" s="5">
        <v>45544</v>
      </c>
      <c r="B22">
        <v>35</v>
      </c>
      <c r="C22" s="6" t="s">
        <v>30</v>
      </c>
      <c r="E22" t="s">
        <v>266</v>
      </c>
    </row>
    <row r="23" spans="1:5">
      <c r="A23" s="5">
        <v>45546</v>
      </c>
      <c r="B23">
        <v>25.51</v>
      </c>
      <c r="C23" s="6" t="s">
        <v>30</v>
      </c>
      <c r="E23" t="s">
        <v>493</v>
      </c>
    </row>
    <row r="24" spans="1:5">
      <c r="A24" s="5">
        <v>45546</v>
      </c>
      <c r="B24">
        <v>7.75</v>
      </c>
      <c r="C24" s="6" t="s">
        <v>30</v>
      </c>
      <c r="E24" t="s">
        <v>494</v>
      </c>
    </row>
    <row r="25" spans="1:5">
      <c r="A25" s="5">
        <v>45546</v>
      </c>
      <c r="B25">
        <v>7.75</v>
      </c>
      <c r="C25" s="6" t="s">
        <v>30</v>
      </c>
      <c r="E25" t="s">
        <v>494</v>
      </c>
    </row>
    <row r="26" spans="1:5">
      <c r="A26" s="5">
        <v>45547</v>
      </c>
      <c r="B26">
        <v>54.23</v>
      </c>
      <c r="C26" s="6" t="s">
        <v>30</v>
      </c>
      <c r="E26" t="s">
        <v>495</v>
      </c>
    </row>
    <row r="27" spans="1:5">
      <c r="A27" s="5">
        <v>45547</v>
      </c>
      <c r="B27">
        <v>32.200000000000003</v>
      </c>
      <c r="C27" s="6" t="s">
        <v>30</v>
      </c>
      <c r="E27" t="s">
        <v>496</v>
      </c>
    </row>
    <row r="28" spans="1:5">
      <c r="A28" s="5">
        <v>45548</v>
      </c>
      <c r="B28">
        <v>20.69</v>
      </c>
      <c r="C28" s="6" t="s">
        <v>30</v>
      </c>
      <c r="E28" t="s">
        <v>344</v>
      </c>
    </row>
    <row r="29" spans="1:5">
      <c r="A29" s="5">
        <v>45551</v>
      </c>
      <c r="B29">
        <v>22.69</v>
      </c>
      <c r="C29" s="6" t="s">
        <v>30</v>
      </c>
      <c r="E29" t="s">
        <v>497</v>
      </c>
    </row>
    <row r="30" spans="1:5">
      <c r="A30" s="5">
        <v>45558</v>
      </c>
      <c r="B30">
        <v>1.37</v>
      </c>
      <c r="C30" s="6" t="s">
        <v>30</v>
      </c>
      <c r="E30" t="s">
        <v>497</v>
      </c>
    </row>
    <row r="31" spans="1:5">
      <c r="A31" s="5">
        <v>45558</v>
      </c>
      <c r="B31">
        <v>20.14</v>
      </c>
      <c r="C31" s="6" t="s">
        <v>30</v>
      </c>
      <c r="E31" t="s">
        <v>497</v>
      </c>
    </row>
    <row r="32" spans="1:5">
      <c r="A32" s="5">
        <v>45558</v>
      </c>
      <c r="B32">
        <v>25.21</v>
      </c>
      <c r="C32" s="6" t="s">
        <v>30</v>
      </c>
      <c r="E32" t="s">
        <v>498</v>
      </c>
    </row>
    <row r="33" spans="1:5">
      <c r="A33" s="5">
        <v>45558</v>
      </c>
      <c r="B33">
        <v>13.44</v>
      </c>
      <c r="C33" s="6" t="s">
        <v>30</v>
      </c>
      <c r="E33" t="s">
        <v>499</v>
      </c>
    </row>
    <row r="34" spans="1:5">
      <c r="A34" s="5">
        <v>45565</v>
      </c>
      <c r="B34">
        <v>22.69</v>
      </c>
      <c r="C34" s="6" t="s">
        <v>30</v>
      </c>
      <c r="E34" t="s">
        <v>500</v>
      </c>
    </row>
    <row r="35" spans="1:5">
      <c r="A35" s="5"/>
      <c r="B35"/>
      <c r="C35" s="6"/>
    </row>
    <row r="36" spans="1:5">
      <c r="A36" s="5"/>
      <c r="B36"/>
      <c r="C36" s="6"/>
    </row>
    <row r="37" spans="1:5">
      <c r="A37" s="5"/>
      <c r="B37"/>
      <c r="C37" s="6"/>
    </row>
    <row r="38" spans="1:5">
      <c r="A38" s="5"/>
      <c r="B38"/>
      <c r="C38" s="6"/>
    </row>
    <row r="39" spans="1:5">
      <c r="A39" s="5"/>
      <c r="B39"/>
      <c r="C39" s="6"/>
    </row>
    <row r="40" spans="1:5">
      <c r="A40" s="5"/>
      <c r="B40"/>
      <c r="C40" s="6"/>
    </row>
    <row r="41" spans="1:5">
      <c r="A41" s="5"/>
      <c r="B41"/>
      <c r="C41" s="6"/>
    </row>
    <row r="42" spans="1:5">
      <c r="A42" s="5"/>
      <c r="B42"/>
      <c r="C42" s="6"/>
    </row>
    <row r="43" spans="1:5">
      <c r="A43" s="5"/>
      <c r="B43"/>
      <c r="C43" s="6"/>
    </row>
    <row r="44" spans="1:5">
      <c r="A44" s="5"/>
      <c r="B44"/>
      <c r="C44" s="6"/>
    </row>
    <row r="45" spans="1:5">
      <c r="A45" s="5"/>
      <c r="B45"/>
      <c r="C45" s="6"/>
    </row>
    <row r="46" spans="1:5">
      <c r="A46" s="5"/>
      <c r="B46"/>
      <c r="C46" s="6"/>
    </row>
    <row r="47" spans="1:5">
      <c r="A47" s="5"/>
      <c r="B47"/>
      <c r="C47" s="6"/>
    </row>
    <row r="48" spans="1:5">
      <c r="A48" s="5"/>
      <c r="B48"/>
      <c r="C48" s="6"/>
    </row>
    <row r="49" spans="1:3">
      <c r="A49" s="5"/>
      <c r="B49"/>
      <c r="C49" s="6"/>
    </row>
    <row r="50" spans="1:3">
      <c r="A50" s="5"/>
      <c r="B50"/>
      <c r="C50" s="6"/>
    </row>
    <row r="51" spans="1:3">
      <c r="A51" s="5"/>
      <c r="B51"/>
      <c r="C51" s="6"/>
    </row>
    <row r="52" spans="1:3">
      <c r="A52" s="5"/>
      <c r="B52"/>
      <c r="C52" s="6"/>
    </row>
    <row r="53" spans="1:3">
      <c r="A53" s="5"/>
      <c r="B53"/>
      <c r="C53" s="6"/>
    </row>
    <row r="54" spans="1:3">
      <c r="A54" s="5"/>
      <c r="B54"/>
      <c r="C54" s="6"/>
    </row>
    <row r="55" spans="1:3">
      <c r="A55" s="5"/>
      <c r="B55"/>
      <c r="C55" s="6"/>
    </row>
    <row r="56" spans="1:3">
      <c r="A56" s="5"/>
      <c r="B56"/>
      <c r="C56" s="6"/>
    </row>
    <row r="57" spans="1:3">
      <c r="A57" s="5"/>
      <c r="B57"/>
      <c r="C57" s="6"/>
    </row>
    <row r="58" spans="1:3">
      <c r="A58" s="5"/>
      <c r="B58"/>
      <c r="C58" s="6"/>
    </row>
    <row r="59" spans="1:3">
      <c r="A59" s="5"/>
      <c r="B59"/>
      <c r="C59" s="6"/>
    </row>
    <row r="60" spans="1:3">
      <c r="A60" s="5"/>
      <c r="B60"/>
      <c r="C60" s="6"/>
    </row>
    <row r="61" spans="1:3">
      <c r="A61" s="5"/>
      <c r="B61"/>
      <c r="C61" s="6"/>
    </row>
    <row r="62" spans="1:3">
      <c r="A62" s="5"/>
      <c r="B62"/>
      <c r="C62" s="6"/>
    </row>
    <row r="63" spans="1:3">
      <c r="A63" s="5"/>
      <c r="B63"/>
      <c r="C63" s="6"/>
    </row>
    <row r="64" spans="1:3">
      <c r="A64" s="5"/>
      <c r="B64"/>
      <c r="C64" s="6"/>
    </row>
    <row r="65" spans="1:3">
      <c r="A65" s="5"/>
      <c r="B65"/>
      <c r="C65" s="6"/>
    </row>
    <row r="66" spans="1:3">
      <c r="A66" s="5"/>
      <c r="B66"/>
      <c r="C66" s="6"/>
    </row>
    <row r="67" spans="1:3">
      <c r="A67" s="5"/>
      <c r="B67"/>
      <c r="C67" s="6"/>
    </row>
    <row r="68" spans="1:3">
      <c r="A68" s="5"/>
      <c r="B68"/>
      <c r="C68" s="6"/>
    </row>
    <row r="69" spans="1:3">
      <c r="A69" s="5"/>
      <c r="B69"/>
      <c r="C69" s="6"/>
    </row>
    <row r="70" spans="1:3">
      <c r="A70" s="5"/>
      <c r="B70"/>
      <c r="C70" s="6"/>
    </row>
    <row r="71" spans="1:3">
      <c r="A71" s="5"/>
      <c r="B71"/>
      <c r="C71" s="6"/>
    </row>
    <row r="72" spans="1:3">
      <c r="A72" s="5"/>
      <c r="B72"/>
      <c r="C72" s="6"/>
    </row>
    <row r="73" spans="1:3">
      <c r="A73" s="5"/>
      <c r="B73"/>
      <c r="C73" s="6"/>
    </row>
    <row r="74" spans="1:3">
      <c r="A74" s="5"/>
      <c r="B74"/>
      <c r="C74" s="6"/>
    </row>
    <row r="75" spans="1:3">
      <c r="A75" s="5"/>
      <c r="B75"/>
      <c r="C75" s="6"/>
    </row>
    <row r="76" spans="1:3">
      <c r="A76" s="5"/>
      <c r="B76"/>
      <c r="C76" s="6"/>
    </row>
    <row r="77" spans="1:3">
      <c r="A77" s="5"/>
      <c r="B77"/>
      <c r="C77" s="6"/>
    </row>
    <row r="78" spans="1:3">
      <c r="A78" s="5"/>
      <c r="B78"/>
      <c r="C78" s="6"/>
    </row>
    <row r="79" spans="1:3">
      <c r="A79" s="5"/>
      <c r="B79"/>
      <c r="C79" s="6"/>
    </row>
    <row r="80" spans="1:3">
      <c r="A80" s="5"/>
      <c r="B80"/>
      <c r="C80" s="6"/>
    </row>
    <row r="81" spans="1:3">
      <c r="A81" s="5"/>
      <c r="B81"/>
      <c r="C81" s="6"/>
    </row>
    <row r="82" spans="1:3">
      <c r="A82" s="5"/>
      <c r="B82"/>
      <c r="C82" s="6"/>
    </row>
    <row r="83" spans="1:3">
      <c r="A83" s="5"/>
      <c r="B83"/>
      <c r="C83" s="6"/>
    </row>
    <row r="84" spans="1:3">
      <c r="A84" s="5"/>
      <c r="B84"/>
      <c r="C84" s="6"/>
    </row>
    <row r="85" spans="1:3">
      <c r="A85" s="5"/>
      <c r="B85"/>
      <c r="C85" s="6"/>
    </row>
    <row r="86" spans="1:3">
      <c r="A86" s="5"/>
      <c r="B86"/>
      <c r="C86" s="6"/>
    </row>
    <row r="87" spans="1:3">
      <c r="A87" s="5"/>
      <c r="B87"/>
      <c r="C87" s="6"/>
    </row>
    <row r="88" spans="1:3">
      <c r="A88" s="5"/>
      <c r="B88"/>
      <c r="C88" s="6"/>
    </row>
    <row r="89" spans="1:3">
      <c r="A89" s="5"/>
      <c r="B89"/>
      <c r="C89" s="6"/>
    </row>
    <row r="90" spans="1:3">
      <c r="A90" s="5"/>
      <c r="B90"/>
      <c r="C90" s="6"/>
    </row>
    <row r="91" spans="1:3">
      <c r="A91" s="5"/>
      <c r="B91"/>
      <c r="C91" s="6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H57"/>
  <sheetViews>
    <sheetView workbookViewId="0">
      <selection activeCell="A21" sqref="A21:XFD22"/>
    </sheetView>
  </sheetViews>
  <sheetFormatPr baseColWidth="10" defaultColWidth="11" defaultRowHeight="16"/>
  <cols>
    <col min="2" max="2" width="10.83203125" style="17"/>
    <col min="3" max="3" width="10.83203125" style="6"/>
    <col min="4" max="4" width="16.33203125" style="14" customWidth="1"/>
    <col min="5" max="5" width="36.33203125" bestFit="1" customWidth="1"/>
    <col min="6" max="6" width="19.83203125" bestFit="1" customWidth="1"/>
    <col min="7" max="7" width="35.1640625" bestFit="1" customWidth="1"/>
  </cols>
  <sheetData>
    <row r="1" spans="1:8">
      <c r="A1" t="s">
        <v>20</v>
      </c>
      <c r="B1" t="s">
        <v>21</v>
      </c>
      <c r="C1" s="6" t="s">
        <v>314</v>
      </c>
      <c r="D1" t="s">
        <v>315</v>
      </c>
      <c r="E1" t="s">
        <v>316</v>
      </c>
      <c r="F1" t="s">
        <v>190</v>
      </c>
      <c r="G1" t="s">
        <v>22</v>
      </c>
      <c r="H1" t="s">
        <v>317</v>
      </c>
    </row>
    <row r="2" spans="1:8">
      <c r="A2" s="15">
        <v>45555</v>
      </c>
      <c r="B2">
        <v>96.43</v>
      </c>
      <c r="C2" s="6" t="s">
        <v>26</v>
      </c>
      <c r="D2" t="s">
        <v>603</v>
      </c>
      <c r="E2" t="s">
        <v>114</v>
      </c>
      <c r="F2" t="s">
        <v>604</v>
      </c>
      <c r="G2" t="s">
        <v>233</v>
      </c>
    </row>
    <row r="3" spans="1:8">
      <c r="A3" s="15"/>
    </row>
    <row r="4" spans="1:8">
      <c r="A4" s="15"/>
      <c r="B4" s="17">
        <f>SUM(B2:B3)</f>
        <v>96.43</v>
      </c>
      <c r="C4" s="6" t="s">
        <v>27</v>
      </c>
    </row>
    <row r="5" spans="1:8">
      <c r="A5" s="15"/>
      <c r="B5" s="17">
        <f>B4/11</f>
        <v>8.7663636363636375</v>
      </c>
      <c r="C5" s="6" t="s">
        <v>2</v>
      </c>
    </row>
    <row r="6" spans="1:8">
      <c r="A6" s="15"/>
    </row>
    <row r="7" spans="1:8">
      <c r="A7" s="15">
        <v>45537</v>
      </c>
      <c r="B7">
        <v>15</v>
      </c>
      <c r="C7" s="6" t="s">
        <v>28</v>
      </c>
      <c r="D7" t="s">
        <v>93</v>
      </c>
      <c r="E7" t="s">
        <v>605</v>
      </c>
      <c r="F7" t="s">
        <v>606</v>
      </c>
      <c r="G7" t="s">
        <v>607</v>
      </c>
    </row>
    <row r="8" spans="1:8">
      <c r="A8" s="15">
        <v>45537</v>
      </c>
      <c r="B8">
        <v>15</v>
      </c>
      <c r="C8" s="6" t="s">
        <v>28</v>
      </c>
      <c r="D8" t="s">
        <v>93</v>
      </c>
      <c r="E8" t="s">
        <v>608</v>
      </c>
      <c r="F8" t="s">
        <v>609</v>
      </c>
      <c r="G8" t="s">
        <v>313</v>
      </c>
    </row>
    <row r="9" spans="1:8">
      <c r="A9" s="15"/>
      <c r="B9"/>
      <c r="D9"/>
    </row>
    <row r="10" spans="1:8">
      <c r="A10" s="15"/>
    </row>
    <row r="11" spans="1:8">
      <c r="A11" s="15"/>
      <c r="B11" s="17">
        <f>SUM(B7:B10)</f>
        <v>30</v>
      </c>
    </row>
    <row r="12" spans="1:8">
      <c r="A12" s="15"/>
    </row>
    <row r="13" spans="1:8">
      <c r="A13" s="15">
        <v>45538</v>
      </c>
      <c r="B13">
        <v>904.99</v>
      </c>
      <c r="C13" s="6" t="s">
        <v>29</v>
      </c>
      <c r="D13" t="s">
        <v>318</v>
      </c>
      <c r="E13" t="s">
        <v>114</v>
      </c>
      <c r="F13" t="s">
        <v>113</v>
      </c>
      <c r="G13" t="s">
        <v>311</v>
      </c>
      <c r="H13" t="s">
        <v>227</v>
      </c>
    </row>
    <row r="14" spans="1:8">
      <c r="A14" s="15">
        <v>45539</v>
      </c>
      <c r="B14">
        <v>1115.76</v>
      </c>
      <c r="C14" s="6" t="s">
        <v>29</v>
      </c>
      <c r="D14" t="s">
        <v>248</v>
      </c>
      <c r="E14" t="s">
        <v>114</v>
      </c>
      <c r="F14" t="s">
        <v>111</v>
      </c>
      <c r="G14" t="s">
        <v>311</v>
      </c>
      <c r="H14" t="s">
        <v>228</v>
      </c>
    </row>
    <row r="15" spans="1:8">
      <c r="A15" s="15">
        <v>45545</v>
      </c>
      <c r="B15">
        <v>638.89</v>
      </c>
      <c r="C15" s="6" t="s">
        <v>29</v>
      </c>
      <c r="D15" t="s">
        <v>248</v>
      </c>
      <c r="E15" t="s">
        <v>114</v>
      </c>
      <c r="F15" t="s">
        <v>112</v>
      </c>
      <c r="G15" t="s">
        <v>311</v>
      </c>
      <c r="H15" t="s">
        <v>229</v>
      </c>
    </row>
    <row r="16" spans="1:8">
      <c r="A16" s="15">
        <v>45551</v>
      </c>
      <c r="B16">
        <v>102</v>
      </c>
      <c r="C16" s="6" t="s">
        <v>29</v>
      </c>
      <c r="D16" t="s">
        <v>220</v>
      </c>
      <c r="E16" t="s">
        <v>114</v>
      </c>
      <c r="F16" t="s">
        <v>486</v>
      </c>
      <c r="G16" t="s">
        <v>312</v>
      </c>
      <c r="H16" t="s">
        <v>487</v>
      </c>
    </row>
    <row r="17" spans="1:8">
      <c r="A17" s="15">
        <v>45554</v>
      </c>
      <c r="B17">
        <v>200</v>
      </c>
      <c r="C17" s="6" t="s">
        <v>29</v>
      </c>
      <c r="D17" t="s">
        <v>610</v>
      </c>
      <c r="E17" t="s">
        <v>114</v>
      </c>
      <c r="F17" t="s">
        <v>611</v>
      </c>
      <c r="G17" t="s">
        <v>312</v>
      </c>
      <c r="H17" t="s">
        <v>612</v>
      </c>
    </row>
    <row r="18" spans="1:8">
      <c r="A18" s="15"/>
    </row>
    <row r="19" spans="1:8">
      <c r="A19" s="15"/>
      <c r="B19" s="17">
        <f>SUM(B13:B17)</f>
        <v>2961.64</v>
      </c>
      <c r="C19" s="6" t="s">
        <v>27</v>
      </c>
    </row>
    <row r="20" spans="1:8">
      <c r="A20" s="15"/>
    </row>
    <row r="21" spans="1:8">
      <c r="A21" s="15">
        <v>45538</v>
      </c>
      <c r="B21">
        <v>178.31</v>
      </c>
      <c r="C21" s="6" t="s">
        <v>30</v>
      </c>
      <c r="D21" t="s">
        <v>130</v>
      </c>
      <c r="E21" t="s">
        <v>114</v>
      </c>
      <c r="F21" t="s">
        <v>115</v>
      </c>
      <c r="G21" t="s">
        <v>311</v>
      </c>
      <c r="H21" t="s">
        <v>230</v>
      </c>
    </row>
    <row r="22" spans="1:8">
      <c r="A22" s="15">
        <v>45554</v>
      </c>
      <c r="B22">
        <v>12.5</v>
      </c>
      <c r="C22" s="6" t="s">
        <v>30</v>
      </c>
      <c r="D22" t="s">
        <v>130</v>
      </c>
      <c r="E22" t="s">
        <v>114</v>
      </c>
      <c r="F22" t="s">
        <v>613</v>
      </c>
      <c r="G22" t="s">
        <v>614</v>
      </c>
      <c r="H22" t="s">
        <v>615</v>
      </c>
    </row>
    <row r="23" spans="1:8">
      <c r="A23" s="15"/>
      <c r="B23"/>
      <c r="D23"/>
    </row>
    <row r="24" spans="1:8">
      <c r="A24" s="15"/>
      <c r="B24"/>
      <c r="D24"/>
    </row>
    <row r="25" spans="1:8">
      <c r="A25" s="15"/>
      <c r="B25"/>
      <c r="D25"/>
    </row>
    <row r="26" spans="1:8">
      <c r="A26" s="15"/>
      <c r="B26"/>
      <c r="D26"/>
    </row>
    <row r="27" spans="1:8">
      <c r="A27" s="15"/>
      <c r="B27"/>
      <c r="D27"/>
    </row>
    <row r="28" spans="1:8">
      <c r="A28" s="15"/>
      <c r="B28"/>
      <c r="D28"/>
    </row>
    <row r="29" spans="1:8">
      <c r="A29" s="15"/>
      <c r="B29"/>
      <c r="D29"/>
    </row>
    <row r="30" spans="1:8">
      <c r="A30" s="15"/>
      <c r="B30"/>
      <c r="D30"/>
    </row>
    <row r="31" spans="1:8">
      <c r="A31" s="15"/>
      <c r="B31"/>
      <c r="D31"/>
    </row>
    <row r="32" spans="1:8">
      <c r="A32" s="15"/>
      <c r="B32"/>
      <c r="D32"/>
    </row>
    <row r="33" spans="1:4">
      <c r="A33" s="15"/>
      <c r="B33"/>
      <c r="D33"/>
    </row>
    <row r="34" spans="1:4">
      <c r="A34" s="15"/>
      <c r="B34"/>
      <c r="D34"/>
    </row>
    <row r="35" spans="1:4">
      <c r="A35" s="15"/>
      <c r="B35"/>
      <c r="D35"/>
    </row>
    <row r="36" spans="1:4">
      <c r="A36" s="15"/>
      <c r="B36"/>
      <c r="D36"/>
    </row>
    <row r="37" spans="1:4">
      <c r="A37" s="15"/>
      <c r="B37"/>
      <c r="D37"/>
    </row>
    <row r="38" spans="1:4">
      <c r="A38" s="15"/>
      <c r="B38"/>
      <c r="D38"/>
    </row>
    <row r="39" spans="1:4">
      <c r="A39" s="15"/>
      <c r="B39"/>
      <c r="D39"/>
    </row>
    <row r="40" spans="1:4">
      <c r="A40" s="15"/>
      <c r="B40"/>
      <c r="D40"/>
    </row>
    <row r="41" spans="1:4">
      <c r="A41" s="15"/>
      <c r="B41"/>
      <c r="D41"/>
    </row>
    <row r="42" spans="1:4">
      <c r="A42" s="15"/>
      <c r="B42"/>
      <c r="D42"/>
    </row>
    <row r="43" spans="1:4">
      <c r="A43" s="15"/>
      <c r="B43"/>
      <c r="D43"/>
    </row>
    <row r="44" spans="1:4">
      <c r="A44" s="15"/>
      <c r="B44"/>
      <c r="D44"/>
    </row>
    <row r="45" spans="1:4">
      <c r="A45" s="15"/>
      <c r="B45"/>
      <c r="D45"/>
    </row>
    <row r="46" spans="1:4">
      <c r="A46" s="15"/>
      <c r="B46"/>
      <c r="D46"/>
    </row>
    <row r="47" spans="1:4">
      <c r="A47" s="15"/>
      <c r="B47"/>
      <c r="D47"/>
    </row>
    <row r="48" spans="1:4">
      <c r="A48" s="15"/>
      <c r="B48"/>
      <c r="D48"/>
    </row>
    <row r="49" spans="1:4">
      <c r="A49" s="15"/>
      <c r="B49"/>
      <c r="D49"/>
    </row>
    <row r="50" spans="1:4">
      <c r="A50" s="15"/>
      <c r="B50"/>
      <c r="D50"/>
    </row>
    <row r="51" spans="1:4">
      <c r="A51" s="15"/>
      <c r="B51"/>
      <c r="D51"/>
    </row>
    <row r="52" spans="1:4">
      <c r="A52" s="15"/>
      <c r="B52"/>
      <c r="D52"/>
    </row>
    <row r="53" spans="1:4">
      <c r="A53" s="15"/>
      <c r="B53"/>
      <c r="D53"/>
    </row>
    <row r="54" spans="1:4">
      <c r="A54" s="15"/>
      <c r="B54"/>
      <c r="D54"/>
    </row>
    <row r="55" spans="1:4">
      <c r="A55" s="15"/>
      <c r="B55"/>
      <c r="D55"/>
    </row>
    <row r="56" spans="1:4">
      <c r="A56" s="15"/>
      <c r="B56"/>
      <c r="D56"/>
    </row>
    <row r="57" spans="1:4">
      <c r="A57" s="15"/>
      <c r="B57"/>
      <c r="D57"/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9FCE9-124B-D34C-9D55-EE8A25A711C3}">
  <sheetPr>
    <tabColor rgb="FF92D050"/>
  </sheetPr>
  <dimension ref="A1:AQ49"/>
  <sheetViews>
    <sheetView zoomScaleNormal="100" workbookViewId="0">
      <selection activeCell="E13" sqref="E13"/>
    </sheetView>
  </sheetViews>
  <sheetFormatPr baseColWidth="10" defaultColWidth="11" defaultRowHeight="16"/>
  <cols>
    <col min="2" max="2" width="10.83203125" style="8"/>
    <col min="4" max="4" width="17.83203125" bestFit="1" customWidth="1"/>
    <col min="5" max="5" width="28.5" bestFit="1" customWidth="1"/>
    <col min="12" max="12" width="17.6640625" customWidth="1"/>
    <col min="14" max="14" width="10.83203125" style="18" customWidth="1"/>
  </cols>
  <sheetData>
    <row r="1" spans="1:43" ht="85">
      <c r="A1" t="s">
        <v>20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s="19" t="s">
        <v>44</v>
      </c>
      <c r="N1" s="20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17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</row>
    <row r="2" spans="1:43">
      <c r="A2" s="5"/>
      <c r="B2"/>
      <c r="C2" s="14"/>
      <c r="D2" s="14"/>
      <c r="N2"/>
    </row>
    <row r="3" spans="1:43">
      <c r="A3" s="5"/>
      <c r="B3"/>
      <c r="C3" s="14"/>
      <c r="D3" s="14"/>
      <c r="N3"/>
    </row>
    <row r="4" spans="1:43">
      <c r="A4" s="5"/>
      <c r="B4"/>
      <c r="C4" s="14"/>
      <c r="D4" s="14"/>
      <c r="N4"/>
    </row>
    <row r="5" spans="1:43">
      <c r="A5" s="5"/>
      <c r="B5"/>
      <c r="C5" s="14"/>
      <c r="D5" s="14"/>
      <c r="N5"/>
    </row>
    <row r="6" spans="1:43">
      <c r="A6" s="5"/>
      <c r="B6"/>
      <c r="C6" s="14"/>
      <c r="D6" s="14"/>
      <c r="N6"/>
    </row>
    <row r="7" spans="1:43">
      <c r="A7" s="5"/>
      <c r="B7"/>
      <c r="C7" s="14"/>
      <c r="D7" s="14"/>
      <c r="N7"/>
    </row>
    <row r="8" spans="1:43">
      <c r="A8" s="5"/>
      <c r="B8"/>
      <c r="C8" s="14"/>
      <c r="D8" s="14"/>
      <c r="N8"/>
    </row>
    <row r="9" spans="1:43">
      <c r="A9" s="5"/>
      <c r="B9"/>
      <c r="C9" s="14"/>
      <c r="D9" s="14"/>
      <c r="N9"/>
    </row>
    <row r="10" spans="1:43">
      <c r="A10" s="5"/>
      <c r="B10"/>
      <c r="C10" s="14"/>
      <c r="D10" s="14"/>
      <c r="N10"/>
    </row>
    <row r="11" spans="1:43">
      <c r="A11" s="5"/>
      <c r="B11"/>
      <c r="C11" s="14"/>
      <c r="D11" s="14"/>
      <c r="N11"/>
    </row>
    <row r="12" spans="1:43">
      <c r="A12" s="5"/>
      <c r="B12"/>
      <c r="C12" s="14"/>
      <c r="D12" s="14"/>
      <c r="N12"/>
    </row>
    <row r="13" spans="1:43">
      <c r="A13" s="5"/>
      <c r="B13"/>
      <c r="C13" s="14"/>
      <c r="D13" s="14"/>
      <c r="N13"/>
    </row>
    <row r="14" spans="1:43">
      <c r="A14" s="5"/>
      <c r="B14"/>
      <c r="C14" s="14"/>
      <c r="D14" s="14"/>
      <c r="N14"/>
    </row>
    <row r="15" spans="1:43">
      <c r="A15" s="5"/>
      <c r="B15"/>
      <c r="C15" s="14"/>
      <c r="D15" s="14"/>
      <c r="N15"/>
    </row>
    <row r="16" spans="1:43">
      <c r="A16" s="5"/>
      <c r="B16"/>
      <c r="C16" s="14"/>
      <c r="D16" s="14"/>
      <c r="N16"/>
    </row>
    <row r="17" spans="1:14">
      <c r="A17" s="5"/>
      <c r="B17"/>
      <c r="C17" s="14"/>
      <c r="D17" s="14"/>
      <c r="N17"/>
    </row>
    <row r="18" spans="1:14">
      <c r="A18" s="5"/>
      <c r="B18"/>
      <c r="C18" s="14"/>
      <c r="D18" s="14"/>
      <c r="N18"/>
    </row>
    <row r="19" spans="1:14">
      <c r="A19" s="5"/>
      <c r="B19"/>
      <c r="C19" s="14"/>
      <c r="D19" s="14"/>
      <c r="N19"/>
    </row>
    <row r="26" spans="1:14">
      <c r="A26" s="5"/>
      <c r="B26"/>
      <c r="C26" s="14"/>
      <c r="D26" s="14"/>
      <c r="N26"/>
    </row>
    <row r="27" spans="1:14">
      <c r="A27" s="5"/>
      <c r="B27"/>
      <c r="C27" s="14"/>
      <c r="D27" s="14"/>
      <c r="N27"/>
    </row>
    <row r="28" spans="1:14">
      <c r="A28" s="5"/>
      <c r="B28"/>
      <c r="C28" s="14"/>
      <c r="D28" s="14"/>
      <c r="N28"/>
    </row>
    <row r="29" spans="1:14">
      <c r="A29" s="5"/>
      <c r="B29"/>
      <c r="C29" s="14"/>
      <c r="D29" s="14"/>
      <c r="N29"/>
    </row>
    <row r="30" spans="1:14">
      <c r="A30" s="5"/>
      <c r="B30"/>
      <c r="C30" s="14"/>
      <c r="D30" s="14"/>
      <c r="N30"/>
    </row>
    <row r="31" spans="1:14">
      <c r="A31" s="5"/>
      <c r="B31"/>
      <c r="C31" s="14"/>
      <c r="D31" s="14"/>
      <c r="N31"/>
    </row>
    <row r="32" spans="1:14">
      <c r="A32" s="5"/>
      <c r="B32"/>
      <c r="C32" s="14"/>
      <c r="D32" s="14"/>
      <c r="N32"/>
    </row>
    <row r="33" spans="1:14">
      <c r="A33" s="5"/>
      <c r="B33"/>
      <c r="C33" s="14"/>
      <c r="D33" s="14"/>
      <c r="N33"/>
    </row>
    <row r="42" spans="1:14">
      <c r="A42" s="5"/>
      <c r="B42"/>
      <c r="C42" s="14"/>
      <c r="D42" s="14"/>
      <c r="N42"/>
    </row>
    <row r="43" spans="1:14">
      <c r="A43" s="5"/>
      <c r="B43"/>
      <c r="C43" s="14"/>
      <c r="D43" s="14"/>
      <c r="N43"/>
    </row>
    <row r="44" spans="1:14">
      <c r="A44" s="5"/>
      <c r="B44"/>
      <c r="C44" s="14"/>
      <c r="D44" s="14"/>
      <c r="N44"/>
    </row>
    <row r="45" spans="1:14">
      <c r="A45" s="5"/>
      <c r="B45"/>
      <c r="C45" s="14"/>
      <c r="D45" s="14"/>
      <c r="N45"/>
    </row>
    <row r="46" spans="1:14">
      <c r="A46" s="5"/>
      <c r="B46"/>
      <c r="C46" s="14"/>
      <c r="D46" s="14"/>
      <c r="N46"/>
    </row>
    <row r="47" spans="1:14">
      <c r="A47" s="5"/>
      <c r="B47"/>
      <c r="C47" s="14"/>
      <c r="D47" s="14"/>
      <c r="N47"/>
    </row>
    <row r="48" spans="1:14">
      <c r="A48" s="5"/>
      <c r="B48"/>
      <c r="C48" s="14"/>
      <c r="D48" s="14"/>
      <c r="N48"/>
    </row>
    <row r="49" spans="1:14">
      <c r="A49" s="5"/>
      <c r="B49"/>
      <c r="C49" s="14"/>
      <c r="D49" s="14"/>
      <c r="N49"/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K21"/>
  <sheetViews>
    <sheetView tabSelected="1" zoomScale="125" zoomScaleNormal="125" zoomScalePageLayoutView="125" workbookViewId="0">
      <selection activeCell="C17" sqref="C17"/>
    </sheetView>
  </sheetViews>
  <sheetFormatPr baseColWidth="10" defaultRowHeight="16"/>
  <cols>
    <col min="1" max="1" width="14.83203125" bestFit="1" customWidth="1"/>
    <col min="2" max="2" width="11.1640625" bestFit="1" customWidth="1"/>
    <col min="3" max="3" width="73.83203125" bestFit="1" customWidth="1"/>
    <col min="4" max="4" width="9.83203125" style="17" customWidth="1"/>
    <col min="5" max="5" width="8.6640625" customWidth="1"/>
    <col min="6" max="6" width="22.1640625" style="19" bestFit="1" customWidth="1"/>
    <col min="7" max="7" width="12.1640625" style="14" bestFit="1" customWidth="1"/>
    <col min="8" max="9" width="10.5" bestFit="1" customWidth="1"/>
    <col min="10" max="10" width="9.83203125" bestFit="1" customWidth="1"/>
  </cols>
  <sheetData>
    <row r="1" spans="1:11" ht="34">
      <c r="A1" t="s">
        <v>73</v>
      </c>
      <c r="B1" t="s">
        <v>74</v>
      </c>
      <c r="C1" t="s">
        <v>75</v>
      </c>
      <c r="D1" s="17" t="s">
        <v>21</v>
      </c>
      <c r="E1" s="19" t="s">
        <v>77</v>
      </c>
      <c r="F1" t="s">
        <v>232</v>
      </c>
      <c r="G1" t="s">
        <v>79</v>
      </c>
      <c r="H1" s="13" t="s">
        <v>81</v>
      </c>
      <c r="I1" s="13" t="s">
        <v>81</v>
      </c>
      <c r="J1" s="13" t="s">
        <v>81</v>
      </c>
      <c r="K1" s="13" t="s">
        <v>81</v>
      </c>
    </row>
    <row r="2" spans="1:11">
      <c r="A2">
        <v>465083897</v>
      </c>
      <c r="B2" s="5">
        <v>45538</v>
      </c>
      <c r="C2" t="s">
        <v>616</v>
      </c>
      <c r="D2">
        <v>140</v>
      </c>
      <c r="E2" t="s">
        <v>87</v>
      </c>
      <c r="F2" s="32" t="s">
        <v>246</v>
      </c>
      <c r="G2" s="6" t="s">
        <v>26</v>
      </c>
      <c r="H2" s="29">
        <f>IF(E2="DR",D2,0)</f>
        <v>140</v>
      </c>
      <c r="I2" s="29">
        <f>IF(E2="CR",D2,0)</f>
        <v>0</v>
      </c>
      <c r="J2" s="29">
        <f>IF(G2="E",0,H2/11)</f>
        <v>12.727272727272727</v>
      </c>
      <c r="K2" s="29">
        <f>IF(G2="E",0,I2/11)</f>
        <v>0</v>
      </c>
    </row>
    <row r="3" spans="1:11">
      <c r="A3">
        <v>465083897</v>
      </c>
      <c r="B3" s="5">
        <v>45545</v>
      </c>
      <c r="C3" t="s">
        <v>617</v>
      </c>
      <c r="D3">
        <v>54.32</v>
      </c>
      <c r="E3" t="s">
        <v>87</v>
      </c>
      <c r="F3" s="32" t="s">
        <v>273</v>
      </c>
      <c r="G3" s="6" t="s">
        <v>26</v>
      </c>
      <c r="H3" s="29">
        <f t="shared" ref="H3:H16" si="0">IF(E3="DR",D3,0)</f>
        <v>54.32</v>
      </c>
      <c r="I3" s="29">
        <f t="shared" ref="I3:I16" si="1">IF(E3="CR",D3,0)</f>
        <v>0</v>
      </c>
      <c r="J3" s="29">
        <f t="shared" ref="J3:J16" si="2">IF(G3="E",0,H3/11)</f>
        <v>4.9381818181818184</v>
      </c>
      <c r="K3" s="29">
        <f t="shared" ref="K3:K16" si="3">IF(G3="E",0,I3/11)</f>
        <v>0</v>
      </c>
    </row>
    <row r="4" spans="1:11">
      <c r="A4">
        <v>465083897</v>
      </c>
      <c r="B4" s="5">
        <v>45546</v>
      </c>
      <c r="C4" t="s">
        <v>618</v>
      </c>
      <c r="D4">
        <v>9000</v>
      </c>
      <c r="E4" t="s">
        <v>87</v>
      </c>
      <c r="F4" s="32" t="s">
        <v>272</v>
      </c>
      <c r="G4" s="6" t="s">
        <v>28</v>
      </c>
      <c r="H4" s="29">
        <f t="shared" si="0"/>
        <v>9000</v>
      </c>
      <c r="I4" s="29">
        <f t="shared" si="1"/>
        <v>0</v>
      </c>
      <c r="J4" s="29">
        <f t="shared" si="2"/>
        <v>0</v>
      </c>
      <c r="K4" s="29">
        <f t="shared" si="3"/>
        <v>0</v>
      </c>
    </row>
    <row r="5" spans="1:11">
      <c r="A5">
        <v>465083897</v>
      </c>
      <c r="B5" s="5">
        <v>45546</v>
      </c>
      <c r="C5" t="s">
        <v>619</v>
      </c>
      <c r="D5">
        <v>300</v>
      </c>
      <c r="E5" t="s">
        <v>87</v>
      </c>
      <c r="F5" s="32" t="s">
        <v>271</v>
      </c>
      <c r="G5" s="6" t="s">
        <v>28</v>
      </c>
      <c r="H5" s="29">
        <f t="shared" si="0"/>
        <v>300</v>
      </c>
      <c r="I5" s="29">
        <f t="shared" si="1"/>
        <v>0</v>
      </c>
      <c r="J5" s="29">
        <f t="shared" si="2"/>
        <v>0</v>
      </c>
      <c r="K5" s="29">
        <f t="shared" si="3"/>
        <v>0</v>
      </c>
    </row>
    <row r="6" spans="1:11">
      <c r="A6">
        <v>465083897</v>
      </c>
      <c r="B6" s="5">
        <v>45547</v>
      </c>
      <c r="C6" t="s">
        <v>620</v>
      </c>
      <c r="D6">
        <v>250</v>
      </c>
      <c r="E6" t="s">
        <v>87</v>
      </c>
      <c r="F6" s="32" t="s">
        <v>621</v>
      </c>
      <c r="G6" s="6" t="s">
        <v>26</v>
      </c>
      <c r="H6" s="29">
        <f t="shared" si="0"/>
        <v>250</v>
      </c>
      <c r="I6" s="29">
        <f t="shared" si="1"/>
        <v>0</v>
      </c>
      <c r="J6" s="29">
        <f t="shared" si="2"/>
        <v>22.727272727272727</v>
      </c>
      <c r="K6" s="29">
        <f t="shared" si="3"/>
        <v>0</v>
      </c>
    </row>
    <row r="7" spans="1:11">
      <c r="A7">
        <v>465083897</v>
      </c>
      <c r="B7" s="5">
        <v>45547</v>
      </c>
      <c r="C7" t="s">
        <v>622</v>
      </c>
      <c r="D7">
        <v>1210</v>
      </c>
      <c r="E7" t="s">
        <v>86</v>
      </c>
      <c r="F7" s="32" t="s">
        <v>273</v>
      </c>
      <c r="G7" s="6" t="s">
        <v>26</v>
      </c>
      <c r="H7" s="29">
        <f t="shared" si="0"/>
        <v>0</v>
      </c>
      <c r="I7" s="29">
        <f t="shared" si="1"/>
        <v>1210</v>
      </c>
      <c r="J7" s="29">
        <f t="shared" si="2"/>
        <v>0</v>
      </c>
      <c r="K7" s="29">
        <f t="shared" si="3"/>
        <v>110</v>
      </c>
    </row>
    <row r="8" spans="1:11">
      <c r="A8">
        <v>465083897</v>
      </c>
      <c r="B8" s="5">
        <v>45548</v>
      </c>
      <c r="C8" t="s">
        <v>623</v>
      </c>
      <c r="D8">
        <v>648.9</v>
      </c>
      <c r="E8" t="s">
        <v>87</v>
      </c>
      <c r="F8" s="32" t="s">
        <v>624</v>
      </c>
      <c r="G8" s="6" t="s">
        <v>26</v>
      </c>
      <c r="H8" s="29">
        <f t="shared" si="0"/>
        <v>648.9</v>
      </c>
      <c r="I8" s="29">
        <f t="shared" si="1"/>
        <v>0</v>
      </c>
      <c r="J8" s="29">
        <f t="shared" si="2"/>
        <v>58.990909090909092</v>
      </c>
      <c r="K8" s="29">
        <f t="shared" si="3"/>
        <v>0</v>
      </c>
    </row>
    <row r="9" spans="1:11">
      <c r="A9">
        <v>465083897</v>
      </c>
      <c r="B9" s="5">
        <v>45548</v>
      </c>
      <c r="C9" t="s">
        <v>625</v>
      </c>
      <c r="D9">
        <v>1000</v>
      </c>
      <c r="E9" t="s">
        <v>87</v>
      </c>
      <c r="F9" s="32" t="s">
        <v>624</v>
      </c>
      <c r="G9" s="6" t="s">
        <v>26</v>
      </c>
      <c r="H9" s="29">
        <f t="shared" si="0"/>
        <v>1000</v>
      </c>
      <c r="I9" s="29">
        <f t="shared" si="1"/>
        <v>0</v>
      </c>
      <c r="J9" s="29">
        <f t="shared" si="2"/>
        <v>90.909090909090907</v>
      </c>
      <c r="K9" s="29">
        <f t="shared" si="3"/>
        <v>0</v>
      </c>
    </row>
    <row r="10" spans="1:11">
      <c r="A10">
        <v>465083897</v>
      </c>
      <c r="B10" s="5">
        <v>45551</v>
      </c>
      <c r="C10" t="s">
        <v>626</v>
      </c>
      <c r="D10">
        <v>2301.1999999999998</v>
      </c>
      <c r="E10" t="s">
        <v>86</v>
      </c>
      <c r="F10" s="32" t="s">
        <v>96</v>
      </c>
      <c r="G10" s="6" t="s">
        <v>26</v>
      </c>
      <c r="H10" s="29">
        <f t="shared" si="0"/>
        <v>0</v>
      </c>
      <c r="I10" s="29">
        <f t="shared" si="1"/>
        <v>2301.1999999999998</v>
      </c>
      <c r="J10" s="29">
        <f t="shared" si="2"/>
        <v>0</v>
      </c>
      <c r="K10" s="29">
        <f t="shared" si="3"/>
        <v>209.2</v>
      </c>
    </row>
    <row r="11" spans="1:11">
      <c r="A11">
        <v>465083897</v>
      </c>
      <c r="B11" s="5">
        <v>45552</v>
      </c>
      <c r="C11" t="s">
        <v>627</v>
      </c>
      <c r="D11">
        <v>140</v>
      </c>
      <c r="E11" t="s">
        <v>87</v>
      </c>
      <c r="F11" s="32" t="s">
        <v>246</v>
      </c>
      <c r="G11" s="6" t="s">
        <v>26</v>
      </c>
      <c r="H11" s="29">
        <f t="shared" si="0"/>
        <v>140</v>
      </c>
      <c r="I11" s="29">
        <f t="shared" si="1"/>
        <v>0</v>
      </c>
      <c r="J11" s="29">
        <f t="shared" si="2"/>
        <v>12.727272727272727</v>
      </c>
      <c r="K11" s="29">
        <f t="shared" si="3"/>
        <v>0</v>
      </c>
    </row>
    <row r="12" spans="1:11">
      <c r="A12">
        <v>465083897</v>
      </c>
      <c r="B12" s="5">
        <v>45554</v>
      </c>
      <c r="C12" t="s">
        <v>628</v>
      </c>
      <c r="D12">
        <v>963.88</v>
      </c>
      <c r="E12" t="s">
        <v>87</v>
      </c>
      <c r="F12" s="32" t="s">
        <v>274</v>
      </c>
      <c r="G12" s="6" t="s">
        <v>26</v>
      </c>
      <c r="H12" s="29">
        <f t="shared" si="0"/>
        <v>963.88</v>
      </c>
      <c r="I12" s="29">
        <f t="shared" si="1"/>
        <v>0</v>
      </c>
      <c r="J12" s="29">
        <f t="shared" si="2"/>
        <v>87.625454545454545</v>
      </c>
      <c r="K12" s="29">
        <f t="shared" si="3"/>
        <v>0</v>
      </c>
    </row>
    <row r="13" spans="1:11">
      <c r="A13">
        <v>465083897</v>
      </c>
      <c r="B13" s="5">
        <v>45554</v>
      </c>
      <c r="C13" t="s">
        <v>629</v>
      </c>
      <c r="D13">
        <v>3444.8</v>
      </c>
      <c r="E13" t="s">
        <v>87</v>
      </c>
      <c r="F13" s="32" t="s">
        <v>275</v>
      </c>
      <c r="G13" s="6" t="s">
        <v>26</v>
      </c>
      <c r="H13" s="29">
        <f t="shared" si="0"/>
        <v>3444.8</v>
      </c>
      <c r="I13" s="29">
        <f t="shared" si="1"/>
        <v>0</v>
      </c>
      <c r="J13" s="29">
        <f t="shared" si="2"/>
        <v>313.16363636363639</v>
      </c>
      <c r="K13" s="29">
        <f t="shared" si="3"/>
        <v>0</v>
      </c>
    </row>
    <row r="14" spans="1:11">
      <c r="A14">
        <v>465083897</v>
      </c>
      <c r="B14" s="5">
        <v>45554</v>
      </c>
      <c r="C14" t="s">
        <v>630</v>
      </c>
      <c r="D14">
        <v>2365</v>
      </c>
      <c r="E14" t="s">
        <v>87</v>
      </c>
      <c r="F14" s="32" t="s">
        <v>345</v>
      </c>
      <c r="G14" s="6" t="s">
        <v>26</v>
      </c>
      <c r="H14" s="29">
        <f t="shared" si="0"/>
        <v>2365</v>
      </c>
      <c r="I14" s="29">
        <f t="shared" si="1"/>
        <v>0</v>
      </c>
      <c r="J14" s="29">
        <f t="shared" si="2"/>
        <v>215</v>
      </c>
      <c r="K14" s="29">
        <f t="shared" si="3"/>
        <v>0</v>
      </c>
    </row>
    <row r="15" spans="1:11">
      <c r="A15">
        <v>465083897</v>
      </c>
      <c r="B15" s="5">
        <v>45565</v>
      </c>
      <c r="C15" t="s">
        <v>270</v>
      </c>
      <c r="D15">
        <v>10</v>
      </c>
      <c r="E15" t="s">
        <v>87</v>
      </c>
      <c r="F15" s="32" t="s">
        <v>93</v>
      </c>
      <c r="G15" s="6" t="s">
        <v>28</v>
      </c>
      <c r="H15" s="29">
        <f t="shared" si="0"/>
        <v>10</v>
      </c>
      <c r="I15" s="29">
        <f t="shared" si="1"/>
        <v>0</v>
      </c>
      <c r="J15" s="29">
        <f t="shared" si="2"/>
        <v>0</v>
      </c>
      <c r="K15" s="29">
        <f t="shared" si="3"/>
        <v>0</v>
      </c>
    </row>
    <row r="16" spans="1:11">
      <c r="A16">
        <v>465083897</v>
      </c>
      <c r="B16" s="5">
        <v>45565</v>
      </c>
      <c r="C16" t="s">
        <v>88</v>
      </c>
      <c r="D16">
        <v>35.68</v>
      </c>
      <c r="E16" t="s">
        <v>86</v>
      </c>
      <c r="F16" s="32" t="s">
        <v>276</v>
      </c>
      <c r="G16" s="6" t="s">
        <v>28</v>
      </c>
      <c r="H16" s="29">
        <f t="shared" si="0"/>
        <v>0</v>
      </c>
      <c r="I16" s="29">
        <f t="shared" si="1"/>
        <v>35.68</v>
      </c>
      <c r="J16" s="29">
        <f t="shared" si="2"/>
        <v>0</v>
      </c>
      <c r="K16" s="29">
        <f t="shared" si="3"/>
        <v>0</v>
      </c>
    </row>
    <row r="18" spans="6:11" ht="17">
      <c r="F18" s="47" t="s">
        <v>231</v>
      </c>
      <c r="G18" s="48"/>
      <c r="H18" s="49">
        <f>SUM(H1:H17)</f>
        <v>18316.899999999998</v>
      </c>
      <c r="I18" s="49">
        <f>SUM(I1:I17)</f>
        <v>3546.8799999999997</v>
      </c>
      <c r="J18" s="49">
        <f>SUM(J1:J17)</f>
        <v>818.80909090909086</v>
      </c>
      <c r="K18" s="49">
        <f>SUM(K1:K17)</f>
        <v>319.2</v>
      </c>
    </row>
    <row r="19" spans="6:11" ht="17" thickBot="1">
      <c r="G19"/>
    </row>
    <row r="20" spans="6:11" ht="19" thickTop="1" thickBot="1">
      <c r="F20" s="50" t="s">
        <v>95</v>
      </c>
      <c r="G20" s="51"/>
      <c r="H20" s="52">
        <f>K18-J18</f>
        <v>-499.60909090909087</v>
      </c>
    </row>
    <row r="21" spans="6:11" ht="17" thickTop="1"/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CF22B-5CFB-3A43-9B11-D430C066144E}">
  <dimension ref="A1:AB3"/>
  <sheetViews>
    <sheetView workbookViewId="0">
      <selection activeCell="A2" sqref="A2:XFD3"/>
    </sheetView>
  </sheetViews>
  <sheetFormatPr baseColWidth="10" defaultColWidth="11" defaultRowHeight="16"/>
  <sheetData>
    <row r="1" spans="1:28">
      <c r="A1" s="28" t="s">
        <v>73</v>
      </c>
      <c r="B1" s="28" t="s">
        <v>74</v>
      </c>
      <c r="C1" s="28" t="s">
        <v>75</v>
      </c>
      <c r="D1" s="28" t="s">
        <v>76</v>
      </c>
      <c r="E1" s="28" t="s">
        <v>21</v>
      </c>
      <c r="F1" s="28" t="s">
        <v>77</v>
      </c>
      <c r="G1" s="28" t="s">
        <v>17</v>
      </c>
      <c r="H1" s="28" t="s">
        <v>78</v>
      </c>
      <c r="I1" s="28" t="s">
        <v>79</v>
      </c>
      <c r="J1" s="28" t="s">
        <v>80</v>
      </c>
      <c r="K1" s="28" t="s">
        <v>81</v>
      </c>
      <c r="L1" s="28" t="s">
        <v>82</v>
      </c>
      <c r="M1" s="28" t="s">
        <v>83</v>
      </c>
      <c r="N1" s="28" t="s">
        <v>84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 spans="1:28">
      <c r="A2">
        <v>431450521</v>
      </c>
      <c r="B2" s="5">
        <v>45352</v>
      </c>
      <c r="C2" t="s">
        <v>268</v>
      </c>
      <c r="D2">
        <v>12000</v>
      </c>
      <c r="E2" t="s">
        <v>86</v>
      </c>
      <c r="F2" t="s">
        <v>267</v>
      </c>
      <c r="G2" t="s">
        <v>28</v>
      </c>
      <c r="H2" s="29">
        <f>IF(E2="DR",D2,0)</f>
        <v>0</v>
      </c>
      <c r="I2" s="29">
        <f>IF(E2="CR",D2,0)</f>
        <v>12000</v>
      </c>
      <c r="J2" s="29">
        <f>IF(G2="E",0,H2/11)</f>
        <v>0</v>
      </c>
      <c r="K2" s="29">
        <f>IF(G2="E",0,I2/11)</f>
        <v>0</v>
      </c>
    </row>
    <row r="3" spans="1:28">
      <c r="A3">
        <v>431450521</v>
      </c>
      <c r="B3" s="5">
        <v>45352</v>
      </c>
      <c r="C3" t="s">
        <v>269</v>
      </c>
      <c r="D3">
        <v>12000</v>
      </c>
      <c r="E3" t="s">
        <v>87</v>
      </c>
      <c r="F3" t="s">
        <v>267</v>
      </c>
      <c r="G3" t="s">
        <v>28</v>
      </c>
      <c r="H3" s="29">
        <f t="shared" ref="H3" si="0">IF(E3="DR",D3,0)</f>
        <v>12000</v>
      </c>
      <c r="I3" s="29">
        <f t="shared" ref="I3" si="1">IF(E3="CR",D3,0)</f>
        <v>0</v>
      </c>
      <c r="J3" s="29">
        <f t="shared" ref="J3" si="2">IF(G3="E",0,H3/11)</f>
        <v>0</v>
      </c>
      <c r="K3" s="29">
        <f t="shared" ref="K3" si="3">IF(G3="E",0,I3/11)</f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9"/>
  <sheetViews>
    <sheetView workbookViewId="0">
      <selection activeCell="D8" sqref="D8"/>
    </sheetView>
  </sheetViews>
  <sheetFormatPr baseColWidth="10" defaultColWidth="11" defaultRowHeight="16"/>
  <cols>
    <col min="3" max="3" width="53.5" bestFit="1" customWidth="1"/>
    <col min="4" max="4" width="19.6640625" bestFit="1" customWidth="1"/>
    <col min="9" max="9" width="37" customWidth="1"/>
  </cols>
  <sheetData>
    <row r="1" spans="1:10">
      <c r="A1">
        <v>455884826</v>
      </c>
      <c r="B1" s="5">
        <v>45007</v>
      </c>
      <c r="C1" t="s">
        <v>98</v>
      </c>
      <c r="D1" t="s">
        <v>85</v>
      </c>
      <c r="E1">
        <v>900</v>
      </c>
      <c r="F1" t="s">
        <v>87</v>
      </c>
      <c r="G1">
        <v>10.85</v>
      </c>
      <c r="H1" t="s">
        <v>86</v>
      </c>
      <c r="I1" t="s">
        <v>97</v>
      </c>
      <c r="J1" t="s">
        <v>28</v>
      </c>
    </row>
    <row r="2" spans="1:10">
      <c r="A2" s="5"/>
      <c r="C2" s="14"/>
      <c r="D2" s="14"/>
    </row>
    <row r="3" spans="1:10">
      <c r="A3" s="5"/>
      <c r="C3" s="14"/>
      <c r="D3" s="14"/>
    </row>
    <row r="4" spans="1:10">
      <c r="A4" s="5"/>
      <c r="C4" s="14"/>
      <c r="D4" s="14"/>
    </row>
    <row r="5" spans="1:10">
      <c r="A5" s="5"/>
      <c r="C5" s="14"/>
      <c r="D5" s="14"/>
    </row>
    <row r="6" spans="1:10">
      <c r="A6" s="5"/>
      <c r="C6" s="14"/>
      <c r="D6" s="14"/>
    </row>
    <row r="7" spans="1:10">
      <c r="A7" s="5"/>
      <c r="C7" s="14"/>
      <c r="D7" s="14"/>
    </row>
    <row r="8" spans="1:10">
      <c r="A8" s="5"/>
      <c r="C8" s="14"/>
      <c r="D8" s="14"/>
    </row>
    <row r="9" spans="1:10">
      <c r="A9" s="5"/>
      <c r="C9" s="14"/>
      <c r="D9" s="14"/>
    </row>
    <row r="10" spans="1:10">
      <c r="A10" s="5"/>
      <c r="C10" s="14"/>
      <c r="D10" s="14"/>
    </row>
    <row r="11" spans="1:10">
      <c r="A11" s="5"/>
      <c r="C11" s="14"/>
      <c r="D11" s="14"/>
    </row>
    <row r="12" spans="1:10">
      <c r="A12" s="5"/>
      <c r="C12" s="14"/>
      <c r="D12" s="14"/>
    </row>
    <row r="13" spans="1:10">
      <c r="A13" s="5"/>
      <c r="C13" s="14"/>
      <c r="D13" s="14"/>
    </row>
    <row r="14" spans="1:10">
      <c r="A14" s="5"/>
      <c r="C14" s="14"/>
      <c r="D14" s="14"/>
    </row>
    <row r="15" spans="1:10">
      <c r="A15" s="5"/>
      <c r="C15" s="14"/>
      <c r="D15" s="14"/>
    </row>
    <row r="16" spans="1:10">
      <c r="A16" s="5"/>
      <c r="C16" s="14"/>
      <c r="D16" s="14"/>
    </row>
    <row r="17" spans="1:4">
      <c r="A17" s="5"/>
      <c r="C17" s="14"/>
      <c r="D17" s="14"/>
    </row>
    <row r="18" spans="1:4">
      <c r="A18" s="5"/>
      <c r="C18" s="14"/>
      <c r="D18" s="14"/>
    </row>
    <row r="19" spans="1:4">
      <c r="A19" s="5"/>
      <c r="C19" s="14"/>
      <c r="D19" s="14"/>
    </row>
    <row r="26" spans="1:4">
      <c r="A26" s="5"/>
      <c r="C26" s="14"/>
      <c r="D26" s="14"/>
    </row>
    <row r="27" spans="1:4">
      <c r="A27" s="5"/>
      <c r="C27" s="14"/>
      <c r="D27" s="14"/>
    </row>
    <row r="28" spans="1:4">
      <c r="A28" s="5"/>
      <c r="C28" s="14"/>
      <c r="D28" s="14"/>
    </row>
    <row r="29" spans="1:4">
      <c r="A29" s="5"/>
      <c r="C29" s="14"/>
      <c r="D29" s="14"/>
    </row>
    <row r="30" spans="1:4">
      <c r="A30" s="5"/>
      <c r="C30" s="14"/>
      <c r="D30" s="14"/>
    </row>
    <row r="31" spans="1:4">
      <c r="A31" s="5"/>
      <c r="C31" s="14"/>
      <c r="D31" s="14"/>
    </row>
    <row r="32" spans="1:4">
      <c r="A32" s="5"/>
      <c r="C32" s="14"/>
      <c r="D32" s="14"/>
    </row>
    <row r="33" spans="1:4">
      <c r="A33" s="5"/>
      <c r="C33" s="14"/>
      <c r="D33" s="14"/>
    </row>
    <row r="42" spans="1:4">
      <c r="A42" s="5"/>
      <c r="C42" s="14"/>
      <c r="D42" s="14"/>
    </row>
    <row r="43" spans="1:4">
      <c r="A43" s="5"/>
      <c r="C43" s="14"/>
      <c r="D43" s="14"/>
    </row>
    <row r="44" spans="1:4">
      <c r="A44" s="5"/>
      <c r="C44" s="14"/>
      <c r="D44" s="14"/>
    </row>
    <row r="45" spans="1:4">
      <c r="A45" s="5"/>
      <c r="C45" s="14"/>
      <c r="D45" s="14"/>
    </row>
    <row r="46" spans="1:4">
      <c r="A46" s="5"/>
      <c r="C46" s="14"/>
      <c r="D46" s="14"/>
    </row>
    <row r="47" spans="1:4">
      <c r="A47" s="5"/>
      <c r="C47" s="14"/>
      <c r="D47" s="14"/>
    </row>
    <row r="48" spans="1:4">
      <c r="A48" s="5"/>
      <c r="C48" s="14"/>
      <c r="D48" s="14"/>
    </row>
    <row r="49" spans="1:4">
      <c r="A49" s="5"/>
      <c r="C49" s="14"/>
      <c r="D49" s="14"/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76F19-7EA2-9E40-912B-3C1606A1FA5B}">
  <dimension ref="A1:B10"/>
  <sheetViews>
    <sheetView workbookViewId="0">
      <selection sqref="A1:XFD1"/>
    </sheetView>
  </sheetViews>
  <sheetFormatPr baseColWidth="10" defaultRowHeight="16"/>
  <cols>
    <col min="2" max="2" width="10.83203125" style="17"/>
    <col min="3" max="3" width="49.83203125" bestFit="1" customWidth="1"/>
    <col min="4" max="4" width="29.33203125" bestFit="1" customWidth="1"/>
    <col min="5" max="5" width="50" bestFit="1" customWidth="1"/>
  </cols>
  <sheetData>
    <row r="1" spans="1:2">
      <c r="A1" s="5"/>
      <c r="B1"/>
    </row>
    <row r="2" spans="1:2">
      <c r="A2" s="5"/>
      <c r="B2"/>
    </row>
    <row r="3" spans="1:2">
      <c r="A3" s="5"/>
      <c r="B3"/>
    </row>
    <row r="10" spans="1:2">
      <c r="A10" s="5"/>
      <c r="B1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K47"/>
  <sheetViews>
    <sheetView workbookViewId="0">
      <selection activeCell="A2" sqref="A2:XFD2"/>
    </sheetView>
  </sheetViews>
  <sheetFormatPr baseColWidth="10" defaultColWidth="11" defaultRowHeight="16"/>
  <cols>
    <col min="2" max="2" width="10.6640625" bestFit="1" customWidth="1"/>
    <col min="3" max="3" width="20.5" bestFit="1" customWidth="1"/>
  </cols>
  <sheetData>
    <row r="1" spans="1:11">
      <c r="A1" t="s">
        <v>73</v>
      </c>
      <c r="B1" t="s">
        <v>74</v>
      </c>
      <c r="C1" t="s">
        <v>75</v>
      </c>
      <c r="D1" t="s">
        <v>89</v>
      </c>
      <c r="E1" t="s">
        <v>76</v>
      </c>
      <c r="F1" t="s">
        <v>21</v>
      </c>
      <c r="G1" t="s">
        <v>77</v>
      </c>
      <c r="H1" t="s">
        <v>17</v>
      </c>
      <c r="I1" t="s">
        <v>78</v>
      </c>
      <c r="J1" t="s">
        <v>90</v>
      </c>
      <c r="K1" t="s">
        <v>91</v>
      </c>
    </row>
    <row r="2" spans="1:11">
      <c r="B2" s="5"/>
      <c r="F2" s="17"/>
      <c r="H2" s="17"/>
      <c r="J2" s="17"/>
    </row>
    <row r="3" spans="1:11">
      <c r="A3" s="5"/>
      <c r="C3" s="14"/>
      <c r="D3" s="14"/>
    </row>
    <row r="4" spans="1:11">
      <c r="A4" s="5"/>
      <c r="C4" s="14"/>
      <c r="D4" s="14"/>
    </row>
    <row r="5" spans="1:11">
      <c r="A5" s="5"/>
      <c r="C5" s="14"/>
      <c r="D5" s="14"/>
    </row>
    <row r="6" spans="1:11">
      <c r="A6" s="5"/>
      <c r="C6" s="14"/>
      <c r="D6" s="14"/>
    </row>
    <row r="7" spans="1:11">
      <c r="A7" s="5"/>
      <c r="C7" s="14"/>
      <c r="D7" s="14"/>
    </row>
    <row r="8" spans="1:11">
      <c r="A8" s="5"/>
      <c r="C8" s="14"/>
      <c r="D8" s="14"/>
    </row>
    <row r="9" spans="1:11">
      <c r="A9" s="5"/>
      <c r="C9" s="14"/>
      <c r="D9" s="14"/>
    </row>
    <row r="10" spans="1:11">
      <c r="A10" s="5"/>
      <c r="C10" s="14"/>
      <c r="D10" s="14"/>
    </row>
    <row r="11" spans="1:11">
      <c r="A11" s="5"/>
      <c r="C11" s="14"/>
      <c r="D11" s="14"/>
    </row>
    <row r="12" spans="1:11">
      <c r="A12" s="5"/>
      <c r="C12" s="14"/>
      <c r="D12" s="14"/>
    </row>
    <row r="13" spans="1:11">
      <c r="A13" s="5"/>
      <c r="C13" s="14"/>
      <c r="D13" s="14"/>
    </row>
    <row r="14" spans="1:11">
      <c r="A14" s="5"/>
      <c r="C14" s="14"/>
      <c r="D14" s="14"/>
    </row>
    <row r="15" spans="1:11">
      <c r="A15" s="5"/>
      <c r="C15" s="14"/>
      <c r="D15" s="14"/>
    </row>
    <row r="16" spans="1:11">
      <c r="A16" s="5"/>
      <c r="C16" s="14"/>
      <c r="D16" s="14"/>
    </row>
    <row r="17" spans="1:4">
      <c r="A17" s="5"/>
      <c r="C17" s="14"/>
      <c r="D17" s="14"/>
    </row>
    <row r="24" spans="1:4">
      <c r="A24" s="5"/>
      <c r="C24" s="14"/>
      <c r="D24" s="14"/>
    </row>
    <row r="25" spans="1:4">
      <c r="A25" s="5"/>
      <c r="C25" s="14"/>
      <c r="D25" s="14"/>
    </row>
    <row r="26" spans="1:4">
      <c r="A26" s="5"/>
      <c r="C26" s="14"/>
      <c r="D26" s="14"/>
    </row>
    <row r="27" spans="1:4">
      <c r="A27" s="5"/>
      <c r="C27" s="14"/>
      <c r="D27" s="14"/>
    </row>
    <row r="28" spans="1:4">
      <c r="A28" s="5"/>
      <c r="C28" s="14"/>
      <c r="D28" s="14"/>
    </row>
    <row r="29" spans="1:4">
      <c r="A29" s="5"/>
      <c r="C29" s="14"/>
      <c r="D29" s="14"/>
    </row>
    <row r="30" spans="1:4">
      <c r="A30" s="5"/>
      <c r="C30" s="14"/>
      <c r="D30" s="14"/>
    </row>
    <row r="31" spans="1:4">
      <c r="A31" s="5"/>
      <c r="C31" s="14"/>
      <c r="D31" s="14"/>
    </row>
    <row r="40" spans="1:4">
      <c r="A40" s="5"/>
      <c r="C40" s="14"/>
      <c r="D40" s="14"/>
    </row>
    <row r="41" spans="1:4">
      <c r="A41" s="5"/>
      <c r="C41" s="14"/>
      <c r="D41" s="14"/>
    </row>
    <row r="42" spans="1:4">
      <c r="A42" s="5"/>
      <c r="C42" s="14"/>
      <c r="D42" s="14"/>
    </row>
    <row r="43" spans="1:4">
      <c r="A43" s="5"/>
      <c r="C43" s="14"/>
      <c r="D43" s="14"/>
    </row>
    <row r="44" spans="1:4">
      <c r="A44" s="5"/>
      <c r="C44" s="14"/>
      <c r="D44" s="14"/>
    </row>
    <row r="45" spans="1:4">
      <c r="A45" s="5"/>
      <c r="C45" s="14"/>
      <c r="D45" s="14"/>
    </row>
    <row r="46" spans="1:4">
      <c r="A46" s="5"/>
      <c r="C46" s="14"/>
      <c r="D46" s="14"/>
    </row>
    <row r="47" spans="1:4">
      <c r="A47" s="5"/>
      <c r="C47" s="14"/>
      <c r="D47" s="14"/>
    </row>
  </sheetData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"/>
  <sheetViews>
    <sheetView zoomScale="150" workbookViewId="0">
      <selection activeCell="A2" sqref="A2:XFD5"/>
    </sheetView>
  </sheetViews>
  <sheetFormatPr baseColWidth="10" defaultColWidth="11" defaultRowHeight="16"/>
  <sheetData>
    <row r="1" spans="1:10">
      <c r="A1" t="s">
        <v>73</v>
      </c>
      <c r="B1" t="s">
        <v>74</v>
      </c>
      <c r="C1" t="s">
        <v>75</v>
      </c>
      <c r="D1" t="s">
        <v>89</v>
      </c>
      <c r="E1" t="s">
        <v>21</v>
      </c>
      <c r="F1" t="s">
        <v>77</v>
      </c>
      <c r="G1" t="s">
        <v>17</v>
      </c>
      <c r="H1" t="s">
        <v>78</v>
      </c>
      <c r="I1" t="s">
        <v>90</v>
      </c>
      <c r="J1" t="s">
        <v>91</v>
      </c>
    </row>
    <row r="2" spans="1:10">
      <c r="B2" s="5"/>
    </row>
    <row r="3" spans="1:10">
      <c r="B3" s="5"/>
    </row>
    <row r="4" spans="1:10">
      <c r="B4" s="5"/>
    </row>
    <row r="5" spans="1:10">
      <c r="B5" s="5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ED441-FF93-924E-BD0F-53D47CE152C4}">
  <dimension ref="A3:F5"/>
  <sheetViews>
    <sheetView workbookViewId="0">
      <selection activeCell="A3" sqref="A3:XFD4"/>
    </sheetView>
  </sheetViews>
  <sheetFormatPr baseColWidth="10" defaultColWidth="11" defaultRowHeight="16"/>
  <cols>
    <col min="2" max="2" width="72.1640625" bestFit="1" customWidth="1"/>
    <col min="4" max="4" width="12.6640625" bestFit="1" customWidth="1"/>
    <col min="5" max="5" width="15.6640625" bestFit="1" customWidth="1"/>
  </cols>
  <sheetData>
    <row r="3" spans="1:6" ht="20">
      <c r="A3" s="21"/>
      <c r="B3" s="22"/>
      <c r="C3" s="22"/>
      <c r="D3" s="23"/>
      <c r="E3" s="24"/>
      <c r="F3" s="25"/>
    </row>
    <row r="4" spans="1:6" ht="20">
      <c r="A4" s="21"/>
      <c r="B4" s="22"/>
      <c r="C4" s="22"/>
      <c r="D4" s="23"/>
      <c r="E4" s="24"/>
      <c r="F4" s="25"/>
    </row>
    <row r="5" spans="1:6" ht="18">
      <c r="A5" s="22"/>
    </row>
  </sheetData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EEB47-D2EA-8548-B5A9-EF0AEEF9B951}">
  <dimension ref="D2:N17"/>
  <sheetViews>
    <sheetView workbookViewId="0">
      <selection activeCell="J18" sqref="J18"/>
    </sheetView>
  </sheetViews>
  <sheetFormatPr baseColWidth="10" defaultRowHeight="16"/>
  <cols>
    <col min="4" max="4" width="12.6640625" style="17" bestFit="1" customWidth="1"/>
  </cols>
  <sheetData>
    <row r="2" spans="4:14">
      <c r="D2" s="17">
        <v>17219.150000000001</v>
      </c>
    </row>
    <row r="5" spans="4:14" ht="18">
      <c r="D5" s="31">
        <v>-6392.75</v>
      </c>
      <c r="E5" s="30"/>
      <c r="F5" t="s">
        <v>99</v>
      </c>
      <c r="I5" t="s">
        <v>101</v>
      </c>
      <c r="K5">
        <v>154000</v>
      </c>
    </row>
    <row r="6" spans="4:14">
      <c r="D6" s="17">
        <v>-8000</v>
      </c>
      <c r="F6" t="s">
        <v>100</v>
      </c>
    </row>
    <row r="8" spans="4:14">
      <c r="D8" s="17">
        <f>SUM(D2:D6)</f>
        <v>2826.4000000000015</v>
      </c>
      <c r="I8" t="s">
        <v>102</v>
      </c>
    </row>
    <row r="9" spans="4:14">
      <c r="I9" t="s">
        <v>103</v>
      </c>
    </row>
    <row r="10" spans="4:14">
      <c r="J10" t="s">
        <v>104</v>
      </c>
      <c r="N10" t="s">
        <v>105</v>
      </c>
    </row>
    <row r="15" spans="4:14">
      <c r="J15">
        <v>88000</v>
      </c>
    </row>
    <row r="16" spans="4:14">
      <c r="J16">
        <v>36</v>
      </c>
    </row>
    <row r="17" spans="10:10">
      <c r="J17">
        <f>J15/J16</f>
        <v>2444.4444444444443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AMEX CHARGE</vt:lpstr>
      <vt:lpstr>AMEX CREDIT</vt:lpstr>
      <vt:lpstr>ANZ CARDS</vt:lpstr>
      <vt:lpstr>NAB</vt:lpstr>
      <vt:lpstr>PayPal</vt:lpstr>
      <vt:lpstr>MAIN TXN ACC 000 0465 083 897</vt:lpstr>
      <vt:lpstr>STG BANK ACCOUNT 431450521</vt:lpstr>
      <vt:lpstr>GST PROVISION 000 0455 884 826</vt:lpstr>
      <vt:lpstr>ANZ - Advocating for Humanity</vt:lpstr>
      <vt:lpstr>BUS FREEDOM ACCOUNT 431959205</vt:lpstr>
      <vt:lpstr>BUS SAV ACCOUNT 431450521</vt:lpstr>
      <vt:lpstr>Personal ANZ 297380269</vt:lpstr>
      <vt:lpstr>Tax Issues</vt:lpstr>
    </vt:vector>
  </TitlesOfParts>
  <Manager/>
  <Company>Jason Masters Governance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Masters</dc:creator>
  <cp:keywords/>
  <dc:description/>
  <cp:lastModifiedBy>Jason Masters</cp:lastModifiedBy>
  <cp:revision/>
  <cp:lastPrinted>2022-11-18T11:21:38Z</cp:lastPrinted>
  <dcterms:created xsi:type="dcterms:W3CDTF">2015-07-27T01:54:53Z</dcterms:created>
  <dcterms:modified xsi:type="dcterms:W3CDTF">2024-11-03T07:35:26Z</dcterms:modified>
  <cp:category/>
  <cp:contentStatus/>
</cp:coreProperties>
</file>